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c1e93ad95b3f7bd/OCTOPUS/QALA CAFE/COMPRAS/"/>
    </mc:Choice>
  </mc:AlternateContent>
  <xr:revisionPtr revIDLastSave="3847" documentId="13_ncr:1_{977B2909-70E9-41EC-A505-F12D9F5A71E8}" xr6:coauthVersionLast="47" xr6:coauthVersionMax="47" xr10:uidLastSave="{E1BAA32C-9C8F-49E1-9168-75CABE13AE99}"/>
  <bookViews>
    <workbookView xWindow="-110" yWindow="-110" windowWidth="19420" windowHeight="11020" xr2:uid="{4180D5EE-1093-4CA0-8245-B37402F73735}"/>
  </bookViews>
  <sheets>
    <sheet name="DATAIN_COMPRAS" sheetId="1" r:id="rId1"/>
    <sheet name="VALIDACION" sheetId="5" r:id="rId2"/>
    <sheet name="CALC AUX" sheetId="8" r:id="rId3"/>
  </sheets>
  <definedNames>
    <definedName name="DatosExternos_3" localSheetId="0" hidden="1">DATAIN_COMPRAS!$A$1:$L$7483</definedName>
    <definedName name="INTERLOC_VALIDOS">Tabla6[INTERLOCUTORES]</definedName>
    <definedName name="ListaProduct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78" i="1" l="1"/>
  <c r="J1878" i="1"/>
  <c r="K1877" i="1"/>
  <c r="J1877" i="1"/>
  <c r="F1878" i="1"/>
  <c r="K1875" i="1"/>
  <c r="J1875" i="1"/>
  <c r="K1874" i="1"/>
  <c r="J1874" i="1"/>
  <c r="F1874" i="1"/>
  <c r="K1873" i="1"/>
  <c r="J1873" i="1"/>
  <c r="F1873" i="1"/>
  <c r="K1872" i="1"/>
  <c r="J1872" i="1"/>
  <c r="K1871" i="1"/>
  <c r="J1871" i="1"/>
  <c r="M7484" i="1"/>
  <c r="L7484" i="1"/>
  <c r="F1869" i="1"/>
  <c r="K1867" i="1"/>
  <c r="J1867" i="1"/>
  <c r="K1866" i="1"/>
  <c r="J1866" i="1"/>
  <c r="K1865" i="1"/>
  <c r="J1865" i="1"/>
  <c r="F1868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F1858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F1850" i="1"/>
  <c r="F1849" i="1"/>
  <c r="K1847" i="1"/>
  <c r="J1847" i="1"/>
  <c r="K1846" i="1"/>
  <c r="J1846" i="1"/>
  <c r="F1847" i="1"/>
  <c r="C1847" i="1"/>
  <c r="K1845" i="1"/>
  <c r="J1845" i="1"/>
  <c r="K1844" i="1"/>
  <c r="J1844" i="1"/>
  <c r="K1843" i="1"/>
  <c r="J1843" i="1"/>
  <c r="F1843" i="1"/>
  <c r="K1842" i="1"/>
  <c r="J1842" i="1"/>
  <c r="K1841" i="1"/>
  <c r="J1841" i="1"/>
  <c r="K1840" i="1"/>
  <c r="J1840" i="1"/>
  <c r="F1840" i="1"/>
  <c r="F1841" i="1"/>
  <c r="K1839" i="1"/>
  <c r="J1839" i="1"/>
  <c r="K1838" i="1"/>
  <c r="J1838" i="1"/>
  <c r="F1819" i="1"/>
  <c r="F1820" i="1"/>
  <c r="J1820" i="1"/>
  <c r="F1825" i="1"/>
  <c r="K1825" i="1" s="1"/>
  <c r="J1823" i="1"/>
  <c r="K1823" i="1"/>
  <c r="J1824" i="1"/>
  <c r="K1824" i="1"/>
  <c r="J1826" i="1"/>
  <c r="K1826" i="1"/>
  <c r="J1827" i="1"/>
  <c r="K1827" i="1"/>
  <c r="J1802" i="1"/>
  <c r="K1802" i="1"/>
  <c r="J1800" i="1"/>
  <c r="K1800" i="1"/>
  <c r="J1804" i="1"/>
  <c r="K1804" i="1"/>
  <c r="J1812" i="1"/>
  <c r="K1812" i="1"/>
  <c r="J1810" i="1"/>
  <c r="K1810" i="1"/>
  <c r="J1803" i="1"/>
  <c r="K1803" i="1"/>
  <c r="F1808" i="1"/>
  <c r="J1808" i="1" s="1"/>
  <c r="J1806" i="1"/>
  <c r="K1806" i="1"/>
  <c r="J1799" i="1"/>
  <c r="K1799" i="1"/>
  <c r="J1816" i="1"/>
  <c r="J1807" i="1"/>
  <c r="K1807" i="1"/>
  <c r="J1809" i="1"/>
  <c r="K1809" i="1"/>
  <c r="J1811" i="1"/>
  <c r="K1811" i="1"/>
  <c r="J1805" i="1"/>
  <c r="K1805" i="1"/>
  <c r="F1816" i="1"/>
  <c r="K1816" i="1" s="1"/>
  <c r="E1815" i="1"/>
  <c r="K1819" i="1"/>
  <c r="J1819" i="1"/>
  <c r="K1817" i="1"/>
  <c r="J1817" i="1"/>
  <c r="K1813" i="1"/>
  <c r="J1813" i="1"/>
  <c r="K1818" i="1"/>
  <c r="J1818" i="1"/>
  <c r="K1814" i="1"/>
  <c r="J1814" i="1"/>
  <c r="F1818" i="1"/>
  <c r="F1813" i="1"/>
  <c r="K1834" i="1"/>
  <c r="J1834" i="1"/>
  <c r="K1836" i="1"/>
  <c r="J1836" i="1"/>
  <c r="K1801" i="1"/>
  <c r="J1801" i="1"/>
  <c r="K1833" i="1"/>
  <c r="J1833" i="1"/>
  <c r="F1833" i="1"/>
  <c r="K1831" i="1"/>
  <c r="J1831" i="1"/>
  <c r="K1832" i="1"/>
  <c r="J1832" i="1"/>
  <c r="K1830" i="1"/>
  <c r="J1830" i="1"/>
  <c r="F1831" i="1"/>
  <c r="F1832" i="1"/>
  <c r="F1821" i="1"/>
  <c r="K1822" i="1"/>
  <c r="J1822" i="1"/>
  <c r="K1821" i="1"/>
  <c r="J1821" i="1"/>
  <c r="K1828" i="1"/>
  <c r="J1828" i="1"/>
  <c r="K1829" i="1"/>
  <c r="J1829" i="1"/>
  <c r="K1835" i="1"/>
  <c r="J1835" i="1"/>
  <c r="K1794" i="1"/>
  <c r="J1794" i="1"/>
  <c r="F1794" i="1"/>
  <c r="J1792" i="1"/>
  <c r="N1784" i="1"/>
  <c r="K1756" i="1"/>
  <c r="J1756" i="1"/>
  <c r="K1793" i="1"/>
  <c r="J1793" i="1"/>
  <c r="K1792" i="1"/>
  <c r="F1792" i="1"/>
  <c r="K1758" i="1"/>
  <c r="J1758" i="1"/>
  <c r="K1757" i="1"/>
  <c r="J1757" i="1"/>
  <c r="F1758" i="1"/>
  <c r="E1643" i="1"/>
  <c r="K1766" i="1"/>
  <c r="J1766" i="1"/>
  <c r="K1765" i="1"/>
  <c r="J1765" i="1"/>
  <c r="F1766" i="1"/>
  <c r="K1733" i="1"/>
  <c r="K1759" i="1"/>
  <c r="K1762" i="1"/>
  <c r="J1762" i="1"/>
  <c r="K1763" i="1"/>
  <c r="J1763" i="1"/>
  <c r="F1762" i="1"/>
  <c r="C1762" i="1"/>
  <c r="K1754" i="1"/>
  <c r="J1754" i="1"/>
  <c r="K1768" i="1"/>
  <c r="J1768" i="1"/>
  <c r="K1761" i="1"/>
  <c r="J1761" i="1"/>
  <c r="K1760" i="1"/>
  <c r="J1760" i="1"/>
  <c r="J1742" i="1"/>
  <c r="F1742" i="1"/>
  <c r="K1742" i="1" s="1"/>
  <c r="K1764" i="1"/>
  <c r="J1764" i="1"/>
  <c r="F1764" i="1"/>
  <c r="K1777" i="1"/>
  <c r="J1777" i="1"/>
  <c r="K1774" i="1"/>
  <c r="J1774" i="1"/>
  <c r="K1778" i="1"/>
  <c r="J1778" i="1"/>
  <c r="F1779" i="1"/>
  <c r="K1775" i="1"/>
  <c r="J1775" i="1"/>
  <c r="K1776" i="1"/>
  <c r="J1776" i="1"/>
  <c r="K1779" i="1"/>
  <c r="J1779" i="1"/>
  <c r="K1780" i="1"/>
  <c r="J1780" i="1"/>
  <c r="K1781" i="1"/>
  <c r="J1781" i="1"/>
  <c r="F1769" i="1"/>
  <c r="K1784" i="1"/>
  <c r="J1784" i="1"/>
  <c r="K1787" i="1"/>
  <c r="J1787" i="1"/>
  <c r="K1785" i="1"/>
  <c r="J1785" i="1"/>
  <c r="K1786" i="1"/>
  <c r="J1786" i="1"/>
  <c r="K1770" i="1"/>
  <c r="J1770" i="1"/>
  <c r="K1773" i="1"/>
  <c r="J1773" i="1"/>
  <c r="K1772" i="1"/>
  <c r="J1772" i="1"/>
  <c r="K1771" i="1"/>
  <c r="J1771" i="1"/>
  <c r="K1783" i="1"/>
  <c r="J1783" i="1"/>
  <c r="F1783" i="1"/>
  <c r="K1782" i="1"/>
  <c r="J1782" i="1"/>
  <c r="F1782" i="1"/>
  <c r="K1753" i="1"/>
  <c r="J1753" i="1"/>
  <c r="F1753" i="1"/>
  <c r="K1687" i="1"/>
  <c r="J1687" i="1"/>
  <c r="K1748" i="1"/>
  <c r="J1748" i="1"/>
  <c r="K1745" i="1"/>
  <c r="J1745" i="1"/>
  <c r="K1738" i="1"/>
  <c r="J1738" i="1"/>
  <c r="K1737" i="1"/>
  <c r="J1737" i="1"/>
  <c r="K1739" i="1"/>
  <c r="J1739" i="1"/>
  <c r="K1735" i="1"/>
  <c r="J1735" i="1"/>
  <c r="K1734" i="1"/>
  <c r="J1734" i="1"/>
  <c r="K1736" i="1"/>
  <c r="J1736" i="1"/>
  <c r="F1738" i="1"/>
  <c r="F1739" i="1"/>
  <c r="F1735" i="1"/>
  <c r="E1735" i="1"/>
  <c r="F1736" i="1"/>
  <c r="K1747" i="1"/>
  <c r="J1747" i="1"/>
  <c r="K1746" i="1"/>
  <c r="J1746" i="1"/>
  <c r="K1744" i="1"/>
  <c r="J1744" i="1"/>
  <c r="K1749" i="1"/>
  <c r="J1749" i="1"/>
  <c r="K1750" i="1"/>
  <c r="J1750" i="1"/>
  <c r="K1743" i="1"/>
  <c r="J1743" i="1"/>
  <c r="K1751" i="1"/>
  <c r="J1751" i="1"/>
  <c r="K1752" i="1"/>
  <c r="J1752" i="1"/>
  <c r="K1686" i="1"/>
  <c r="J1686" i="1"/>
  <c r="K1755" i="1"/>
  <c r="J1755" i="1"/>
  <c r="K1723" i="1"/>
  <c r="J1723" i="1"/>
  <c r="F1700" i="1"/>
  <c r="K1700" i="1" s="1"/>
  <c r="F1717" i="1"/>
  <c r="K1717" i="1"/>
  <c r="J1717" i="1"/>
  <c r="K1719" i="1"/>
  <c r="J1719" i="1"/>
  <c r="K1718" i="1"/>
  <c r="J1718" i="1"/>
  <c r="K1720" i="1"/>
  <c r="J1720" i="1"/>
  <c r="K1730" i="1"/>
  <c r="J1730" i="1"/>
  <c r="K1731" i="1"/>
  <c r="J1731" i="1"/>
  <c r="K1732" i="1"/>
  <c r="J1732" i="1"/>
  <c r="F1740" i="1"/>
  <c r="K1713" i="1"/>
  <c r="J1713" i="1"/>
  <c r="K1715" i="1"/>
  <c r="J1715" i="1"/>
  <c r="K1714" i="1"/>
  <c r="J1714" i="1"/>
  <c r="K1712" i="1"/>
  <c r="J1712" i="1"/>
  <c r="F1722" i="1"/>
  <c r="F1721" i="1"/>
  <c r="K1711" i="1"/>
  <c r="F1724" i="1"/>
  <c r="K1722" i="1"/>
  <c r="J1722" i="1"/>
  <c r="K1721" i="1"/>
  <c r="J1721" i="1"/>
  <c r="K1726" i="1"/>
  <c r="J1726" i="1"/>
  <c r="K1725" i="1"/>
  <c r="J1725" i="1"/>
  <c r="F1725" i="1"/>
  <c r="K1702" i="1"/>
  <c r="J1702" i="1"/>
  <c r="F1702" i="1"/>
  <c r="K1701" i="1"/>
  <c r="J1701" i="1"/>
  <c r="E1704" i="1"/>
  <c r="F1704" i="1" s="1"/>
  <c r="K1708" i="1"/>
  <c r="J1708" i="1"/>
  <c r="K1710" i="1"/>
  <c r="J1710" i="1"/>
  <c r="J1709" i="1"/>
  <c r="K1706" i="1"/>
  <c r="J1706" i="1"/>
  <c r="K1705" i="1"/>
  <c r="J1705" i="1"/>
  <c r="K1707" i="1"/>
  <c r="J1707" i="1"/>
  <c r="J1700" i="1"/>
  <c r="K1693" i="1"/>
  <c r="J1693" i="1"/>
  <c r="K1691" i="1"/>
  <c r="J1691" i="1"/>
  <c r="F1692" i="1"/>
  <c r="F1690" i="1"/>
  <c r="F1694" i="1"/>
  <c r="E1688" i="1"/>
  <c r="F1688" i="1" s="1"/>
  <c r="K1699" i="1"/>
  <c r="J1699" i="1"/>
  <c r="K1698" i="1"/>
  <c r="J1698" i="1"/>
  <c r="K1696" i="1"/>
  <c r="J1696" i="1"/>
  <c r="K1695" i="1"/>
  <c r="J1695" i="1"/>
  <c r="F1697" i="1"/>
  <c r="F1685" i="1"/>
  <c r="F1684" i="1"/>
  <c r="F1683" i="1"/>
  <c r="K1627" i="1"/>
  <c r="J1627" i="1"/>
  <c r="K1626" i="1"/>
  <c r="J1626" i="1"/>
  <c r="K1629" i="1"/>
  <c r="J1629" i="1"/>
  <c r="F1625" i="1"/>
  <c r="F1628" i="1"/>
  <c r="K1651" i="1"/>
  <c r="J1651" i="1"/>
  <c r="K1672" i="1"/>
  <c r="J1672" i="1"/>
  <c r="K1680" i="1"/>
  <c r="J1680" i="1"/>
  <c r="K1678" i="1"/>
  <c r="J1678" i="1"/>
  <c r="K1679" i="1"/>
  <c r="J1679" i="1"/>
  <c r="K1674" i="1"/>
  <c r="J1674" i="1"/>
  <c r="F1673" i="1"/>
  <c r="K1682" i="1"/>
  <c r="J1682" i="1"/>
  <c r="K1650" i="1"/>
  <c r="J1650" i="1"/>
  <c r="F1649" i="1"/>
  <c r="F1648" i="1"/>
  <c r="K1662" i="1"/>
  <c r="J1662" i="1"/>
  <c r="K1665" i="1"/>
  <c r="J1665" i="1"/>
  <c r="J1663" i="1"/>
  <c r="K1664" i="1"/>
  <c r="J1664" i="1"/>
  <c r="E1663" i="1"/>
  <c r="K1663" i="1" s="1"/>
  <c r="K1654" i="1"/>
  <c r="J1654" i="1"/>
  <c r="F1660" i="1"/>
  <c r="F1661" i="1"/>
  <c r="K1659" i="1"/>
  <c r="J1659" i="1"/>
  <c r="F1657" i="1"/>
  <c r="K1657" i="1"/>
  <c r="J1657" i="1"/>
  <c r="K1658" i="1"/>
  <c r="J1658" i="1"/>
  <c r="K1655" i="1"/>
  <c r="J1655" i="1"/>
  <c r="F1656" i="1"/>
  <c r="K1644" i="1"/>
  <c r="J1644" i="1"/>
  <c r="K1645" i="1"/>
  <c r="J1645" i="1"/>
  <c r="J1643" i="1"/>
  <c r="K1643" i="1"/>
  <c r="K1631" i="1"/>
  <c r="J1631" i="1"/>
  <c r="K1630" i="1"/>
  <c r="J1630" i="1"/>
  <c r="K1624" i="1"/>
  <c r="J1624" i="1"/>
  <c r="K1623" i="1"/>
  <c r="J1623" i="1"/>
  <c r="K1612" i="1"/>
  <c r="J1612" i="1"/>
  <c r="F1637" i="1"/>
  <c r="K1637" i="1"/>
  <c r="J1637" i="1"/>
  <c r="F1638" i="1"/>
  <c r="K1638" i="1" s="1"/>
  <c r="K1639" i="1"/>
  <c r="J1639" i="1"/>
  <c r="K1636" i="1"/>
  <c r="J1636" i="1"/>
  <c r="K1635" i="1"/>
  <c r="J1635" i="1"/>
  <c r="K1634" i="1"/>
  <c r="J1634" i="1"/>
  <c r="K1632" i="1"/>
  <c r="J1632" i="1"/>
  <c r="F1633" i="1"/>
  <c r="K1642" i="1"/>
  <c r="J1642" i="1"/>
  <c r="K1640" i="1"/>
  <c r="J1640" i="1"/>
  <c r="K1641" i="1"/>
  <c r="J1641" i="1"/>
  <c r="F1620" i="1"/>
  <c r="K1615" i="1"/>
  <c r="J1615" i="1"/>
  <c r="K1619" i="1"/>
  <c r="J1619" i="1"/>
  <c r="K1618" i="1"/>
  <c r="J1618" i="1"/>
  <c r="E1616" i="1"/>
  <c r="F1616" i="1" s="1"/>
  <c r="F1621" i="1"/>
  <c r="F1617" i="1"/>
  <c r="K1607" i="1"/>
  <c r="J1607" i="1"/>
  <c r="K1610" i="1"/>
  <c r="J1610" i="1"/>
  <c r="K1608" i="1"/>
  <c r="J1608" i="1"/>
  <c r="K1609" i="1"/>
  <c r="J1609" i="1"/>
  <c r="K1613" i="1"/>
  <c r="J1613" i="1"/>
  <c r="F1588" i="1"/>
  <c r="K1587" i="1"/>
  <c r="J1587" i="1"/>
  <c r="F1605" i="1"/>
  <c r="F1604" i="1"/>
  <c r="K1605" i="1"/>
  <c r="J1605" i="1"/>
  <c r="K1604" i="1"/>
  <c r="J1604" i="1"/>
  <c r="K1606" i="1"/>
  <c r="J1606" i="1"/>
  <c r="K1603" i="1"/>
  <c r="J1603" i="1"/>
  <c r="K1601" i="1"/>
  <c r="J1601" i="1"/>
  <c r="F1602" i="1"/>
  <c r="K1602" i="1"/>
  <c r="J1602" i="1"/>
  <c r="K1596" i="1"/>
  <c r="J1596" i="1"/>
  <c r="E1516" i="1"/>
  <c r="F1516" i="1"/>
  <c r="J1516" i="1" s="1"/>
  <c r="F1518" i="1"/>
  <c r="F1517" i="1"/>
  <c r="F1579" i="1"/>
  <c r="K1580" i="1"/>
  <c r="J1580" i="1"/>
  <c r="K1579" i="1"/>
  <c r="J1579" i="1"/>
  <c r="K1585" i="1"/>
  <c r="J1585" i="1"/>
  <c r="K1584" i="1"/>
  <c r="J1584" i="1"/>
  <c r="F1586" i="1"/>
  <c r="F1575" i="1"/>
  <c r="K1578" i="1"/>
  <c r="J1578" i="1"/>
  <c r="K1577" i="1"/>
  <c r="J1577" i="1"/>
  <c r="K1576" i="1"/>
  <c r="J1576" i="1"/>
  <c r="K1573" i="1"/>
  <c r="J1573" i="1"/>
  <c r="K1572" i="1"/>
  <c r="J1572" i="1"/>
  <c r="K1574" i="1"/>
  <c r="J1574" i="1"/>
  <c r="K1594" i="1"/>
  <c r="J1594" i="1"/>
  <c r="K1597" i="1"/>
  <c r="J1597" i="1"/>
  <c r="K1593" i="1"/>
  <c r="J1593" i="1"/>
  <c r="K1595" i="1"/>
  <c r="J1595" i="1"/>
  <c r="K1590" i="1"/>
  <c r="J1590" i="1"/>
  <c r="K1571" i="1"/>
  <c r="J1571" i="1"/>
  <c r="K1570" i="1"/>
  <c r="J1570" i="1"/>
  <c r="K1582" i="1"/>
  <c r="J1582" i="1"/>
  <c r="K1583" i="1"/>
  <c r="J1583" i="1"/>
  <c r="K1581" i="1"/>
  <c r="J1581" i="1"/>
  <c r="F1563" i="1"/>
  <c r="K1566" i="1"/>
  <c r="J1566" i="1"/>
  <c r="F1565" i="1"/>
  <c r="F1567" i="1"/>
  <c r="K1565" i="1"/>
  <c r="J1565" i="1"/>
  <c r="K1568" i="1"/>
  <c r="J1568" i="1"/>
  <c r="K1569" i="1"/>
  <c r="J1569" i="1"/>
  <c r="F1552" i="1"/>
  <c r="F1559" i="1"/>
  <c r="K1559" i="1" s="1"/>
  <c r="K1561" i="1"/>
  <c r="J1561" i="1"/>
  <c r="K1560" i="1"/>
  <c r="J1560" i="1"/>
  <c r="K1558" i="1"/>
  <c r="J1558" i="1"/>
  <c r="K1557" i="1"/>
  <c r="J1557" i="1"/>
  <c r="K1556" i="1"/>
  <c r="J1556" i="1"/>
  <c r="K1554" i="1"/>
  <c r="J1554" i="1"/>
  <c r="F1555" i="1"/>
  <c r="F1550" i="1"/>
  <c r="F1549" i="1"/>
  <c r="E1544" i="1"/>
  <c r="F1544" i="1"/>
  <c r="F1543" i="1"/>
  <c r="F1551" i="1"/>
  <c r="F1541" i="1"/>
  <c r="K1541" i="1"/>
  <c r="J1541" i="1"/>
  <c r="K1547" i="1"/>
  <c r="J1547" i="1"/>
  <c r="K1542" i="1"/>
  <c r="J1542" i="1"/>
  <c r="K1549" i="1"/>
  <c r="J1549" i="1"/>
  <c r="K1548" i="1"/>
  <c r="J1548" i="1"/>
  <c r="K1546" i="1"/>
  <c r="J1546" i="1"/>
  <c r="K1545" i="1"/>
  <c r="J1545" i="1"/>
  <c r="K1592" i="1"/>
  <c r="J1592" i="1"/>
  <c r="K1591" i="1"/>
  <c r="J1591" i="1"/>
  <c r="K1522" i="1"/>
  <c r="K1539" i="1"/>
  <c r="J1539" i="1"/>
  <c r="K1535" i="1"/>
  <c r="J1535" i="1"/>
  <c r="K1534" i="1"/>
  <c r="J1534" i="1"/>
  <c r="F1538" i="1"/>
  <c r="F1540" i="1"/>
  <c r="K1529" i="1"/>
  <c r="J1529" i="1"/>
  <c r="K1530" i="1"/>
  <c r="J1530" i="1"/>
  <c r="K1521" i="1"/>
  <c r="F1526" i="1"/>
  <c r="K1532" i="1"/>
  <c r="J1532" i="1"/>
  <c r="K1531" i="1"/>
  <c r="J1531" i="1"/>
  <c r="F1527" i="1"/>
  <c r="F1528" i="1"/>
  <c r="F1476" i="1"/>
  <c r="F1477" i="1"/>
  <c r="K1519" i="1"/>
  <c r="J1519" i="1"/>
  <c r="F1524" i="1"/>
  <c r="F1523" i="1"/>
  <c r="K1525" i="1"/>
  <c r="J1525" i="1"/>
  <c r="K1512" i="1"/>
  <c r="J1512" i="1"/>
  <c r="F1513" i="1"/>
  <c r="J1507" i="1"/>
  <c r="I1507" i="1"/>
  <c r="K1507" i="1" s="1"/>
  <c r="F1506" i="1"/>
  <c r="I1509" i="1"/>
  <c r="K1509" i="1" s="1"/>
  <c r="J1509" i="1"/>
  <c r="J1508" i="1"/>
  <c r="I1508" i="1"/>
  <c r="K1508" i="1" s="1"/>
  <c r="K1502" i="1"/>
  <c r="J1502" i="1"/>
  <c r="K1503" i="1"/>
  <c r="J1503" i="1"/>
  <c r="K1511" i="1"/>
  <c r="J1511" i="1"/>
  <c r="F1501" i="1"/>
  <c r="K1510" i="1"/>
  <c r="J1510" i="1"/>
  <c r="K1496" i="1"/>
  <c r="J1496" i="1"/>
  <c r="K1499" i="1"/>
  <c r="J1499" i="1"/>
  <c r="K1497" i="1"/>
  <c r="J1497" i="1"/>
  <c r="F1500" i="1"/>
  <c r="F1498" i="1"/>
  <c r="K1473" i="1"/>
  <c r="J1473" i="1"/>
  <c r="K1472" i="1"/>
  <c r="J1472" i="1"/>
  <c r="K1468" i="1"/>
  <c r="J1468" i="1"/>
  <c r="K1471" i="1"/>
  <c r="J1471" i="1"/>
  <c r="K1470" i="1"/>
  <c r="J1470" i="1"/>
  <c r="F1469" i="1"/>
  <c r="K1489" i="1"/>
  <c r="J1489" i="1"/>
  <c r="F1493" i="1"/>
  <c r="F1490" i="1"/>
  <c r="F1495" i="1"/>
  <c r="K1490" i="1"/>
  <c r="J1490" i="1"/>
  <c r="K1495" i="1"/>
  <c r="J1495" i="1"/>
  <c r="K1494" i="1"/>
  <c r="J1494" i="1"/>
  <c r="K1492" i="1"/>
  <c r="J1492" i="1"/>
  <c r="K1491" i="1"/>
  <c r="J1491" i="1"/>
  <c r="K1488" i="1"/>
  <c r="J1488" i="1"/>
  <c r="F1487" i="1"/>
  <c r="F1486" i="1"/>
  <c r="F1485" i="1"/>
  <c r="K1481" i="1"/>
  <c r="J1481" i="1"/>
  <c r="K1479" i="1"/>
  <c r="J1479" i="1"/>
  <c r="K1478" i="1"/>
  <c r="J1478" i="1"/>
  <c r="F1480" i="1"/>
  <c r="F1474" i="1"/>
  <c r="F1443" i="1"/>
  <c r="K1446" i="1"/>
  <c r="J1446" i="1"/>
  <c r="F1445" i="1"/>
  <c r="F1444" i="1"/>
  <c r="K1466" i="1"/>
  <c r="J1466" i="1"/>
  <c r="K1463" i="1"/>
  <c r="E1459" i="1"/>
  <c r="F1459" i="1" s="1"/>
  <c r="K1461" i="1"/>
  <c r="J1461" i="1"/>
  <c r="K1458" i="1"/>
  <c r="J1458" i="1"/>
  <c r="K1460" i="1"/>
  <c r="J1460" i="1"/>
  <c r="K1451" i="1"/>
  <c r="J1451" i="1"/>
  <c r="F586" i="1"/>
  <c r="K1457" i="1"/>
  <c r="J1457" i="1"/>
  <c r="F1456" i="1"/>
  <c r="K1455" i="1"/>
  <c r="J1455" i="1"/>
  <c r="F1453" i="1"/>
  <c r="K1453" i="1" s="1"/>
  <c r="J1453" i="1"/>
  <c r="K1454" i="1"/>
  <c r="J1454" i="1"/>
  <c r="F1450" i="1"/>
  <c r="F1437" i="1"/>
  <c r="K1440" i="1"/>
  <c r="J1440" i="1"/>
  <c r="K1438" i="1"/>
  <c r="J1438" i="1"/>
  <c r="F1442" i="1"/>
  <c r="F1441" i="1"/>
  <c r="F1439" i="1"/>
  <c r="K1447" i="1"/>
  <c r="J1447" i="1"/>
  <c r="K1434" i="1"/>
  <c r="J1434" i="1"/>
  <c r="K1433" i="1"/>
  <c r="J1433" i="1"/>
  <c r="K1435" i="1"/>
  <c r="J1435" i="1"/>
  <c r="F1432" i="1"/>
  <c r="K1449" i="1"/>
  <c r="J1449" i="1"/>
  <c r="K1448" i="1"/>
  <c r="J1448" i="1"/>
  <c r="K1428" i="1"/>
  <c r="J1428" i="1"/>
  <c r="F1430" i="1"/>
  <c r="F1421" i="1"/>
  <c r="F1422" i="1"/>
  <c r="K1412" i="1"/>
  <c r="J1412" i="1"/>
  <c r="K1420" i="1"/>
  <c r="J1420" i="1"/>
  <c r="K1419" i="1"/>
  <c r="J1419" i="1"/>
  <c r="K1418" i="1"/>
  <c r="J1418" i="1"/>
  <c r="K1417" i="1"/>
  <c r="J1417" i="1"/>
  <c r="K1415" i="1"/>
  <c r="J1415" i="1"/>
  <c r="K1416" i="1"/>
  <c r="J1416" i="1"/>
  <c r="F1409" i="1"/>
  <c r="F1410" i="1"/>
  <c r="F1411" i="1"/>
  <c r="C1411" i="1"/>
  <c r="K1403" i="1"/>
  <c r="J1403" i="1"/>
  <c r="K1424" i="1"/>
  <c r="J1424" i="1"/>
  <c r="K1423" i="1"/>
  <c r="J1423" i="1"/>
  <c r="F1426" i="1"/>
  <c r="K1425" i="1"/>
  <c r="J1425" i="1"/>
  <c r="K1414" i="1"/>
  <c r="J1414" i="1"/>
  <c r="F1399" i="1"/>
  <c r="K1402" i="1"/>
  <c r="J1402" i="1"/>
  <c r="K1406" i="1"/>
  <c r="J1406" i="1"/>
  <c r="F1407" i="1"/>
  <c r="F1397" i="1"/>
  <c r="F1398" i="1"/>
  <c r="F1396" i="1"/>
  <c r="K1400" i="1"/>
  <c r="J1400" i="1"/>
  <c r="K1399" i="1"/>
  <c r="J1399" i="1"/>
  <c r="K1394" i="1"/>
  <c r="J1394" i="1"/>
  <c r="K1367" i="1"/>
  <c r="J1367" i="1"/>
  <c r="K1375" i="1"/>
  <c r="J1375" i="1"/>
  <c r="J1348" i="1"/>
  <c r="K1348" i="1"/>
  <c r="K1369" i="1"/>
  <c r="J1369" i="1"/>
  <c r="K1368" i="1"/>
  <c r="J1368" i="1"/>
  <c r="F1392" i="1"/>
  <c r="K1377" i="1"/>
  <c r="J1377" i="1"/>
  <c r="K1376" i="1"/>
  <c r="J1376" i="1"/>
  <c r="F1391" i="1"/>
  <c r="K1385" i="1"/>
  <c r="J1385" i="1"/>
  <c r="K1391" i="1"/>
  <c r="F1390" i="1"/>
  <c r="K1389" i="1"/>
  <c r="J1389" i="1"/>
  <c r="K1388" i="1"/>
  <c r="J1388" i="1"/>
  <c r="K1386" i="1"/>
  <c r="J1386" i="1"/>
  <c r="F1383" i="1"/>
  <c r="K1374" i="1"/>
  <c r="K1372" i="1"/>
  <c r="K1381" i="1"/>
  <c r="J1381" i="1"/>
  <c r="J1372" i="1"/>
  <c r="J1374" i="1"/>
  <c r="K1373" i="1"/>
  <c r="J1373" i="1"/>
  <c r="F1379" i="1"/>
  <c r="K1379" i="1" s="1"/>
  <c r="F1380" i="1"/>
  <c r="J1379" i="1"/>
  <c r="J1370" i="1"/>
  <c r="K1370" i="1"/>
  <c r="F1360" i="1"/>
  <c r="K1363" i="1"/>
  <c r="J1363" i="1"/>
  <c r="K1361" i="1"/>
  <c r="J1361" i="1"/>
  <c r="K1365" i="1"/>
  <c r="J1365" i="1"/>
  <c r="K1362" i="1"/>
  <c r="J1362" i="1"/>
  <c r="F1364" i="1"/>
  <c r="K1366" i="1"/>
  <c r="J1366" i="1"/>
  <c r="K1355" i="1"/>
  <c r="J1355" i="1"/>
  <c r="F1351" i="1"/>
  <c r="F1359" i="1"/>
  <c r="F1353" i="1"/>
  <c r="J1350" i="1"/>
  <c r="K1350" i="1"/>
  <c r="J1356" i="1"/>
  <c r="K1356" i="1"/>
  <c r="J1352" i="1"/>
  <c r="K1352" i="1"/>
  <c r="J1353" i="1"/>
  <c r="K1353" i="1"/>
  <c r="J1354" i="1"/>
  <c r="K1354" i="1"/>
  <c r="J1357" i="1"/>
  <c r="K1357" i="1"/>
  <c r="J1359" i="1"/>
  <c r="K1359" i="1"/>
  <c r="F1358" i="1"/>
  <c r="K1346" i="1"/>
  <c r="J1346" i="1"/>
  <c r="J1345" i="1"/>
  <c r="K1345" i="1"/>
  <c r="K1347" i="1"/>
  <c r="J1347" i="1"/>
  <c r="K1317" i="1"/>
  <c r="J1317" i="1"/>
  <c r="K1319" i="1"/>
  <c r="J1319" i="1"/>
  <c r="K1303" i="1"/>
  <c r="J1303" i="1"/>
  <c r="K1302" i="1"/>
  <c r="J1302" i="1"/>
  <c r="K1321" i="1"/>
  <c r="J1321" i="1"/>
  <c r="K1318" i="1"/>
  <c r="J1318" i="1"/>
  <c r="K1316" i="1"/>
  <c r="J1316" i="1"/>
  <c r="K1322" i="1"/>
  <c r="J1322" i="1"/>
  <c r="K1320" i="1"/>
  <c r="J1320" i="1"/>
  <c r="K1323" i="1"/>
  <c r="J1323" i="1"/>
  <c r="K1329" i="1"/>
  <c r="J1329" i="1"/>
  <c r="K1341" i="1"/>
  <c r="J1341" i="1"/>
  <c r="K1342" i="1"/>
  <c r="J1342" i="1"/>
  <c r="K1340" i="1"/>
  <c r="J1340" i="1"/>
  <c r="K1339" i="1"/>
  <c r="J1339" i="1"/>
  <c r="K1324" i="1"/>
  <c r="J1324" i="1"/>
  <c r="F1310" i="1"/>
  <c r="F1309" i="1"/>
  <c r="F1315" i="1"/>
  <c r="F1312" i="1"/>
  <c r="F1314" i="1"/>
  <c r="F1313" i="1"/>
  <c r="F1311" i="1"/>
  <c r="K1337" i="1"/>
  <c r="J1337" i="1"/>
  <c r="K1304" i="1"/>
  <c r="J1304" i="1"/>
  <c r="F1334" i="1"/>
  <c r="F1331" i="1"/>
  <c r="E1333" i="1"/>
  <c r="K1333" i="1" s="1"/>
  <c r="K1332" i="1"/>
  <c r="J1332" i="1"/>
  <c r="J1333" i="1"/>
  <c r="K1335" i="1"/>
  <c r="J1335" i="1"/>
  <c r="J1330" i="1"/>
  <c r="E1330" i="1"/>
  <c r="K1330" i="1" s="1"/>
  <c r="J1336" i="1"/>
  <c r="E1336" i="1"/>
  <c r="K1336" i="1" s="1"/>
  <c r="K1327" i="1"/>
  <c r="J1327" i="1"/>
  <c r="F1326" i="1"/>
  <c r="F1325" i="1"/>
  <c r="K1328" i="1"/>
  <c r="J1328" i="1"/>
  <c r="K1288" i="1"/>
  <c r="J1288" i="1"/>
  <c r="K1292" i="1"/>
  <c r="J1292" i="1"/>
  <c r="K1291" i="1"/>
  <c r="J1291" i="1"/>
  <c r="K1289" i="1"/>
  <c r="J1289" i="1"/>
  <c r="K1287" i="1"/>
  <c r="J1287" i="1"/>
  <c r="K1286" i="1"/>
  <c r="J1286" i="1"/>
  <c r="K1285" i="1"/>
  <c r="J1285" i="1"/>
  <c r="F1290" i="1"/>
  <c r="F1284" i="1"/>
  <c r="K1297" i="1"/>
  <c r="J1297" i="1"/>
  <c r="K1295" i="1"/>
  <c r="J1295" i="1"/>
  <c r="K1296" i="1"/>
  <c r="J1296" i="1"/>
  <c r="K1294" i="1"/>
  <c r="J1294" i="1"/>
  <c r="F1298" i="1"/>
  <c r="K1293" i="1"/>
  <c r="J1293" i="1"/>
  <c r="K1265" i="1"/>
  <c r="J1265" i="1"/>
  <c r="K1252" i="1"/>
  <c r="J1252" i="1"/>
  <c r="F1253" i="1"/>
  <c r="K1280" i="1"/>
  <c r="J1280" i="1"/>
  <c r="F1279" i="1"/>
  <c r="K1271" i="1"/>
  <c r="J1271" i="1"/>
  <c r="K1274" i="1"/>
  <c r="J1274" i="1"/>
  <c r="K1272" i="1"/>
  <c r="J1272" i="1"/>
  <c r="K1270" i="1"/>
  <c r="J1270" i="1"/>
  <c r="F1269" i="1"/>
  <c r="F1273" i="1"/>
  <c r="K1275" i="1"/>
  <c r="J1275" i="1"/>
  <c r="K1276" i="1"/>
  <c r="J1276" i="1"/>
  <c r="K1282" i="1"/>
  <c r="K1281" i="1"/>
  <c r="J1282" i="1"/>
  <c r="J1281" i="1"/>
  <c r="K1263" i="1"/>
  <c r="J1263" i="1"/>
  <c r="F1261" i="1"/>
  <c r="F1262" i="1"/>
  <c r="F1264" i="1"/>
  <c r="K1155" i="1"/>
  <c r="J1155" i="1"/>
  <c r="K1154" i="1"/>
  <c r="J1154" i="1"/>
  <c r="F1251" i="1"/>
  <c r="F1278" i="1"/>
  <c r="F1277" i="1"/>
  <c r="K1250" i="1"/>
  <c r="J1250" i="1"/>
  <c r="K1249" i="1"/>
  <c r="J1249" i="1"/>
  <c r="K1247" i="1"/>
  <c r="J1247" i="1"/>
  <c r="K1246" i="1"/>
  <c r="J1246" i="1"/>
  <c r="K1245" i="1"/>
  <c r="J1245" i="1"/>
  <c r="F1248" i="1"/>
  <c r="K1266" i="1"/>
  <c r="J1266" i="1"/>
  <c r="K1267" i="1"/>
  <c r="J1267" i="1"/>
  <c r="K1268" i="1"/>
  <c r="J1268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38" i="1"/>
  <c r="J1238" i="1"/>
  <c r="K1207" i="1"/>
  <c r="F1237" i="1"/>
  <c r="K1237" i="1" s="1"/>
  <c r="J1237" i="1"/>
  <c r="K1234" i="1"/>
  <c r="J1234" i="1"/>
  <c r="K1236" i="1"/>
  <c r="J1236" i="1"/>
  <c r="K1240" i="1"/>
  <c r="J1240" i="1"/>
  <c r="K1239" i="1"/>
  <c r="J1239" i="1"/>
  <c r="F1241" i="1"/>
  <c r="F1235" i="1"/>
  <c r="K1235" i="1" s="1"/>
  <c r="F1233" i="1"/>
  <c r="J1235" i="1"/>
  <c r="K1233" i="1"/>
  <c r="J1233" i="1"/>
  <c r="K1187" i="1"/>
  <c r="J1187" i="1"/>
  <c r="K1186" i="1"/>
  <c r="J1186" i="1"/>
  <c r="K1188" i="1"/>
  <c r="J1188" i="1"/>
  <c r="K1869" i="1" l="1"/>
  <c r="J1869" i="1"/>
  <c r="K1868" i="1"/>
  <c r="J1868" i="1"/>
  <c r="J1559" i="1"/>
  <c r="J1825" i="1"/>
  <c r="J1638" i="1"/>
  <c r="K1820" i="1"/>
  <c r="F1815" i="1"/>
  <c r="J1815" i="1" s="1"/>
  <c r="K1808" i="1"/>
  <c r="K1551" i="1"/>
  <c r="J1551" i="1"/>
  <c r="K1769" i="1"/>
  <c r="J1769" i="1"/>
  <c r="K1740" i="1"/>
  <c r="J1740" i="1"/>
  <c r="K1724" i="1"/>
  <c r="J1724" i="1"/>
  <c r="K1692" i="1"/>
  <c r="J1692" i="1"/>
  <c r="K1694" i="1"/>
  <c r="J1694" i="1"/>
  <c r="K1697" i="1"/>
  <c r="J1697" i="1"/>
  <c r="K1685" i="1"/>
  <c r="J1685" i="1"/>
  <c r="K1684" i="1"/>
  <c r="J1684" i="1"/>
  <c r="K1683" i="1"/>
  <c r="J1683" i="1"/>
  <c r="K1625" i="1"/>
  <c r="J1625" i="1"/>
  <c r="K1628" i="1"/>
  <c r="J1628" i="1"/>
  <c r="K1575" i="1"/>
  <c r="J1575" i="1"/>
  <c r="J1704" i="1"/>
  <c r="K1704" i="1"/>
  <c r="K1690" i="1"/>
  <c r="J1690" i="1"/>
  <c r="K1688" i="1"/>
  <c r="J1688" i="1"/>
  <c r="K1673" i="1"/>
  <c r="J1673" i="1"/>
  <c r="K1540" i="1"/>
  <c r="J1540" i="1"/>
  <c r="K1563" i="1"/>
  <c r="J1563" i="1"/>
  <c r="K1550" i="1"/>
  <c r="J1550" i="1"/>
  <c r="K1544" i="1"/>
  <c r="J1544" i="1"/>
  <c r="K1543" i="1"/>
  <c r="J1543" i="1"/>
  <c r="K1649" i="1"/>
  <c r="J1649" i="1"/>
  <c r="K1648" i="1"/>
  <c r="J1648" i="1"/>
  <c r="K1656" i="1"/>
  <c r="J1656" i="1"/>
  <c r="K1633" i="1"/>
  <c r="J1633" i="1"/>
  <c r="J1620" i="1"/>
  <c r="K1620" i="1"/>
  <c r="K1617" i="1"/>
  <c r="J1617" i="1"/>
  <c r="J1567" i="1"/>
  <c r="K1567" i="1"/>
  <c r="J1555" i="1"/>
  <c r="K1555" i="1"/>
  <c r="J1538" i="1"/>
  <c r="K1538" i="1"/>
  <c r="I1506" i="1"/>
  <c r="K1506" i="1" s="1"/>
  <c r="J1506" i="1"/>
  <c r="K1500" i="1"/>
  <c r="J1500" i="1"/>
  <c r="K1469" i="1"/>
  <c r="J1469" i="1"/>
  <c r="J1487" i="1"/>
  <c r="K1487" i="1"/>
  <c r="J1443" i="1"/>
  <c r="K1443" i="1"/>
  <c r="J1444" i="1"/>
  <c r="K1444" i="1"/>
  <c r="J1456" i="1"/>
  <c r="K1456" i="1"/>
  <c r="J1450" i="1"/>
  <c r="K1450" i="1"/>
  <c r="K1442" i="1"/>
  <c r="J1442" i="1"/>
  <c r="K1441" i="1"/>
  <c r="J1441" i="1"/>
  <c r="K1439" i="1"/>
  <c r="J1439" i="1"/>
  <c r="K1430" i="1"/>
  <c r="J1430" i="1"/>
  <c r="K1409" i="1"/>
  <c r="J1409" i="1"/>
  <c r="K1331" i="1"/>
  <c r="J1331" i="1"/>
  <c r="J1660" i="1"/>
  <c r="K1660" i="1"/>
  <c r="K1661" i="1"/>
  <c r="J1661" i="1"/>
  <c r="K1616" i="1"/>
  <c r="J1616" i="1"/>
  <c r="K1621" i="1"/>
  <c r="J1621" i="1"/>
  <c r="K1422" i="1"/>
  <c r="J1422" i="1"/>
  <c r="K1588" i="1"/>
  <c r="J1588" i="1"/>
  <c r="K1516" i="1"/>
  <c r="K1518" i="1"/>
  <c r="J1518" i="1"/>
  <c r="K1517" i="1"/>
  <c r="J1517" i="1"/>
  <c r="K1586" i="1"/>
  <c r="J1586" i="1"/>
  <c r="K1552" i="1"/>
  <c r="J1552" i="1"/>
  <c r="K1437" i="1"/>
  <c r="J1437" i="1"/>
  <c r="K1526" i="1"/>
  <c r="J1526" i="1"/>
  <c r="K1527" i="1"/>
  <c r="J1527" i="1"/>
  <c r="K1528" i="1"/>
  <c r="J1528" i="1"/>
  <c r="K1476" i="1"/>
  <c r="J1476" i="1"/>
  <c r="K1477" i="1"/>
  <c r="J1477" i="1"/>
  <c r="K1493" i="1"/>
  <c r="J1493" i="1"/>
  <c r="K1524" i="1"/>
  <c r="J1524" i="1"/>
  <c r="K1513" i="1"/>
  <c r="J1513" i="1"/>
  <c r="K1501" i="1"/>
  <c r="J1501" i="1"/>
  <c r="K1523" i="1"/>
  <c r="J1523" i="1"/>
  <c r="K1498" i="1"/>
  <c r="J1498" i="1"/>
  <c r="K1486" i="1"/>
  <c r="J1486" i="1"/>
  <c r="K1485" i="1"/>
  <c r="J1485" i="1"/>
  <c r="J1474" i="1"/>
  <c r="K1474" i="1"/>
  <c r="K1480" i="1"/>
  <c r="J1480" i="1"/>
  <c r="K1445" i="1"/>
  <c r="J1445" i="1"/>
  <c r="K1459" i="1"/>
  <c r="J1459" i="1"/>
  <c r="K586" i="1"/>
  <c r="J586" i="1"/>
  <c r="K1432" i="1"/>
  <c r="J1432" i="1"/>
  <c r="K1421" i="1"/>
  <c r="J1421" i="1"/>
  <c r="K1410" i="1"/>
  <c r="J1410" i="1"/>
  <c r="K1411" i="1"/>
  <c r="J1411" i="1"/>
  <c r="K1426" i="1"/>
  <c r="J1426" i="1"/>
  <c r="J1397" i="1"/>
  <c r="K1397" i="1"/>
  <c r="K1396" i="1"/>
  <c r="J1396" i="1"/>
  <c r="K1407" i="1"/>
  <c r="J1407" i="1"/>
  <c r="K1398" i="1"/>
  <c r="J1398" i="1"/>
  <c r="K1390" i="1"/>
  <c r="J1390" i="1"/>
  <c r="K1360" i="1"/>
  <c r="J1360" i="1"/>
  <c r="K1351" i="1"/>
  <c r="J1351" i="1"/>
  <c r="J1358" i="1"/>
  <c r="K1358" i="1"/>
  <c r="J1326" i="1"/>
  <c r="K1326" i="1"/>
  <c r="J1251" i="1"/>
  <c r="K1251" i="1"/>
  <c r="J1392" i="1"/>
  <c r="K1392" i="1"/>
  <c r="J1383" i="1"/>
  <c r="K1383" i="1"/>
  <c r="J1391" i="1"/>
  <c r="K1387" i="1"/>
  <c r="J1387" i="1"/>
  <c r="K1380" i="1"/>
  <c r="J1380" i="1"/>
  <c r="K1364" i="1"/>
  <c r="J1364" i="1"/>
  <c r="K1325" i="1"/>
  <c r="J1325" i="1"/>
  <c r="J1310" i="1"/>
  <c r="K1310" i="1"/>
  <c r="J1309" i="1"/>
  <c r="K1309" i="1"/>
  <c r="J1315" i="1"/>
  <c r="K1315" i="1"/>
  <c r="J1312" i="1"/>
  <c r="K1312" i="1"/>
  <c r="J1314" i="1"/>
  <c r="K1314" i="1"/>
  <c r="J1313" i="1"/>
  <c r="K1313" i="1"/>
  <c r="J1311" i="1"/>
  <c r="K1311" i="1"/>
  <c r="K1334" i="1"/>
  <c r="J1334" i="1"/>
  <c r="K1290" i="1"/>
  <c r="J1290" i="1"/>
  <c r="K1284" i="1"/>
  <c r="J1284" i="1"/>
  <c r="J1298" i="1"/>
  <c r="K1298" i="1"/>
  <c r="J1279" i="1"/>
  <c r="K1279" i="1"/>
  <c r="K1269" i="1"/>
  <c r="J1269" i="1"/>
  <c r="K1273" i="1"/>
  <c r="J1273" i="1"/>
  <c r="K1248" i="1"/>
  <c r="J1248" i="1"/>
  <c r="K1253" i="1"/>
  <c r="J1253" i="1"/>
  <c r="K1261" i="1"/>
  <c r="J1261" i="1"/>
  <c r="K1262" i="1"/>
  <c r="J1262" i="1"/>
  <c r="K1264" i="1"/>
  <c r="J1264" i="1"/>
  <c r="K1277" i="1"/>
  <c r="J1277" i="1"/>
  <c r="K1278" i="1"/>
  <c r="J1278" i="1"/>
  <c r="K1241" i="1"/>
  <c r="J1241" i="1"/>
  <c r="J1207" i="1"/>
  <c r="K1178" i="1"/>
  <c r="J1178" i="1"/>
  <c r="K1242" i="1"/>
  <c r="J1242" i="1"/>
  <c r="F1244" i="1"/>
  <c r="K1244" i="1" s="1"/>
  <c r="F1243" i="1"/>
  <c r="K1243" i="1" s="1"/>
  <c r="K1815" i="1" l="1"/>
  <c r="J1243" i="1"/>
  <c r="J1244" i="1"/>
  <c r="K1226" i="1"/>
  <c r="J1226" i="1"/>
  <c r="K1230" i="1"/>
  <c r="J1230" i="1"/>
  <c r="K1229" i="1"/>
  <c r="J1229" i="1"/>
  <c r="K1224" i="1"/>
  <c r="J1224" i="1"/>
  <c r="K1225" i="1"/>
  <c r="J1225" i="1"/>
  <c r="K1231" i="1"/>
  <c r="J1231" i="1"/>
  <c r="K1228" i="1"/>
  <c r="J1228" i="1"/>
  <c r="K1221" i="1"/>
  <c r="J1221" i="1"/>
  <c r="F1222" i="1"/>
  <c r="J1222" i="1" s="1"/>
  <c r="F1227" i="1"/>
  <c r="K1227" i="1" s="1"/>
  <c r="F1223" i="1"/>
  <c r="K1220" i="1"/>
  <c r="J1220" i="1"/>
  <c r="K1219" i="1"/>
  <c r="J1219" i="1"/>
  <c r="K1216" i="1"/>
  <c r="J1216" i="1"/>
  <c r="K1215" i="1"/>
  <c r="J1215" i="1"/>
  <c r="K1214" i="1"/>
  <c r="J1214" i="1"/>
  <c r="K1218" i="1"/>
  <c r="J1218" i="1"/>
  <c r="K1217" i="1"/>
  <c r="J1217" i="1"/>
  <c r="K1223" i="1" l="1"/>
  <c r="J1223" i="1"/>
  <c r="J1227" i="1"/>
  <c r="K1222" i="1"/>
  <c r="K1210" i="1"/>
  <c r="J1210" i="1"/>
  <c r="K1208" i="1"/>
  <c r="J1208" i="1"/>
  <c r="K1209" i="1"/>
  <c r="J1209" i="1"/>
  <c r="K1213" i="1"/>
  <c r="J1213" i="1"/>
  <c r="K1211" i="1"/>
  <c r="J1211" i="1"/>
  <c r="F1212" i="1"/>
  <c r="K1232" i="1"/>
  <c r="J1232" i="1"/>
  <c r="F1204" i="1"/>
  <c r="F1202" i="1"/>
  <c r="C1202" i="1"/>
  <c r="C1102" i="1"/>
  <c r="C1134" i="1"/>
  <c r="C1039" i="1"/>
  <c r="C896" i="1"/>
  <c r="C808" i="1"/>
  <c r="C744" i="1"/>
  <c r="C717" i="1"/>
  <c r="C637" i="1"/>
  <c r="C581" i="1"/>
  <c r="C559" i="1"/>
  <c r="C556" i="1"/>
  <c r="C426" i="1"/>
  <c r="C384" i="1"/>
  <c r="K1205" i="1"/>
  <c r="J1205" i="1"/>
  <c r="K1206" i="1"/>
  <c r="J1206" i="1"/>
  <c r="K1203" i="1"/>
  <c r="J1203" i="1"/>
  <c r="F740" i="1"/>
  <c r="F739" i="1"/>
  <c r="F1201" i="1"/>
  <c r="F1200" i="1"/>
  <c r="J1200" i="1" s="1"/>
  <c r="K1198" i="1"/>
  <c r="J1199" i="1"/>
  <c r="K1199" i="1"/>
  <c r="F1149" i="1"/>
  <c r="J1109" i="1"/>
  <c r="K1109" i="1"/>
  <c r="J1148" i="1"/>
  <c r="K1148" i="1"/>
  <c r="J1149" i="1"/>
  <c r="K1149" i="1"/>
  <c r="F1147" i="1"/>
  <c r="F1146" i="1"/>
  <c r="F1145" i="1"/>
  <c r="F1185" i="1"/>
  <c r="K1182" i="1"/>
  <c r="K1184" i="1"/>
  <c r="J1184" i="1"/>
  <c r="J1182" i="1"/>
  <c r="K1183" i="1"/>
  <c r="J1183" i="1"/>
  <c r="F1190" i="1"/>
  <c r="K1190" i="1" s="1"/>
  <c r="K1192" i="1"/>
  <c r="J1192" i="1"/>
  <c r="F1194" i="1"/>
  <c r="K1194" i="1" s="1"/>
  <c r="F1189" i="1"/>
  <c r="K1196" i="1"/>
  <c r="J1196" i="1"/>
  <c r="K1195" i="1"/>
  <c r="J1195" i="1"/>
  <c r="K1191" i="1"/>
  <c r="J1191" i="1"/>
  <c r="F1193" i="1"/>
  <c r="J1193" i="1" s="1"/>
  <c r="K1197" i="1"/>
  <c r="J1197" i="1"/>
  <c r="K1156" i="1"/>
  <c r="J1156" i="1"/>
  <c r="K1158" i="1"/>
  <c r="J1158" i="1"/>
  <c r="K1157" i="1"/>
  <c r="J1157" i="1"/>
  <c r="F1159" i="1"/>
  <c r="J1159" i="1" s="1"/>
  <c r="F1162" i="1"/>
  <c r="K1162" i="1" s="1"/>
  <c r="F1161" i="1"/>
  <c r="K1161" i="1" s="1"/>
  <c r="F1165" i="1"/>
  <c r="J1165" i="1" s="1"/>
  <c r="F1164" i="1"/>
  <c r="K1164" i="1" s="1"/>
  <c r="F1163" i="1"/>
  <c r="J1163" i="1" s="1"/>
  <c r="F1160" i="1"/>
  <c r="K1160" i="1" s="1"/>
  <c r="K1179" i="1"/>
  <c r="J1179" i="1"/>
  <c r="K1181" i="1"/>
  <c r="J1181" i="1"/>
  <c r="K1180" i="1"/>
  <c r="J1180" i="1"/>
  <c r="K1174" i="1"/>
  <c r="J1174" i="1"/>
  <c r="K1169" i="1"/>
  <c r="J1169" i="1"/>
  <c r="K1170" i="1"/>
  <c r="J1170" i="1"/>
  <c r="K1173" i="1"/>
  <c r="J1173" i="1"/>
  <c r="K1171" i="1"/>
  <c r="J1171" i="1"/>
  <c r="K1168" i="1"/>
  <c r="J1168" i="1"/>
  <c r="K1167" i="1"/>
  <c r="J1167" i="1"/>
  <c r="K1166" i="1"/>
  <c r="J1166" i="1"/>
  <c r="F1176" i="1"/>
  <c r="K1176" i="1" s="1"/>
  <c r="F1175" i="1"/>
  <c r="K1175" i="1" s="1"/>
  <c r="F1172" i="1"/>
  <c r="K1189" i="1" l="1"/>
  <c r="J1189" i="1"/>
  <c r="K1204" i="1"/>
  <c r="J1204" i="1"/>
  <c r="J1212" i="1"/>
  <c r="K1212" i="1"/>
  <c r="K1202" i="1"/>
  <c r="J1202" i="1"/>
  <c r="K1201" i="1"/>
  <c r="J1201" i="1"/>
  <c r="K1147" i="1"/>
  <c r="J1147" i="1"/>
  <c r="K1146" i="1"/>
  <c r="J1146" i="1"/>
  <c r="K1145" i="1"/>
  <c r="J1145" i="1"/>
  <c r="K1185" i="1"/>
  <c r="J1185" i="1"/>
  <c r="K1172" i="1"/>
  <c r="J1172" i="1"/>
  <c r="K1200" i="1"/>
  <c r="J1198" i="1"/>
  <c r="J1175" i="1"/>
  <c r="K1193" i="1"/>
  <c r="J1176" i="1"/>
  <c r="J1190" i="1"/>
  <c r="J1162" i="1"/>
  <c r="J1160" i="1"/>
  <c r="J1161" i="1"/>
  <c r="K1163" i="1"/>
  <c r="J1164" i="1"/>
  <c r="K1165" i="1"/>
  <c r="K1159" i="1"/>
  <c r="J1194" i="1"/>
  <c r="K1177" i="1"/>
  <c r="J1177" i="1"/>
  <c r="K1152" i="1"/>
  <c r="J1152" i="1"/>
  <c r="K1150" i="1"/>
  <c r="J1150" i="1"/>
  <c r="K1151" i="1"/>
  <c r="J1151" i="1"/>
  <c r="K1153" i="1"/>
  <c r="J1153" i="1"/>
  <c r="K1103" i="1"/>
  <c r="J1103" i="1"/>
  <c r="F1102" i="1"/>
  <c r="K1124" i="1"/>
  <c r="J1124" i="1"/>
  <c r="K1126" i="1"/>
  <c r="J1126" i="1"/>
  <c r="K1117" i="1"/>
  <c r="J1117" i="1"/>
  <c r="F1113" i="1"/>
  <c r="J1113" i="1" s="1"/>
  <c r="F1115" i="1"/>
  <c r="K1115" i="1" s="1"/>
  <c r="F1114" i="1"/>
  <c r="J1114" i="1" s="1"/>
  <c r="F1127" i="1"/>
  <c r="K1127" i="1" s="1"/>
  <c r="F1128" i="1"/>
  <c r="K1128" i="1" s="1"/>
  <c r="F1108" i="1"/>
  <c r="K1108" i="1" s="1"/>
  <c r="F1093" i="1"/>
  <c r="J1093" i="1" s="1"/>
  <c r="F1096" i="1"/>
  <c r="J1096" i="1" s="1"/>
  <c r="F1094" i="1"/>
  <c r="K1094" i="1" s="1"/>
  <c r="F1095" i="1"/>
  <c r="J1095" i="1" s="1"/>
  <c r="F1097" i="1"/>
  <c r="J1097" i="1" s="1"/>
  <c r="K1135" i="1"/>
  <c r="J1135" i="1"/>
  <c r="K1136" i="1"/>
  <c r="J1136" i="1"/>
  <c r="F1130" i="1"/>
  <c r="K1130" i="1" s="1"/>
  <c r="F1133" i="1"/>
  <c r="J1133" i="1" s="1"/>
  <c r="F1131" i="1"/>
  <c r="K1131" i="1" s="1"/>
  <c r="F1132" i="1"/>
  <c r="K1132" i="1" s="1"/>
  <c r="K1141" i="1"/>
  <c r="J1141" i="1"/>
  <c r="F1137" i="1"/>
  <c r="K1137" i="1" s="1"/>
  <c r="F1134" i="1"/>
  <c r="K1134" i="1" s="1"/>
  <c r="F1098" i="1"/>
  <c r="J1098" i="1" s="1"/>
  <c r="K1101" i="1"/>
  <c r="J1101" i="1"/>
  <c r="K1099" i="1"/>
  <c r="J1099" i="1"/>
  <c r="K1100" i="1"/>
  <c r="J1100" i="1"/>
  <c r="K1110" i="1"/>
  <c r="J1110" i="1"/>
  <c r="F1111" i="1"/>
  <c r="K1111" i="1" s="1"/>
  <c r="K1129" i="1"/>
  <c r="J1129" i="1"/>
  <c r="J1119" i="1"/>
  <c r="K1119" i="1"/>
  <c r="J1120" i="1"/>
  <c r="K1120" i="1"/>
  <c r="J1121" i="1"/>
  <c r="K1121" i="1"/>
  <c r="J1122" i="1"/>
  <c r="K1122" i="1"/>
  <c r="J1123" i="1"/>
  <c r="K1123" i="1"/>
  <c r="F1118" i="1"/>
  <c r="J1118" i="1" s="1"/>
  <c r="K1106" i="1"/>
  <c r="J1106" i="1"/>
  <c r="K1107" i="1"/>
  <c r="J1107" i="1"/>
  <c r="K1105" i="1"/>
  <c r="J1105" i="1"/>
  <c r="K1104" i="1"/>
  <c r="J1104" i="1"/>
  <c r="K1125" i="1"/>
  <c r="J1125" i="1"/>
  <c r="F1138" i="1"/>
  <c r="J1138" i="1" s="1"/>
  <c r="F1140" i="1"/>
  <c r="J1140" i="1" s="1"/>
  <c r="F1139" i="1"/>
  <c r="J1139" i="1" s="1"/>
  <c r="K1102" i="1" l="1"/>
  <c r="J1102" i="1"/>
  <c r="J1111" i="1"/>
  <c r="K1113" i="1"/>
  <c r="K1118" i="1"/>
  <c r="K1114" i="1"/>
  <c r="J1128" i="1"/>
  <c r="J1127" i="1"/>
  <c r="K1133" i="1"/>
  <c r="K1138" i="1"/>
  <c r="J1108" i="1"/>
  <c r="K1098" i="1"/>
  <c r="K1140" i="1"/>
  <c r="J1130" i="1"/>
  <c r="K1095" i="1"/>
  <c r="J1094" i="1"/>
  <c r="J1132" i="1"/>
  <c r="K1096" i="1"/>
  <c r="K1139" i="1"/>
  <c r="J1131" i="1"/>
  <c r="K1097" i="1"/>
  <c r="K1093" i="1"/>
  <c r="J1134" i="1"/>
  <c r="J1115" i="1"/>
  <c r="J1137" i="1"/>
  <c r="K1144" i="1" l="1"/>
  <c r="J1144" i="1"/>
  <c r="F1143" i="1"/>
  <c r="K1143" i="1" s="1"/>
  <c r="K1142" i="1"/>
  <c r="J1142" i="1"/>
  <c r="F1112" i="1"/>
  <c r="K1112" i="1" s="1"/>
  <c r="K1116" i="1"/>
  <c r="J1116" i="1"/>
  <c r="K1081" i="1"/>
  <c r="J1081" i="1"/>
  <c r="F1082" i="1"/>
  <c r="K1082" i="1" s="1"/>
  <c r="J1087" i="1"/>
  <c r="I1087" i="1"/>
  <c r="K1087" i="1" s="1"/>
  <c r="K1085" i="1"/>
  <c r="J1085" i="1"/>
  <c r="K1086" i="1"/>
  <c r="J1086" i="1"/>
  <c r="J1089" i="1"/>
  <c r="I1089" i="1"/>
  <c r="K1089" i="1" s="1"/>
  <c r="J1092" i="1"/>
  <c r="I1092" i="1"/>
  <c r="K1092" i="1" s="1"/>
  <c r="J1091" i="1"/>
  <c r="I1091" i="1"/>
  <c r="K1091" i="1" s="1"/>
  <c r="J1084" i="1"/>
  <c r="I1084" i="1"/>
  <c r="K1084" i="1" s="1"/>
  <c r="I1083" i="1"/>
  <c r="K1083" i="1" s="1"/>
  <c r="I1088" i="1"/>
  <c r="K1088" i="1" s="1"/>
  <c r="J1090" i="1"/>
  <c r="J1088" i="1"/>
  <c r="J1083" i="1"/>
  <c r="I1090" i="1"/>
  <c r="K1090" i="1" s="1"/>
  <c r="K1080" i="1"/>
  <c r="J1080" i="1"/>
  <c r="K1077" i="1"/>
  <c r="J1077" i="1"/>
  <c r="K1079" i="1"/>
  <c r="J1079" i="1"/>
  <c r="F1078" i="1"/>
  <c r="K1078" i="1" s="1"/>
  <c r="K1060" i="1"/>
  <c r="J1060" i="1"/>
  <c r="K1057" i="1"/>
  <c r="J1057" i="1"/>
  <c r="K1076" i="1"/>
  <c r="J1076" i="1"/>
  <c r="F1062" i="1"/>
  <c r="J1062" i="1" s="1"/>
  <c r="F1058" i="1"/>
  <c r="J1058" i="1" s="1"/>
  <c r="K1059" i="1"/>
  <c r="J1059" i="1"/>
  <c r="K1051" i="1"/>
  <c r="J1051" i="1"/>
  <c r="K1050" i="1"/>
  <c r="J1050" i="1"/>
  <c r="K1061" i="1"/>
  <c r="J1061" i="1"/>
  <c r="K1056" i="1"/>
  <c r="J1056" i="1"/>
  <c r="K1054" i="1"/>
  <c r="J1054" i="1"/>
  <c r="K1053" i="1"/>
  <c r="J1053" i="1"/>
  <c r="E1055" i="1"/>
  <c r="F1055" i="1"/>
  <c r="J1055" i="1" s="1"/>
  <c r="F1052" i="1"/>
  <c r="J1052" i="1" s="1"/>
  <c r="J1078" i="1" l="1"/>
  <c r="K1058" i="1"/>
  <c r="K1062" i="1"/>
  <c r="J1112" i="1"/>
  <c r="J1082" i="1"/>
  <c r="J1143" i="1"/>
  <c r="K1055" i="1"/>
  <c r="K1052" i="1"/>
  <c r="F1029" i="1"/>
  <c r="K1029" i="1" s="1"/>
  <c r="F1039" i="1"/>
  <c r="K1039" i="1" s="1"/>
  <c r="J1039" i="1"/>
  <c r="F1043" i="1"/>
  <c r="K1043" i="1" s="1"/>
  <c r="F1074" i="1"/>
  <c r="K1074" i="1" s="1"/>
  <c r="F1068" i="1"/>
  <c r="K1068" i="1" s="1"/>
  <c r="F1067" i="1"/>
  <c r="J1067" i="1" s="1"/>
  <c r="F1064" i="1"/>
  <c r="J1064" i="1" s="1"/>
  <c r="F1071" i="1"/>
  <c r="K1071" i="1" s="1"/>
  <c r="F1069" i="1"/>
  <c r="K1069" i="1" s="1"/>
  <c r="F1066" i="1"/>
  <c r="J1066" i="1" s="1"/>
  <c r="F1065" i="1"/>
  <c r="J1065" i="1" s="1"/>
  <c r="F1072" i="1"/>
  <c r="K1072" i="1" s="1"/>
  <c r="F1075" i="1"/>
  <c r="J1075" i="1" s="1"/>
  <c r="F1073" i="1"/>
  <c r="J1073" i="1" s="1"/>
  <c r="F1070" i="1"/>
  <c r="J1070" i="1" s="1"/>
  <c r="K1063" i="1"/>
  <c r="J1063" i="1"/>
  <c r="F1019" i="1"/>
  <c r="K1019" i="1" s="1"/>
  <c r="K1034" i="1"/>
  <c r="J1034" i="1"/>
  <c r="F1044" i="1"/>
  <c r="K1044" i="1" s="1"/>
  <c r="F1045" i="1"/>
  <c r="K1045" i="1" s="1"/>
  <c r="K1046" i="1"/>
  <c r="J1046" i="1"/>
  <c r="K1047" i="1"/>
  <c r="J1047" i="1"/>
  <c r="F1007" i="1"/>
  <c r="F1042" i="1"/>
  <c r="K1042" i="1" s="1"/>
  <c r="F1040" i="1"/>
  <c r="K1040" i="1" s="1"/>
  <c r="F1041" i="1"/>
  <c r="J1041" i="1" s="1"/>
  <c r="F1048" i="1"/>
  <c r="K1048" i="1" s="1"/>
  <c r="F1049" i="1"/>
  <c r="J1049" i="1" s="1"/>
  <c r="J1044" i="1" l="1"/>
  <c r="J1043" i="1"/>
  <c r="K1067" i="1"/>
  <c r="J1042" i="1"/>
  <c r="J1045" i="1"/>
  <c r="J1019" i="1"/>
  <c r="K1064" i="1"/>
  <c r="J1029" i="1"/>
  <c r="J1071" i="1"/>
  <c r="J1069" i="1"/>
  <c r="K1073" i="1"/>
  <c r="K1070" i="1"/>
  <c r="K1075" i="1"/>
  <c r="J1068" i="1"/>
  <c r="J1072" i="1"/>
  <c r="K1066" i="1"/>
  <c r="K1065" i="1"/>
  <c r="J1074" i="1"/>
  <c r="K1049" i="1"/>
  <c r="J1040" i="1"/>
  <c r="K1041" i="1"/>
  <c r="J1048" i="1"/>
  <c r="F999" i="1"/>
  <c r="K999" i="1" s="1"/>
  <c r="F1000" i="1"/>
  <c r="J1000" i="1" s="1"/>
  <c r="F1020" i="1"/>
  <c r="K1020" i="1" s="1"/>
  <c r="F989" i="1"/>
  <c r="K989" i="1" s="1"/>
  <c r="F987" i="1"/>
  <c r="J987" i="1" s="1"/>
  <c r="F988" i="1"/>
  <c r="J988" i="1" s="1"/>
  <c r="F990" i="1"/>
  <c r="J990" i="1" s="1"/>
  <c r="F1002" i="1"/>
  <c r="K1002" i="1" s="1"/>
  <c r="F1001" i="1"/>
  <c r="K1001" i="1" s="1"/>
  <c r="K1007" i="1"/>
  <c r="J1007" i="1"/>
  <c r="K1009" i="1"/>
  <c r="J1009" i="1"/>
  <c r="K1003" i="1"/>
  <c r="J1003" i="1"/>
  <c r="K1005" i="1"/>
  <c r="J1005" i="1"/>
  <c r="K1006" i="1"/>
  <c r="J1006" i="1"/>
  <c r="K1008" i="1"/>
  <c r="J1008" i="1"/>
  <c r="K1004" i="1"/>
  <c r="J1004" i="1"/>
  <c r="K1011" i="1"/>
  <c r="J1011" i="1"/>
  <c r="K1010" i="1"/>
  <c r="J1010" i="1"/>
  <c r="F1012" i="1"/>
  <c r="K1012" i="1" s="1"/>
  <c r="K1015" i="1"/>
  <c r="J1015" i="1"/>
  <c r="K1017" i="1"/>
  <c r="J1017" i="1"/>
  <c r="K1018" i="1"/>
  <c r="J1018" i="1"/>
  <c r="K1013" i="1"/>
  <c r="J1013" i="1"/>
  <c r="K1016" i="1"/>
  <c r="J1016" i="1"/>
  <c r="K1014" i="1"/>
  <c r="J1014" i="1"/>
  <c r="F991" i="1"/>
  <c r="K991" i="1" s="1"/>
  <c r="F996" i="1"/>
  <c r="K996" i="1" s="1"/>
  <c r="F994" i="1"/>
  <c r="J994" i="1" s="1"/>
  <c r="F995" i="1"/>
  <c r="K995" i="1" s="1"/>
  <c r="F993" i="1"/>
  <c r="K993" i="1" s="1"/>
  <c r="F998" i="1"/>
  <c r="K998" i="1" s="1"/>
  <c r="F997" i="1"/>
  <c r="K997" i="1" s="1"/>
  <c r="F992" i="1"/>
  <c r="K992" i="1" s="1"/>
  <c r="K1030" i="1"/>
  <c r="J1030" i="1"/>
  <c r="K873" i="1"/>
  <c r="J873" i="1"/>
  <c r="K871" i="1"/>
  <c r="J871" i="1"/>
  <c r="K868" i="1"/>
  <c r="J868" i="1"/>
  <c r="K870" i="1"/>
  <c r="J870" i="1"/>
  <c r="K1026" i="1"/>
  <c r="J1026" i="1"/>
  <c r="K1025" i="1"/>
  <c r="J1025" i="1"/>
  <c r="F1021" i="1"/>
  <c r="K1021" i="1" s="1"/>
  <c r="F1024" i="1"/>
  <c r="K1024" i="1" s="1"/>
  <c r="F1023" i="1"/>
  <c r="K1023" i="1" s="1"/>
  <c r="K1028" i="1"/>
  <c r="J1028" i="1"/>
  <c r="K1027" i="1"/>
  <c r="J1027" i="1"/>
  <c r="F1037" i="1"/>
  <c r="J1037" i="1" s="1"/>
  <c r="F1035" i="1"/>
  <c r="J1035" i="1" s="1"/>
  <c r="F1036" i="1"/>
  <c r="K1036" i="1" s="1"/>
  <c r="F1038" i="1"/>
  <c r="J1038" i="1" s="1"/>
  <c r="K1033" i="1"/>
  <c r="J1033" i="1"/>
  <c r="J1012" i="1" l="1"/>
  <c r="J999" i="1"/>
  <c r="K994" i="1"/>
  <c r="J996" i="1"/>
  <c r="J991" i="1"/>
  <c r="K987" i="1"/>
  <c r="J989" i="1"/>
  <c r="J995" i="1"/>
  <c r="K988" i="1"/>
  <c r="J992" i="1"/>
  <c r="K990" i="1"/>
  <c r="J998" i="1"/>
  <c r="J993" i="1"/>
  <c r="J997" i="1"/>
  <c r="J1020" i="1"/>
  <c r="K1000" i="1"/>
  <c r="J1002" i="1"/>
  <c r="J1001" i="1"/>
  <c r="K1035" i="1"/>
  <c r="J1024" i="1"/>
  <c r="K1038" i="1"/>
  <c r="J1036" i="1"/>
  <c r="J1021" i="1"/>
  <c r="K1037" i="1"/>
  <c r="J1023" i="1"/>
  <c r="F1032" i="1" l="1"/>
  <c r="J1032" i="1" s="1"/>
  <c r="F1031" i="1"/>
  <c r="J1031" i="1" s="1"/>
  <c r="K986" i="1"/>
  <c r="J986" i="1"/>
  <c r="F918" i="1"/>
  <c r="K918" i="1" s="1"/>
  <c r="F917" i="1"/>
  <c r="K917" i="1" s="1"/>
  <c r="F864" i="1"/>
  <c r="K864" i="1" s="1"/>
  <c r="K1022" i="1"/>
  <c r="J1022" i="1"/>
  <c r="F967" i="1"/>
  <c r="K967" i="1" s="1"/>
  <c r="K966" i="1"/>
  <c r="J966" i="1"/>
  <c r="K937" i="1"/>
  <c r="J937" i="1"/>
  <c r="K936" i="1"/>
  <c r="J936" i="1"/>
  <c r="K935" i="1"/>
  <c r="J935" i="1"/>
  <c r="K934" i="1"/>
  <c r="J934" i="1"/>
  <c r="F924" i="1"/>
  <c r="F923" i="1"/>
  <c r="E924" i="1"/>
  <c r="E923" i="1"/>
  <c r="F950" i="1"/>
  <c r="K950" i="1" s="1"/>
  <c r="F951" i="1"/>
  <c r="J951" i="1" s="1"/>
  <c r="K952" i="1"/>
  <c r="J952" i="1"/>
  <c r="F929" i="1"/>
  <c r="J929" i="1" s="1"/>
  <c r="J928" i="1"/>
  <c r="K928" i="1"/>
  <c r="J933" i="1"/>
  <c r="K933" i="1"/>
  <c r="J932" i="1"/>
  <c r="K932" i="1"/>
  <c r="J926" i="1"/>
  <c r="K926" i="1"/>
  <c r="J931" i="1"/>
  <c r="K931" i="1"/>
  <c r="J927" i="1"/>
  <c r="K927" i="1"/>
  <c r="J930" i="1"/>
  <c r="K930" i="1"/>
  <c r="F925" i="1"/>
  <c r="J925" i="1" s="1"/>
  <c r="J940" i="1"/>
  <c r="K940" i="1"/>
  <c r="J942" i="1"/>
  <c r="K942" i="1"/>
  <c r="J943" i="1"/>
  <c r="K943" i="1"/>
  <c r="J944" i="1"/>
  <c r="K944" i="1"/>
  <c r="J946" i="1"/>
  <c r="K946" i="1"/>
  <c r="J938" i="1"/>
  <c r="K938" i="1"/>
  <c r="J941" i="1"/>
  <c r="K941" i="1"/>
  <c r="J945" i="1"/>
  <c r="K945" i="1"/>
  <c r="J947" i="1"/>
  <c r="K947" i="1"/>
  <c r="J939" i="1"/>
  <c r="K939" i="1"/>
  <c r="J949" i="1"/>
  <c r="K949" i="1"/>
  <c r="J948" i="1"/>
  <c r="K948" i="1"/>
  <c r="F953" i="1"/>
  <c r="J953" i="1" s="1"/>
  <c r="F961" i="1"/>
  <c r="K961" i="1" s="1"/>
  <c r="F956" i="1"/>
  <c r="K956" i="1" s="1"/>
  <c r="F960" i="1"/>
  <c r="J960" i="1" s="1"/>
  <c r="F959" i="1"/>
  <c r="K959" i="1" s="1"/>
  <c r="F957" i="1"/>
  <c r="K957" i="1" s="1"/>
  <c r="F954" i="1"/>
  <c r="K954" i="1" s="1"/>
  <c r="F958" i="1"/>
  <c r="J958" i="1" s="1"/>
  <c r="F955" i="1"/>
  <c r="K929" i="1" l="1"/>
  <c r="J967" i="1"/>
  <c r="K951" i="1"/>
  <c r="J950" i="1"/>
  <c r="K925" i="1"/>
  <c r="K923" i="1"/>
  <c r="K924" i="1"/>
  <c r="J864" i="1"/>
  <c r="J918" i="1"/>
  <c r="J917" i="1"/>
  <c r="K1032" i="1"/>
  <c r="K1031" i="1"/>
  <c r="J959" i="1"/>
  <c r="J923" i="1"/>
  <c r="J954" i="1"/>
  <c r="K958" i="1"/>
  <c r="K960" i="1"/>
  <c r="J956" i="1"/>
  <c r="J957" i="1"/>
  <c r="J961" i="1"/>
  <c r="K953" i="1"/>
  <c r="J924" i="1"/>
  <c r="J955" i="1" l="1"/>
  <c r="K955" i="1"/>
  <c r="K969" i="1"/>
  <c r="J969" i="1"/>
  <c r="J976" i="1"/>
  <c r="I976" i="1"/>
  <c r="K976" i="1" s="1"/>
  <c r="I971" i="1"/>
  <c r="K971" i="1" s="1"/>
  <c r="I970" i="1"/>
  <c r="K970" i="1" s="1"/>
  <c r="I975" i="1"/>
  <c r="K975" i="1" s="1"/>
  <c r="I968" i="1"/>
  <c r="K968" i="1" s="1"/>
  <c r="I977" i="1"/>
  <c r="K977" i="1" s="1"/>
  <c r="I974" i="1"/>
  <c r="K974" i="1" s="1"/>
  <c r="K973" i="1"/>
  <c r="I972" i="1"/>
  <c r="K972" i="1" s="1"/>
  <c r="J972" i="1"/>
  <c r="J974" i="1"/>
  <c r="J977" i="1"/>
  <c r="J968" i="1"/>
  <c r="J975" i="1"/>
  <c r="J973" i="1"/>
  <c r="J970" i="1"/>
  <c r="J971" i="1"/>
  <c r="K965" i="1"/>
  <c r="J965" i="1"/>
  <c r="K964" i="1"/>
  <c r="J964" i="1"/>
  <c r="K963" i="1"/>
  <c r="J963" i="1"/>
  <c r="K962" i="1"/>
  <c r="J962" i="1"/>
  <c r="K983" i="1"/>
  <c r="J983" i="1"/>
  <c r="K984" i="1"/>
  <c r="J984" i="1"/>
  <c r="F985" i="1"/>
  <c r="J985" i="1" s="1"/>
  <c r="E985" i="1"/>
  <c r="K979" i="1"/>
  <c r="J979" i="1"/>
  <c r="K980" i="1"/>
  <c r="J980" i="1"/>
  <c r="K978" i="1"/>
  <c r="J978" i="1"/>
  <c r="F981" i="1"/>
  <c r="K982" i="1"/>
  <c r="J982" i="1"/>
  <c r="E839" i="1"/>
  <c r="E838" i="1"/>
  <c r="F912" i="1"/>
  <c r="K912" i="1" s="1"/>
  <c r="K911" i="1"/>
  <c r="J911" i="1"/>
  <c r="K921" i="1"/>
  <c r="J921" i="1"/>
  <c r="F922" i="1"/>
  <c r="K922" i="1" s="1"/>
  <c r="F906" i="1"/>
  <c r="K906" i="1" s="1"/>
  <c r="F902" i="1"/>
  <c r="K902" i="1" s="1"/>
  <c r="F905" i="1"/>
  <c r="J905" i="1" s="1"/>
  <c r="F904" i="1"/>
  <c r="K904" i="1" s="1"/>
  <c r="F903" i="1"/>
  <c r="J903" i="1" s="1"/>
  <c r="F907" i="1"/>
  <c r="J907" i="1" s="1"/>
  <c r="F908" i="1"/>
  <c r="K908" i="1" s="1"/>
  <c r="F910" i="1"/>
  <c r="K910" i="1" s="1"/>
  <c r="K920" i="1"/>
  <c r="J920" i="1"/>
  <c r="F909" i="1"/>
  <c r="K909" i="1" s="1"/>
  <c r="K883" i="1"/>
  <c r="J883" i="1"/>
  <c r="K884" i="1"/>
  <c r="J884" i="1"/>
  <c r="K882" i="1"/>
  <c r="J882" i="1"/>
  <c r="K881" i="1"/>
  <c r="J881" i="1"/>
  <c r="K900" i="1"/>
  <c r="J900" i="1"/>
  <c r="K901" i="1"/>
  <c r="J901" i="1"/>
  <c r="F916" i="1"/>
  <c r="K916" i="1" s="1"/>
  <c r="K919" i="1"/>
  <c r="J919" i="1"/>
  <c r="E897" i="1"/>
  <c r="F897" i="1"/>
  <c r="J897" i="1" s="1"/>
  <c r="F896" i="1"/>
  <c r="K896" i="1" s="1"/>
  <c r="K914" i="1"/>
  <c r="J914" i="1"/>
  <c r="K913" i="1"/>
  <c r="J913" i="1"/>
  <c r="K915" i="1"/>
  <c r="J915" i="1"/>
  <c r="F877" i="1"/>
  <c r="J877" i="1" s="1"/>
  <c r="K872" i="1"/>
  <c r="J872" i="1"/>
  <c r="K879" i="1"/>
  <c r="J879" i="1"/>
  <c r="K866" i="1"/>
  <c r="J866" i="1"/>
  <c r="K875" i="1"/>
  <c r="J875" i="1"/>
  <c r="K869" i="1"/>
  <c r="J869" i="1"/>
  <c r="K878" i="1"/>
  <c r="J878" i="1"/>
  <c r="K867" i="1"/>
  <c r="J867" i="1"/>
  <c r="K880" i="1"/>
  <c r="J880" i="1"/>
  <c r="K876" i="1"/>
  <c r="J876" i="1"/>
  <c r="F874" i="1"/>
  <c r="K874" i="1" s="1"/>
  <c r="F865" i="1"/>
  <c r="K865" i="1" s="1"/>
  <c r="K899" i="1"/>
  <c r="J899" i="1"/>
  <c r="K898" i="1"/>
  <c r="J898" i="1"/>
  <c r="K887" i="1"/>
  <c r="J887" i="1"/>
  <c r="K893" i="1"/>
  <c r="J893" i="1"/>
  <c r="K892" i="1"/>
  <c r="J892" i="1"/>
  <c r="K891" i="1"/>
  <c r="J891" i="1"/>
  <c r="K894" i="1"/>
  <c r="J894" i="1"/>
  <c r="K888" i="1"/>
  <c r="J888" i="1"/>
  <c r="K889" i="1"/>
  <c r="J889" i="1"/>
  <c r="K885" i="1"/>
  <c r="J885" i="1"/>
  <c r="K895" i="1"/>
  <c r="J895" i="1"/>
  <c r="K886" i="1"/>
  <c r="J886" i="1"/>
  <c r="F890" i="1"/>
  <c r="K890" i="1" s="1"/>
  <c r="J981" i="1" l="1"/>
  <c r="K981" i="1"/>
  <c r="K897" i="1"/>
  <c r="K985" i="1"/>
  <c r="J874" i="1"/>
  <c r="J865" i="1"/>
  <c r="J916" i="1"/>
  <c r="J890" i="1"/>
  <c r="J896" i="1"/>
  <c r="J912" i="1"/>
  <c r="J922" i="1"/>
  <c r="K905" i="1"/>
  <c r="J904" i="1"/>
  <c r="J902" i="1"/>
  <c r="K907" i="1"/>
  <c r="J909" i="1"/>
  <c r="J910" i="1"/>
  <c r="K903" i="1"/>
  <c r="J906" i="1"/>
  <c r="J908" i="1"/>
  <c r="K877" i="1"/>
  <c r="J21" i="8" l="1"/>
  <c r="J17" i="8"/>
  <c r="J16" i="8"/>
  <c r="J13" i="8"/>
  <c r="J12" i="8"/>
  <c r="J8" i="8"/>
  <c r="J4" i="8"/>
  <c r="J7" i="8"/>
  <c r="J6" i="8"/>
  <c r="J5" i="8"/>
  <c r="H14" i="8"/>
  <c r="H18" i="8" s="1"/>
  <c r="G14" i="8"/>
  <c r="G18" i="8" s="1"/>
  <c r="H9" i="8"/>
  <c r="G9" i="8"/>
  <c r="F854" i="1"/>
  <c r="K854" i="1" s="1"/>
  <c r="F852" i="1"/>
  <c r="K852" i="1" s="1"/>
  <c r="F849" i="1"/>
  <c r="K849" i="1" s="1"/>
  <c r="F848" i="1"/>
  <c r="K848" i="1" s="1"/>
  <c r="K853" i="1"/>
  <c r="J853" i="1"/>
  <c r="K855" i="1"/>
  <c r="J855" i="1"/>
  <c r="K851" i="1"/>
  <c r="J851" i="1"/>
  <c r="K850" i="1"/>
  <c r="J850" i="1"/>
  <c r="K856" i="1"/>
  <c r="J856" i="1"/>
  <c r="K857" i="1"/>
  <c r="J857" i="1"/>
  <c r="K858" i="1"/>
  <c r="J858" i="1"/>
  <c r="F859" i="1"/>
  <c r="J859" i="1" s="1"/>
  <c r="E859" i="1"/>
  <c r="F822" i="1"/>
  <c r="K822" i="1" s="1"/>
  <c r="F825" i="1"/>
  <c r="K825" i="1" s="1"/>
  <c r="F824" i="1"/>
  <c r="J824" i="1" s="1"/>
  <c r="F823" i="1"/>
  <c r="E824" i="1"/>
  <c r="E823" i="1"/>
  <c r="K832" i="1"/>
  <c r="J832" i="1"/>
  <c r="F833" i="1"/>
  <c r="K833" i="1" s="1"/>
  <c r="K862" i="1"/>
  <c r="J862" i="1"/>
  <c r="K861" i="1"/>
  <c r="J861" i="1"/>
  <c r="K863" i="1"/>
  <c r="J863" i="1"/>
  <c r="K860" i="1"/>
  <c r="J860" i="1"/>
  <c r="K846" i="1"/>
  <c r="J846" i="1"/>
  <c r="K845" i="1"/>
  <c r="J845" i="1"/>
  <c r="K844" i="1"/>
  <c r="J844" i="1"/>
  <c r="K841" i="1"/>
  <c r="J841" i="1"/>
  <c r="K840" i="1"/>
  <c r="J840" i="1"/>
  <c r="K839" i="1"/>
  <c r="J839" i="1"/>
  <c r="K838" i="1"/>
  <c r="J838" i="1"/>
  <c r="K843" i="1"/>
  <c r="J843" i="1"/>
  <c r="K842" i="1"/>
  <c r="J842" i="1"/>
  <c r="K847" i="1"/>
  <c r="J847" i="1"/>
  <c r="J763" i="1"/>
  <c r="K763" i="1"/>
  <c r="J758" i="1"/>
  <c r="K758" i="1"/>
  <c r="J759" i="1"/>
  <c r="K759" i="1"/>
  <c r="J760" i="1"/>
  <c r="K760" i="1"/>
  <c r="J761" i="1"/>
  <c r="K761" i="1"/>
  <c r="J762" i="1"/>
  <c r="K762" i="1"/>
  <c r="K785" i="1"/>
  <c r="J785" i="1"/>
  <c r="F786" i="1"/>
  <c r="K786" i="1" s="1"/>
  <c r="F784" i="1"/>
  <c r="K784" i="1" s="1"/>
  <c r="K740" i="1"/>
  <c r="J739" i="1"/>
  <c r="E4" i="8"/>
  <c r="E5" i="8"/>
  <c r="E3" i="8"/>
  <c r="F835" i="1"/>
  <c r="K835" i="1" s="1"/>
  <c r="F836" i="1"/>
  <c r="K836" i="1" s="1"/>
  <c r="F834" i="1"/>
  <c r="K834" i="1" s="1"/>
  <c r="F837" i="1"/>
  <c r="K837" i="1" s="1"/>
  <c r="J828" i="1"/>
  <c r="K828" i="1"/>
  <c r="J830" i="1"/>
  <c r="K830" i="1"/>
  <c r="J829" i="1"/>
  <c r="K829" i="1"/>
  <c r="J826" i="1"/>
  <c r="K826" i="1"/>
  <c r="F827" i="1"/>
  <c r="J827" i="1" s="1"/>
  <c r="F831" i="1"/>
  <c r="J831" i="1" s="1"/>
  <c r="F816" i="1"/>
  <c r="K816" i="1" s="1"/>
  <c r="E819" i="1"/>
  <c r="K819" i="1" s="1"/>
  <c r="J819" i="1"/>
  <c r="F817" i="1"/>
  <c r="J817" i="1" s="1"/>
  <c r="K815" i="1"/>
  <c r="J815" i="1"/>
  <c r="F818" i="1"/>
  <c r="K818" i="1" s="1"/>
  <c r="F820" i="1"/>
  <c r="J820" i="1" s="1"/>
  <c r="F821" i="1"/>
  <c r="J821" i="1" s="1"/>
  <c r="K813" i="1"/>
  <c r="J813" i="1"/>
  <c r="K812" i="1"/>
  <c r="J812" i="1"/>
  <c r="K814" i="1"/>
  <c r="J814" i="1"/>
  <c r="J811" i="1"/>
  <c r="K811" i="1"/>
  <c r="J810" i="1"/>
  <c r="K810" i="1"/>
  <c r="K797" i="1"/>
  <c r="J797" i="1"/>
  <c r="K798" i="1"/>
  <c r="J798" i="1"/>
  <c r="K795" i="1"/>
  <c r="J795" i="1"/>
  <c r="K796" i="1"/>
  <c r="J796" i="1"/>
  <c r="K859" i="1" l="1"/>
  <c r="K823" i="1"/>
  <c r="J833" i="1"/>
  <c r="J823" i="1"/>
  <c r="K827" i="1"/>
  <c r="J825" i="1"/>
  <c r="J822" i="1"/>
  <c r="K824" i="1"/>
  <c r="J848" i="1"/>
  <c r="J849" i="1"/>
  <c r="J854" i="1"/>
  <c r="J852" i="1"/>
  <c r="G1" i="8"/>
  <c r="H1" i="8"/>
  <c r="K739" i="1"/>
  <c r="K820" i="1"/>
  <c r="K821" i="1"/>
  <c r="J816" i="1"/>
  <c r="J784" i="1"/>
  <c r="J786" i="1"/>
  <c r="K817" i="1"/>
  <c r="J818" i="1"/>
  <c r="J740" i="1"/>
  <c r="K831" i="1"/>
  <c r="J836" i="1"/>
  <c r="J837" i="1"/>
  <c r="J834" i="1"/>
  <c r="J835" i="1"/>
  <c r="F809" i="1"/>
  <c r="K809" i="1" s="1"/>
  <c r="F808" i="1"/>
  <c r="K808" i="1" s="1"/>
  <c r="J809" i="1" l="1"/>
  <c r="J808" i="1"/>
  <c r="F801" i="1"/>
  <c r="K801" i="1" s="1"/>
  <c r="F802" i="1"/>
  <c r="J802" i="1" s="1"/>
  <c r="F803" i="1"/>
  <c r="J803" i="1" s="1"/>
  <c r="F805" i="1"/>
  <c r="J805" i="1" s="1"/>
  <c r="F806" i="1"/>
  <c r="K806" i="1" s="1"/>
  <c r="F804" i="1"/>
  <c r="J804" i="1" s="1"/>
  <c r="J799" i="1"/>
  <c r="K799" i="1"/>
  <c r="J800" i="1"/>
  <c r="K800" i="1"/>
  <c r="J775" i="1"/>
  <c r="K775" i="1"/>
  <c r="K776" i="1"/>
  <c r="J776" i="1"/>
  <c r="K794" i="1"/>
  <c r="J794" i="1"/>
  <c r="K792" i="1"/>
  <c r="J792" i="1"/>
  <c r="K788" i="1"/>
  <c r="J788" i="1"/>
  <c r="K807" i="1"/>
  <c r="J807" i="1"/>
  <c r="K789" i="1"/>
  <c r="J789" i="1"/>
  <c r="K793" i="1"/>
  <c r="J793" i="1"/>
  <c r="K802" i="1" l="1"/>
  <c r="J801" i="1"/>
  <c r="J806" i="1"/>
  <c r="K804" i="1"/>
  <c r="K805" i="1"/>
  <c r="K803" i="1"/>
  <c r="K791" i="1" l="1"/>
  <c r="J791" i="1"/>
  <c r="K790" i="1"/>
  <c r="J790" i="1"/>
  <c r="J687" i="1"/>
  <c r="K687" i="1"/>
  <c r="J692" i="1"/>
  <c r="K692" i="1"/>
  <c r="J696" i="1"/>
  <c r="K696" i="1"/>
  <c r="J685" i="1"/>
  <c r="K685" i="1"/>
  <c r="F683" i="1" l="1"/>
  <c r="K683" i="1" s="1"/>
  <c r="F752" i="1"/>
  <c r="J752" i="1" s="1"/>
  <c r="F751" i="1"/>
  <c r="J751" i="1" s="1"/>
  <c r="J711" i="1"/>
  <c r="K711" i="1"/>
  <c r="F710" i="1"/>
  <c r="J710" i="1" s="1"/>
  <c r="F709" i="1"/>
  <c r="J709" i="1" s="1"/>
  <c r="J683" i="1" l="1"/>
  <c r="K709" i="1"/>
  <c r="K710" i="1"/>
  <c r="K751" i="1"/>
  <c r="K752" i="1"/>
  <c r="F773" i="1"/>
  <c r="K773" i="1" s="1"/>
  <c r="F765" i="1"/>
  <c r="K765" i="1" s="1"/>
  <c r="F768" i="1"/>
  <c r="K768" i="1" s="1"/>
  <c r="F770" i="1"/>
  <c r="K770" i="1" s="1"/>
  <c r="F767" i="1"/>
  <c r="K767" i="1" s="1"/>
  <c r="F774" i="1"/>
  <c r="K774" i="1" s="1"/>
  <c r="F772" i="1"/>
  <c r="K772" i="1" s="1"/>
  <c r="F778" i="1"/>
  <c r="K778" i="1" s="1"/>
  <c r="F777" i="1"/>
  <c r="K777" i="1" s="1"/>
  <c r="F779" i="1"/>
  <c r="J779" i="1" s="1"/>
  <c r="F780" i="1"/>
  <c r="K780" i="1" s="1"/>
  <c r="F744" i="1"/>
  <c r="K744" i="1" s="1"/>
  <c r="K747" i="1"/>
  <c r="J747" i="1"/>
  <c r="F741" i="1"/>
  <c r="J741" i="1" s="1"/>
  <c r="K746" i="1"/>
  <c r="J746" i="1"/>
  <c r="K749" i="1"/>
  <c r="J749" i="1"/>
  <c r="K742" i="1"/>
  <c r="J742" i="1"/>
  <c r="K745" i="1"/>
  <c r="J745" i="1"/>
  <c r="K750" i="1"/>
  <c r="J750" i="1"/>
  <c r="K743" i="1"/>
  <c r="J743" i="1"/>
  <c r="K748" i="1"/>
  <c r="J748" i="1"/>
  <c r="K757" i="1"/>
  <c r="J757" i="1"/>
  <c r="J781" i="1"/>
  <c r="K781" i="1"/>
  <c r="J783" i="1"/>
  <c r="K783" i="1"/>
  <c r="J782" i="1"/>
  <c r="K782" i="1"/>
  <c r="J764" i="1"/>
  <c r="K764" i="1"/>
  <c r="J771" i="1"/>
  <c r="K771" i="1"/>
  <c r="J769" i="1"/>
  <c r="K769" i="1"/>
  <c r="J766" i="1"/>
  <c r="K766" i="1"/>
  <c r="K787" i="1"/>
  <c r="J787" i="1"/>
  <c r="F756" i="1"/>
  <c r="K756" i="1" s="1"/>
  <c r="F754" i="1"/>
  <c r="K754" i="1" s="1"/>
  <c r="F755" i="1"/>
  <c r="J755" i="1" s="1"/>
  <c r="F753" i="1"/>
  <c r="K753" i="1" s="1"/>
  <c r="F613" i="1"/>
  <c r="K613" i="1" s="1"/>
  <c r="F716" i="1"/>
  <c r="K716" i="1" s="1"/>
  <c r="F715" i="1"/>
  <c r="J715" i="1" s="1"/>
  <c r="F728" i="1"/>
  <c r="K728" i="1" s="1"/>
  <c r="F732" i="1"/>
  <c r="K732" i="1" s="1"/>
  <c r="F727" i="1"/>
  <c r="J727" i="1" s="1"/>
  <c r="J777" i="1" l="1"/>
  <c r="J744" i="1"/>
  <c r="K741" i="1"/>
  <c r="K727" i="1"/>
  <c r="K755" i="1"/>
  <c r="J754" i="1"/>
  <c r="J756" i="1"/>
  <c r="K715" i="1"/>
  <c r="K779" i="1"/>
  <c r="J778" i="1"/>
  <c r="J780" i="1"/>
  <c r="J767" i="1"/>
  <c r="J772" i="1"/>
  <c r="J768" i="1"/>
  <c r="J753" i="1"/>
  <c r="J774" i="1"/>
  <c r="J765" i="1"/>
  <c r="J773" i="1"/>
  <c r="J770" i="1"/>
  <c r="J613" i="1"/>
  <c r="J716" i="1"/>
  <c r="J728" i="1"/>
  <c r="J732" i="1"/>
  <c r="F734" i="1"/>
  <c r="J734" i="1" s="1"/>
  <c r="F733" i="1"/>
  <c r="J733" i="1" s="1"/>
  <c r="F719" i="1"/>
  <c r="K719" i="1" s="1"/>
  <c r="F707" i="1"/>
  <c r="K707" i="1" s="1"/>
  <c r="F708" i="1"/>
  <c r="K708" i="1" s="1"/>
  <c r="F705" i="1"/>
  <c r="K705" i="1" s="1"/>
  <c r="F706" i="1"/>
  <c r="K706" i="1" s="1"/>
  <c r="K684" i="1"/>
  <c r="J684" i="1"/>
  <c r="K695" i="1"/>
  <c r="J695" i="1"/>
  <c r="K691" i="1"/>
  <c r="J691" i="1"/>
  <c r="K689" i="1"/>
  <c r="J689" i="1"/>
  <c r="F718" i="1"/>
  <c r="J718" i="1" s="1"/>
  <c r="F704" i="1"/>
  <c r="J704" i="1" s="1"/>
  <c r="F717" i="1"/>
  <c r="K717" i="1" s="1"/>
  <c r="F723" i="1"/>
  <c r="J723" i="1" s="1"/>
  <c r="F726" i="1"/>
  <c r="J726" i="1" s="1"/>
  <c r="F724" i="1"/>
  <c r="K724" i="1" s="1"/>
  <c r="F721" i="1"/>
  <c r="K721" i="1" s="1"/>
  <c r="F725" i="1"/>
  <c r="K725" i="1" s="1"/>
  <c r="F722" i="1"/>
  <c r="K722" i="1" s="1"/>
  <c r="F720" i="1"/>
  <c r="K720" i="1" s="1"/>
  <c r="F681" i="1"/>
  <c r="J681" i="1" s="1"/>
  <c r="F680" i="1"/>
  <c r="K680" i="1" s="1"/>
  <c r="K714" i="1"/>
  <c r="J714" i="1"/>
  <c r="K713" i="1"/>
  <c r="J713" i="1"/>
  <c r="K676" i="1"/>
  <c r="J676" i="1"/>
  <c r="K678" i="1"/>
  <c r="J678" i="1"/>
  <c r="K665" i="1"/>
  <c r="J665" i="1"/>
  <c r="K668" i="1"/>
  <c r="J668" i="1"/>
  <c r="J666" i="1"/>
  <c r="J667" i="1"/>
  <c r="E666" i="1"/>
  <c r="K666" i="1" s="1"/>
  <c r="E667" i="1"/>
  <c r="K667" i="1" s="1"/>
  <c r="K679" i="1"/>
  <c r="J679" i="1"/>
  <c r="K675" i="1"/>
  <c r="J675" i="1"/>
  <c r="F677" i="1"/>
  <c r="J677" i="1" s="1"/>
  <c r="K674" i="1"/>
  <c r="J674" i="1"/>
  <c r="K669" i="1"/>
  <c r="J669" i="1"/>
  <c r="K673" i="1"/>
  <c r="J673" i="1"/>
  <c r="K670" i="1"/>
  <c r="J670" i="1"/>
  <c r="K671" i="1"/>
  <c r="J671" i="1"/>
  <c r="K672" i="1"/>
  <c r="J672" i="1"/>
  <c r="F698" i="1"/>
  <c r="K698" i="1" s="1"/>
  <c r="F712" i="1"/>
  <c r="J712" i="1" s="1"/>
  <c r="F697" i="1"/>
  <c r="K697" i="1" s="1"/>
  <c r="F699" i="1"/>
  <c r="K699" i="1" s="1"/>
  <c r="F702" i="1"/>
  <c r="J702" i="1" s="1"/>
  <c r="F701" i="1"/>
  <c r="K701" i="1" s="1"/>
  <c r="F703" i="1"/>
  <c r="K703" i="1" s="1"/>
  <c r="F700" i="1"/>
  <c r="K700" i="1" s="1"/>
  <c r="K682" i="1"/>
  <c r="J682" i="1"/>
  <c r="J690" i="1"/>
  <c r="K690" i="1"/>
  <c r="J688" i="1"/>
  <c r="K688" i="1"/>
  <c r="J694" i="1"/>
  <c r="K694" i="1"/>
  <c r="J693" i="1"/>
  <c r="K693" i="1"/>
  <c r="F686" i="1"/>
  <c r="J686" i="1" s="1"/>
  <c r="F595" i="1"/>
  <c r="J595" i="1" s="1"/>
  <c r="K642" i="1"/>
  <c r="J642" i="1"/>
  <c r="F646" i="1"/>
  <c r="K646" i="1" s="1"/>
  <c r="F637" i="1"/>
  <c r="K637" i="1" s="1"/>
  <c r="F639" i="1"/>
  <c r="K639" i="1" s="1"/>
  <c r="F638" i="1"/>
  <c r="K638" i="1" s="1"/>
  <c r="F648" i="1"/>
  <c r="K648" i="1" s="1"/>
  <c r="K647" i="1"/>
  <c r="J647" i="1"/>
  <c r="F656" i="1"/>
  <c r="K656" i="1" s="1"/>
  <c r="K657" i="1"/>
  <c r="J657" i="1"/>
  <c r="K660" i="1"/>
  <c r="J660" i="1"/>
  <c r="K662" i="1"/>
  <c r="J662" i="1"/>
  <c r="K664" i="1"/>
  <c r="J664" i="1"/>
  <c r="K661" i="1"/>
  <c r="J661" i="1"/>
  <c r="K663" i="1"/>
  <c r="J663" i="1"/>
  <c r="K658" i="1"/>
  <c r="J658" i="1"/>
  <c r="K659" i="1"/>
  <c r="J659" i="1"/>
  <c r="K649" i="1"/>
  <c r="J649" i="1"/>
  <c r="K650" i="1"/>
  <c r="J650" i="1"/>
  <c r="F645" i="1"/>
  <c r="J645" i="1" s="1"/>
  <c r="F653" i="1"/>
  <c r="K653" i="1" s="1"/>
  <c r="F651" i="1"/>
  <c r="K651" i="1" s="1"/>
  <c r="F654" i="1"/>
  <c r="K654" i="1" s="1"/>
  <c r="F652" i="1"/>
  <c r="J652" i="1" s="1"/>
  <c r="F655" i="1"/>
  <c r="K655" i="1" s="1"/>
  <c r="K640" i="1"/>
  <c r="J640" i="1"/>
  <c r="K644" i="1"/>
  <c r="J644" i="1"/>
  <c r="K643" i="1"/>
  <c r="J643" i="1"/>
  <c r="K641" i="1"/>
  <c r="J641" i="1"/>
  <c r="K636" i="1"/>
  <c r="J636" i="1"/>
  <c r="K633" i="1"/>
  <c r="J633" i="1"/>
  <c r="K634" i="1"/>
  <c r="J634" i="1"/>
  <c r="K631" i="1"/>
  <c r="J631" i="1"/>
  <c r="K635" i="1"/>
  <c r="J635" i="1"/>
  <c r="K630" i="1"/>
  <c r="J630" i="1"/>
  <c r="F632" i="1"/>
  <c r="K632" i="1" s="1"/>
  <c r="K629" i="1"/>
  <c r="J629" i="1"/>
  <c r="F584" i="1"/>
  <c r="K584" i="1" s="1"/>
  <c r="K626" i="1"/>
  <c r="J626" i="1"/>
  <c r="K566" i="1"/>
  <c r="J566" i="1"/>
  <c r="K567" i="1"/>
  <c r="J567" i="1"/>
  <c r="F581" i="1"/>
  <c r="K581" i="1" s="1"/>
  <c r="F582" i="1"/>
  <c r="J582" i="1" s="1"/>
  <c r="E582" i="1"/>
  <c r="K585" i="1"/>
  <c r="J585" i="1"/>
  <c r="K569" i="1"/>
  <c r="J569" i="1"/>
  <c r="K571" i="1"/>
  <c r="J571" i="1"/>
  <c r="K576" i="1"/>
  <c r="J576" i="1"/>
  <c r="K548" i="1"/>
  <c r="J548" i="1"/>
  <c r="K551" i="1"/>
  <c r="J551" i="1"/>
  <c r="K550" i="1"/>
  <c r="J550" i="1"/>
  <c r="K549" i="1"/>
  <c r="J549" i="1"/>
  <c r="F594" i="1"/>
  <c r="K594" i="1" s="1"/>
  <c r="F589" i="1"/>
  <c r="K589" i="1" s="1"/>
  <c r="F590" i="1"/>
  <c r="K590" i="1" s="1"/>
  <c r="J547" i="1"/>
  <c r="K547" i="1"/>
  <c r="J546" i="1"/>
  <c r="K546" i="1"/>
  <c r="J596" i="1"/>
  <c r="K596" i="1"/>
  <c r="K601" i="1"/>
  <c r="J601" i="1"/>
  <c r="K602" i="1"/>
  <c r="J602" i="1"/>
  <c r="K599" i="1"/>
  <c r="J599" i="1"/>
  <c r="K598" i="1"/>
  <c r="J598" i="1"/>
  <c r="K603" i="1"/>
  <c r="J603" i="1"/>
  <c r="K597" i="1"/>
  <c r="J597" i="1"/>
  <c r="K600" i="1"/>
  <c r="J600" i="1"/>
  <c r="K615" i="1"/>
  <c r="J615" i="1"/>
  <c r="K617" i="1"/>
  <c r="J617" i="1"/>
  <c r="K620" i="1"/>
  <c r="J620" i="1"/>
  <c r="K618" i="1"/>
  <c r="J618" i="1"/>
  <c r="K616" i="1"/>
  <c r="J616" i="1"/>
  <c r="K614" i="1"/>
  <c r="J614" i="1"/>
  <c r="K619" i="1"/>
  <c r="J619" i="1"/>
  <c r="K621" i="1"/>
  <c r="J621" i="1"/>
  <c r="K622" i="1"/>
  <c r="J622" i="1"/>
  <c r="K609" i="1"/>
  <c r="J609" i="1"/>
  <c r="F608" i="1"/>
  <c r="K608" i="1" s="1"/>
  <c r="F611" i="1"/>
  <c r="K611" i="1" s="1"/>
  <c r="F607" i="1"/>
  <c r="K607" i="1" s="1"/>
  <c r="F606" i="1"/>
  <c r="K606" i="1" s="1"/>
  <c r="F604" i="1"/>
  <c r="K604" i="1" s="1"/>
  <c r="F612" i="1"/>
  <c r="J612" i="1" s="1"/>
  <c r="F610" i="1"/>
  <c r="J610" i="1" s="1"/>
  <c r="F605" i="1"/>
  <c r="K605" i="1" s="1"/>
  <c r="K587" i="1"/>
  <c r="J587" i="1"/>
  <c r="F591" i="1"/>
  <c r="K591" i="1" s="1"/>
  <c r="F588" i="1"/>
  <c r="K588" i="1" s="1"/>
  <c r="F592" i="1"/>
  <c r="K592" i="1" s="1"/>
  <c r="F593" i="1"/>
  <c r="J593" i="1" s="1"/>
  <c r="K568" i="1"/>
  <c r="J568" i="1"/>
  <c r="K578" i="1"/>
  <c r="J578" i="1"/>
  <c r="K575" i="1"/>
  <c r="J575" i="1"/>
  <c r="K579" i="1"/>
  <c r="J579" i="1"/>
  <c r="K574" i="1"/>
  <c r="J574" i="1"/>
  <c r="K577" i="1"/>
  <c r="J577" i="1"/>
  <c r="K570" i="1"/>
  <c r="J570" i="1"/>
  <c r="K573" i="1"/>
  <c r="J573" i="1"/>
  <c r="K572" i="1"/>
  <c r="J572" i="1"/>
  <c r="K580" i="1"/>
  <c r="J580" i="1"/>
  <c r="K565" i="1"/>
  <c r="J565" i="1"/>
  <c r="K563" i="1"/>
  <c r="J563" i="1"/>
  <c r="F583" i="1"/>
  <c r="K583" i="1" s="1"/>
  <c r="K628" i="1"/>
  <c r="J628" i="1"/>
  <c r="K624" i="1"/>
  <c r="J624" i="1"/>
  <c r="K623" i="1"/>
  <c r="J623" i="1"/>
  <c r="K625" i="1"/>
  <c r="J625" i="1"/>
  <c r="K627" i="1"/>
  <c r="J627" i="1"/>
  <c r="F559" i="1"/>
  <c r="J559" i="1" s="1"/>
  <c r="F562" i="1"/>
  <c r="K562" i="1" s="1"/>
  <c r="J581" i="1" l="1"/>
  <c r="J638" i="1"/>
  <c r="J639" i="1"/>
  <c r="K582" i="1"/>
  <c r="K718" i="1"/>
  <c r="J719" i="1"/>
  <c r="K677" i="1"/>
  <c r="J717" i="1"/>
  <c r="K704" i="1"/>
  <c r="J656" i="1"/>
  <c r="K686" i="1"/>
  <c r="J632" i="1"/>
  <c r="J722" i="1"/>
  <c r="K734" i="1"/>
  <c r="K702" i="1"/>
  <c r="K733" i="1"/>
  <c r="J707" i="1"/>
  <c r="J705" i="1"/>
  <c r="J680" i="1"/>
  <c r="K681" i="1"/>
  <c r="K726" i="1"/>
  <c r="J725" i="1"/>
  <c r="K645" i="1"/>
  <c r="J699" i="1"/>
  <c r="J721" i="1"/>
  <c r="J708" i="1"/>
  <c r="J720" i="1"/>
  <c r="K723" i="1"/>
  <c r="J724" i="1"/>
  <c r="J706" i="1"/>
  <c r="K652" i="1"/>
  <c r="J654" i="1"/>
  <c r="K712" i="1"/>
  <c r="J700" i="1"/>
  <c r="J698" i="1"/>
  <c r="J651" i="1"/>
  <c r="J648" i="1"/>
  <c r="J703" i="1"/>
  <c r="J655" i="1"/>
  <c r="J653" i="1"/>
  <c r="J637" i="1"/>
  <c r="K595" i="1"/>
  <c r="J701" i="1"/>
  <c r="J697" i="1"/>
  <c r="J646" i="1"/>
  <c r="J590" i="1"/>
  <c r="J589" i="1"/>
  <c r="J594" i="1"/>
  <c r="J584" i="1"/>
  <c r="J605" i="1"/>
  <c r="K610" i="1"/>
  <c r="J606" i="1"/>
  <c r="J607" i="1"/>
  <c r="J611" i="1"/>
  <c r="K612" i="1"/>
  <c r="J604" i="1"/>
  <c r="J608" i="1"/>
  <c r="J592" i="1"/>
  <c r="J591" i="1"/>
  <c r="J588" i="1"/>
  <c r="K593" i="1"/>
  <c r="J562" i="1"/>
  <c r="J583" i="1"/>
  <c r="K559" i="1"/>
  <c r="C564" i="1"/>
  <c r="F564" i="1"/>
  <c r="J564" i="1" s="1"/>
  <c r="F560" i="1"/>
  <c r="K560" i="1" s="1"/>
  <c r="F561" i="1"/>
  <c r="K561" i="1" s="1"/>
  <c r="C561" i="1"/>
  <c r="F558" i="1"/>
  <c r="J558" i="1" s="1"/>
  <c r="F557" i="1"/>
  <c r="J557" i="1" s="1"/>
  <c r="F556" i="1"/>
  <c r="J556" i="1" s="1"/>
  <c r="C557" i="1"/>
  <c r="F555" i="1"/>
  <c r="K555" i="1" s="1"/>
  <c r="F552" i="1"/>
  <c r="J552" i="1" s="1"/>
  <c r="F554" i="1"/>
  <c r="K554" i="1" s="1"/>
  <c r="F553" i="1"/>
  <c r="J553" i="1" s="1"/>
  <c r="E553" i="1"/>
  <c r="F532" i="1"/>
  <c r="K532" i="1" s="1"/>
  <c r="K528" i="1"/>
  <c r="J528" i="1"/>
  <c r="K524" i="1"/>
  <c r="J524" i="1"/>
  <c r="K525" i="1"/>
  <c r="J525" i="1"/>
  <c r="K531" i="1"/>
  <c r="J531" i="1"/>
  <c r="K527" i="1"/>
  <c r="J527" i="1"/>
  <c r="K529" i="1"/>
  <c r="J529" i="1"/>
  <c r="K526" i="1"/>
  <c r="J526" i="1"/>
  <c r="K530" i="1"/>
  <c r="J530" i="1"/>
  <c r="F536" i="1"/>
  <c r="K536" i="1" s="1"/>
  <c r="F539" i="1"/>
  <c r="K539" i="1" s="1"/>
  <c r="F537" i="1"/>
  <c r="K537" i="1" s="1"/>
  <c r="F540" i="1"/>
  <c r="J540" i="1" s="1"/>
  <c r="F535" i="1"/>
  <c r="K535" i="1" s="1"/>
  <c r="F541" i="1"/>
  <c r="K541" i="1" s="1"/>
  <c r="F538" i="1"/>
  <c r="K538" i="1" s="1"/>
  <c r="J533" i="1"/>
  <c r="K533" i="1"/>
  <c r="J534" i="1"/>
  <c r="K534" i="1"/>
  <c r="K553" i="1" l="1"/>
  <c r="K552" i="1"/>
  <c r="J560" i="1"/>
  <c r="K557" i="1"/>
  <c r="J561" i="1"/>
  <c r="K564" i="1"/>
  <c r="J554" i="1"/>
  <c r="K558" i="1"/>
  <c r="J555" i="1"/>
  <c r="J541" i="1"/>
  <c r="K556" i="1"/>
  <c r="J532" i="1"/>
  <c r="J539" i="1"/>
  <c r="J535" i="1"/>
  <c r="J536" i="1"/>
  <c r="K540" i="1"/>
  <c r="J538" i="1"/>
  <c r="J537" i="1"/>
  <c r="K544" i="1" l="1"/>
  <c r="J544" i="1"/>
  <c r="K543" i="1"/>
  <c r="J543" i="1"/>
  <c r="K542" i="1"/>
  <c r="J542" i="1"/>
  <c r="K545" i="1"/>
  <c r="J545" i="1"/>
  <c r="F514" i="1"/>
  <c r="K514" i="1" s="1"/>
  <c r="F515" i="1"/>
  <c r="K515" i="1" s="1"/>
  <c r="K434" i="1"/>
  <c r="J434" i="1"/>
  <c r="F505" i="1"/>
  <c r="J505" i="1" s="1"/>
  <c r="F507" i="1"/>
  <c r="F506" i="1"/>
  <c r="E507" i="1"/>
  <c r="E506" i="1"/>
  <c r="J513" i="1"/>
  <c r="K513" i="1"/>
  <c r="F512" i="1"/>
  <c r="J512" i="1" s="1"/>
  <c r="F519" i="1"/>
  <c r="K519" i="1" s="1"/>
  <c r="F516" i="1"/>
  <c r="K516" i="1" s="1"/>
  <c r="F517" i="1"/>
  <c r="K517" i="1" s="1"/>
  <c r="K511" i="1"/>
  <c r="J511" i="1"/>
  <c r="K509" i="1"/>
  <c r="J509" i="1"/>
  <c r="K508" i="1"/>
  <c r="J508" i="1"/>
  <c r="K510" i="1"/>
  <c r="J510" i="1"/>
  <c r="F521" i="1"/>
  <c r="K521" i="1" s="1"/>
  <c r="F520" i="1"/>
  <c r="K520" i="1" s="1"/>
  <c r="K518" i="1"/>
  <c r="J518" i="1"/>
  <c r="F522" i="1"/>
  <c r="K522" i="1" s="1"/>
  <c r="F523" i="1"/>
  <c r="K523" i="1" s="1"/>
  <c r="F476" i="1"/>
  <c r="J476" i="1" s="1"/>
  <c r="F474" i="1"/>
  <c r="J474" i="1" s="1"/>
  <c r="F475" i="1"/>
  <c r="K475" i="1" s="1"/>
  <c r="F494" i="1"/>
  <c r="J494" i="1" s="1"/>
  <c r="F500" i="1"/>
  <c r="J500" i="1" s="1"/>
  <c r="F491" i="1"/>
  <c r="J491" i="1" s="1"/>
  <c r="F497" i="1"/>
  <c r="J497" i="1" s="1"/>
  <c r="F493" i="1"/>
  <c r="K493" i="1" s="1"/>
  <c r="F492" i="1"/>
  <c r="K492" i="1" s="1"/>
  <c r="F490" i="1"/>
  <c r="K490" i="1" s="1"/>
  <c r="F504" i="1"/>
  <c r="K504" i="1" s="1"/>
  <c r="F503" i="1"/>
  <c r="K503" i="1" s="1"/>
  <c r="F501" i="1"/>
  <c r="K501" i="1" s="1"/>
  <c r="F499" i="1"/>
  <c r="K499" i="1" s="1"/>
  <c r="F495" i="1"/>
  <c r="J495" i="1" s="1"/>
  <c r="F502" i="1"/>
  <c r="K502" i="1" s="1"/>
  <c r="F498" i="1"/>
  <c r="K498" i="1" s="1"/>
  <c r="F496" i="1"/>
  <c r="K496" i="1" s="1"/>
  <c r="F489" i="1"/>
  <c r="K489" i="1" s="1"/>
  <c r="F487" i="1"/>
  <c r="K487" i="1" s="1"/>
  <c r="F486" i="1"/>
  <c r="J486" i="1" s="1"/>
  <c r="F488" i="1"/>
  <c r="J488" i="1" s="1"/>
  <c r="K495" i="1"/>
  <c r="F485" i="1"/>
  <c r="K485" i="1" s="1"/>
  <c r="F481" i="1"/>
  <c r="K481" i="1" s="1"/>
  <c r="F480" i="1"/>
  <c r="K480" i="1" s="1"/>
  <c r="K482" i="1"/>
  <c r="J482" i="1"/>
  <c r="K483" i="1"/>
  <c r="J483" i="1"/>
  <c r="K478" i="1"/>
  <c r="J478" i="1"/>
  <c r="F484" i="1"/>
  <c r="K484" i="1" s="1"/>
  <c r="F479" i="1"/>
  <c r="K479" i="1" s="1"/>
  <c r="K477" i="1"/>
  <c r="J477" i="1"/>
  <c r="F433" i="1"/>
  <c r="K433" i="1" s="1"/>
  <c r="F432" i="1"/>
  <c r="J432" i="1" s="1"/>
  <c r="E432" i="1"/>
  <c r="F444" i="1"/>
  <c r="K444" i="1" s="1"/>
  <c r="K430" i="1"/>
  <c r="J430" i="1"/>
  <c r="F440" i="1"/>
  <c r="K440" i="1" s="1"/>
  <c r="F438" i="1"/>
  <c r="K438" i="1" s="1"/>
  <c r="F439" i="1"/>
  <c r="J439" i="1" s="1"/>
  <c r="F431" i="1"/>
  <c r="K431" i="1" s="1"/>
  <c r="K429" i="1"/>
  <c r="J429" i="1"/>
  <c r="K469" i="1"/>
  <c r="J469" i="1"/>
  <c r="K471" i="1"/>
  <c r="J471" i="1"/>
  <c r="K466" i="1"/>
  <c r="J466" i="1"/>
  <c r="K472" i="1"/>
  <c r="J472" i="1"/>
  <c r="K473" i="1"/>
  <c r="J473" i="1"/>
  <c r="K467" i="1"/>
  <c r="J467" i="1"/>
  <c r="K468" i="1"/>
  <c r="J468" i="1"/>
  <c r="K446" i="1"/>
  <c r="J446" i="1"/>
  <c r="K445" i="1"/>
  <c r="J445" i="1"/>
  <c r="K454" i="1"/>
  <c r="J454" i="1"/>
  <c r="K452" i="1"/>
  <c r="J452" i="1"/>
  <c r="K449" i="1"/>
  <c r="J449" i="1"/>
  <c r="K453" i="1"/>
  <c r="J453" i="1"/>
  <c r="K450" i="1"/>
  <c r="J450" i="1"/>
  <c r="K451" i="1"/>
  <c r="J451" i="1"/>
  <c r="K447" i="1"/>
  <c r="J447" i="1"/>
  <c r="K448" i="1"/>
  <c r="J448" i="1"/>
  <c r="F462" i="1"/>
  <c r="K462" i="1" s="1"/>
  <c r="F460" i="1"/>
  <c r="K460" i="1" s="1"/>
  <c r="K459" i="1"/>
  <c r="J459" i="1"/>
  <c r="F461" i="1"/>
  <c r="K461" i="1" s="1"/>
  <c r="F458" i="1"/>
  <c r="K458" i="1" s="1"/>
  <c r="F463" i="1"/>
  <c r="K463" i="1" s="1"/>
  <c r="F420" i="1"/>
  <c r="K420" i="1" s="1"/>
  <c r="F435" i="1"/>
  <c r="K435" i="1" s="1"/>
  <c r="F455" i="1"/>
  <c r="K455" i="1" s="1"/>
  <c r="F456" i="1"/>
  <c r="K456" i="1" s="1"/>
  <c r="F443" i="1"/>
  <c r="K443" i="1" s="1"/>
  <c r="F465" i="1"/>
  <c r="K465" i="1" s="1"/>
  <c r="K436" i="1"/>
  <c r="J436" i="1"/>
  <c r="K437" i="1"/>
  <c r="J437" i="1"/>
  <c r="K245" i="1"/>
  <c r="J245" i="1"/>
  <c r="K247" i="1"/>
  <c r="J247" i="1"/>
  <c r="K236" i="1"/>
  <c r="J236" i="1"/>
  <c r="K234" i="1"/>
  <c r="J234" i="1"/>
  <c r="K235" i="1"/>
  <c r="J235" i="1"/>
  <c r="F411" i="1"/>
  <c r="K411" i="1" s="1"/>
  <c r="F416" i="1"/>
  <c r="K416" i="1" s="1"/>
  <c r="F413" i="1"/>
  <c r="K413" i="1" s="1"/>
  <c r="F412" i="1"/>
  <c r="J412" i="1" s="1"/>
  <c r="K370" i="1"/>
  <c r="J370" i="1"/>
  <c r="J395" i="1"/>
  <c r="J418" i="1"/>
  <c r="K398" i="1"/>
  <c r="J398" i="1"/>
  <c r="K396" i="1"/>
  <c r="J396" i="1"/>
  <c r="K394" i="1"/>
  <c r="J394" i="1"/>
  <c r="K395" i="1"/>
  <c r="K418" i="1"/>
  <c r="K417" i="1"/>
  <c r="J417" i="1"/>
  <c r="K419" i="1"/>
  <c r="J419" i="1"/>
  <c r="F407" i="1"/>
  <c r="K407" i="1" s="1"/>
  <c r="F406" i="1"/>
  <c r="J406" i="1" s="1"/>
  <c r="F405" i="1"/>
  <c r="K405" i="1" s="1"/>
  <c r="F409" i="1"/>
  <c r="J409" i="1" s="1"/>
  <c r="F403" i="1"/>
  <c r="K403" i="1" s="1"/>
  <c r="F404" i="1"/>
  <c r="J404" i="1" s="1"/>
  <c r="F408" i="1"/>
  <c r="K408" i="1" s="1"/>
  <c r="K401" i="1"/>
  <c r="J401" i="1"/>
  <c r="K402" i="1"/>
  <c r="J402" i="1"/>
  <c r="F400" i="1"/>
  <c r="K400" i="1" s="1"/>
  <c r="K399" i="1"/>
  <c r="J399" i="1"/>
  <c r="K297" i="1"/>
  <c r="J297" i="1"/>
  <c r="K295" i="1"/>
  <c r="J295" i="1"/>
  <c r="K290" i="1"/>
  <c r="J290" i="1"/>
  <c r="K287" i="1"/>
  <c r="J287" i="1"/>
  <c r="K369" i="1"/>
  <c r="J369" i="1"/>
  <c r="F343" i="1"/>
  <c r="K343" i="1" s="1"/>
  <c r="F345" i="1"/>
  <c r="K345" i="1" s="1"/>
  <c r="F358" i="1"/>
  <c r="J358" i="1" s="1"/>
  <c r="F351" i="1"/>
  <c r="K351" i="1" s="1"/>
  <c r="F350" i="1"/>
  <c r="K350" i="1" s="1"/>
  <c r="F348" i="1"/>
  <c r="K348" i="1" s="1"/>
  <c r="F366" i="1"/>
  <c r="K366" i="1" s="1"/>
  <c r="K331" i="1"/>
  <c r="J331" i="1"/>
  <c r="F333" i="1"/>
  <c r="J333" i="1" s="1"/>
  <c r="F335" i="1"/>
  <c r="J335" i="1" s="1"/>
  <c r="F301" i="1"/>
  <c r="K301" i="1" s="1"/>
  <c r="F305" i="1"/>
  <c r="J305" i="1" s="1"/>
  <c r="F304" i="1"/>
  <c r="K304" i="1" s="1"/>
  <c r="F303" i="1"/>
  <c r="K303" i="1" s="1"/>
  <c r="F302" i="1"/>
  <c r="J302" i="1" s="1"/>
  <c r="F300" i="1"/>
  <c r="J300" i="1" s="1"/>
  <c r="F306" i="1"/>
  <c r="K306" i="1" s="1"/>
  <c r="F397" i="1"/>
  <c r="K397" i="1" s="1"/>
  <c r="F410" i="1"/>
  <c r="K410" i="1" s="1"/>
  <c r="F424" i="1"/>
  <c r="K424" i="1" s="1"/>
  <c r="F421" i="1"/>
  <c r="K421" i="1" s="1"/>
  <c r="F422" i="1"/>
  <c r="K422" i="1" s="1"/>
  <c r="F423" i="1"/>
  <c r="K423" i="1" s="1"/>
  <c r="F425" i="1"/>
  <c r="K425" i="1" s="1"/>
  <c r="K428" i="1"/>
  <c r="J428" i="1"/>
  <c r="F427" i="1"/>
  <c r="J427" i="1" s="1"/>
  <c r="F426" i="1"/>
  <c r="J426" i="1" s="1"/>
  <c r="K296" i="1"/>
  <c r="J296" i="1"/>
  <c r="K293" i="1"/>
  <c r="J293" i="1"/>
  <c r="K288" i="1"/>
  <c r="J288" i="1"/>
  <c r="K286" i="1"/>
  <c r="J286" i="1"/>
  <c r="F415" i="1"/>
  <c r="J415" i="1" s="1"/>
  <c r="F414" i="1"/>
  <c r="K414" i="1" s="1"/>
  <c r="F389" i="1"/>
  <c r="K389" i="1" s="1"/>
  <c r="F381" i="1"/>
  <c r="K381" i="1" s="1"/>
  <c r="F380" i="1"/>
  <c r="K380" i="1" s="1"/>
  <c r="F379" i="1"/>
  <c r="J379" i="1" s="1"/>
  <c r="F384" i="1"/>
  <c r="K384" i="1" s="1"/>
  <c r="F390" i="1"/>
  <c r="K390" i="1" s="1"/>
  <c r="F383" i="1"/>
  <c r="K383" i="1" s="1"/>
  <c r="F382" i="1"/>
  <c r="K382" i="1" s="1"/>
  <c r="F392" i="1"/>
  <c r="K392" i="1" s="1"/>
  <c r="F391" i="1"/>
  <c r="K391" i="1" s="1"/>
  <c r="F393" i="1"/>
  <c r="K393" i="1" s="1"/>
  <c r="F387" i="1"/>
  <c r="K387" i="1" s="1"/>
  <c r="C387" i="1"/>
  <c r="F388" i="1"/>
  <c r="K388" i="1" s="1"/>
  <c r="C388" i="1"/>
  <c r="F385" i="1"/>
  <c r="J385" i="1" s="1"/>
  <c r="F386" i="1"/>
  <c r="K386" i="1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/>
  <c r="B31" i="5" a="1"/>
  <c r="B31" i="5" s="1"/>
  <c r="B32" i="5" a="1"/>
  <c r="B32" i="5" s="1"/>
  <c r="B33" i="5" a="1"/>
  <c r="B33" i="5" s="1"/>
  <c r="B34" i="5" a="1"/>
  <c r="B34" i="5"/>
  <c r="B35" i="5" a="1"/>
  <c r="B35" i="5" s="1"/>
  <c r="B36" i="5" a="1"/>
  <c r="B36" i="5" s="1"/>
  <c r="B37" i="5" a="1"/>
  <c r="B37" i="5" s="1"/>
  <c r="B38" i="5" a="1"/>
  <c r="B38" i="5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/>
  <c r="B269" i="5" a="1"/>
  <c r="B269" i="5" s="1"/>
  <c r="B270" i="5" a="1"/>
  <c r="B270" i="5" s="1"/>
  <c r="B271" i="5" a="1"/>
  <c r="B271" i="5" s="1"/>
  <c r="B272" i="5" a="1"/>
  <c r="B272" i="5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/>
  <c r="B285" i="5" a="1"/>
  <c r="B285" i="5" s="1"/>
  <c r="B286" i="5" a="1"/>
  <c r="B286" i="5" s="1"/>
  <c r="B287" i="5" a="1"/>
  <c r="B287" i="5" s="1"/>
  <c r="B288" i="5" a="1"/>
  <c r="B288" i="5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/>
  <c r="B301" i="5" a="1"/>
  <c r="B301" i="5" s="1"/>
  <c r="B302" i="5" a="1"/>
  <c r="B302" i="5" s="1"/>
  <c r="B303" i="5" a="1"/>
  <c r="B303" i="5" s="1"/>
  <c r="B304" i="5" a="1"/>
  <c r="B304" i="5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F372" i="1"/>
  <c r="J372" i="1" s="1"/>
  <c r="F373" i="1"/>
  <c r="K373" i="1" s="1"/>
  <c r="F377" i="1"/>
  <c r="J377" i="1" s="1"/>
  <c r="F371" i="1"/>
  <c r="J371" i="1" s="1"/>
  <c r="F376" i="1"/>
  <c r="J376" i="1" s="1"/>
  <c r="F375" i="1"/>
  <c r="K375" i="1" s="1"/>
  <c r="F374" i="1"/>
  <c r="K374" i="1" s="1"/>
  <c r="F378" i="1"/>
  <c r="J378" i="1" s="1"/>
  <c r="K506" i="1" l="1"/>
  <c r="K432" i="1"/>
  <c r="K507" i="1"/>
  <c r="J521" i="1"/>
  <c r="J516" i="1"/>
  <c r="K497" i="1"/>
  <c r="J487" i="1"/>
  <c r="J489" i="1"/>
  <c r="K491" i="1"/>
  <c r="J507" i="1"/>
  <c r="K486" i="1"/>
  <c r="J515" i="1"/>
  <c r="K476" i="1"/>
  <c r="K505" i="1"/>
  <c r="K512" i="1"/>
  <c r="J514" i="1"/>
  <c r="J506" i="1"/>
  <c r="J517" i="1"/>
  <c r="K474" i="1"/>
  <c r="J519" i="1"/>
  <c r="J499" i="1"/>
  <c r="J475" i="1"/>
  <c r="J523" i="1"/>
  <c r="J502" i="1"/>
  <c r="J520" i="1"/>
  <c r="J522" i="1"/>
  <c r="J501" i="1"/>
  <c r="K439" i="1"/>
  <c r="J503" i="1"/>
  <c r="J496" i="1"/>
  <c r="J504" i="1"/>
  <c r="J431" i="1"/>
  <c r="J480" i="1"/>
  <c r="J479" i="1"/>
  <c r="J485" i="1"/>
  <c r="J490" i="1"/>
  <c r="J481" i="1"/>
  <c r="J484" i="1"/>
  <c r="K488" i="1"/>
  <c r="J498" i="1"/>
  <c r="J493" i="1"/>
  <c r="K500" i="1"/>
  <c r="K494" i="1"/>
  <c r="J492" i="1"/>
  <c r="J463" i="1"/>
  <c r="J444" i="1"/>
  <c r="K426" i="1"/>
  <c r="J456" i="1"/>
  <c r="J389" i="1"/>
  <c r="K427" i="1"/>
  <c r="J461" i="1"/>
  <c r="J433" i="1"/>
  <c r="J390" i="1"/>
  <c r="J397" i="1"/>
  <c r="J465" i="1"/>
  <c r="J435" i="1"/>
  <c r="J458" i="1"/>
  <c r="J438" i="1"/>
  <c r="J420" i="1"/>
  <c r="J460" i="1"/>
  <c r="J462" i="1"/>
  <c r="K335" i="1"/>
  <c r="K333" i="1"/>
  <c r="J384" i="1"/>
  <c r="J440" i="1"/>
  <c r="J443" i="1"/>
  <c r="J455" i="1"/>
  <c r="J410" i="1"/>
  <c r="K415" i="1"/>
  <c r="J400" i="1"/>
  <c r="J414" i="1"/>
  <c r="J411" i="1"/>
  <c r="J413" i="1"/>
  <c r="K412" i="1"/>
  <c r="J416" i="1"/>
  <c r="J408" i="1"/>
  <c r="K409" i="1"/>
  <c r="J405" i="1"/>
  <c r="K404" i="1"/>
  <c r="K406" i="1"/>
  <c r="J403" i="1"/>
  <c r="J407" i="1"/>
  <c r="K300" i="1"/>
  <c r="J350" i="1"/>
  <c r="J351" i="1"/>
  <c r="J301" i="1"/>
  <c r="J423" i="1"/>
  <c r="K358" i="1"/>
  <c r="J425" i="1"/>
  <c r="J304" i="1"/>
  <c r="J343" i="1"/>
  <c r="J424" i="1"/>
  <c r="K305" i="1"/>
  <c r="J422" i="1"/>
  <c r="K302" i="1"/>
  <c r="J366" i="1"/>
  <c r="J303" i="1"/>
  <c r="J421" i="1"/>
  <c r="J348" i="1"/>
  <c r="J345" i="1"/>
  <c r="J306" i="1"/>
  <c r="K385" i="1"/>
  <c r="J383" i="1"/>
  <c r="J387" i="1"/>
  <c r="J386" i="1"/>
  <c r="J388" i="1"/>
  <c r="K379" i="1"/>
  <c r="J380" i="1"/>
  <c r="J381" i="1"/>
  <c r="J382" i="1"/>
  <c r="J392" i="1"/>
  <c r="J391" i="1"/>
  <c r="J393" i="1"/>
  <c r="K377" i="1"/>
  <c r="J375" i="1"/>
  <c r="J374" i="1"/>
  <c r="K372" i="1"/>
  <c r="J373" i="1"/>
  <c r="K376" i="1"/>
  <c r="K371" i="1"/>
  <c r="K378" i="1"/>
  <c r="F328" i="1"/>
  <c r="K328" i="1" s="1"/>
  <c r="F329" i="1"/>
  <c r="K329" i="1" s="1"/>
  <c r="F337" i="1"/>
  <c r="K337" i="1" s="1"/>
  <c r="E336" i="1"/>
  <c r="F336" i="1" s="1"/>
  <c r="K336" i="1" s="1"/>
  <c r="K298" i="1"/>
  <c r="J298" i="1"/>
  <c r="K294" i="1"/>
  <c r="J294" i="1"/>
  <c r="K292" i="1"/>
  <c r="J292" i="1"/>
  <c r="K291" i="1"/>
  <c r="J291" i="1"/>
  <c r="K289" i="1"/>
  <c r="J289" i="1"/>
  <c r="K299" i="1"/>
  <c r="J299" i="1"/>
  <c r="F342" i="1"/>
  <c r="K342" i="1" s="1"/>
  <c r="F344" i="1"/>
  <c r="K344" i="1" s="1"/>
  <c r="F357" i="1"/>
  <c r="K357" i="1" s="1"/>
  <c r="F353" i="1"/>
  <c r="K353" i="1" s="1"/>
  <c r="F349" i="1"/>
  <c r="K349" i="1" s="1"/>
  <c r="F347" i="1"/>
  <c r="J347" i="1" s="1"/>
  <c r="F365" i="1"/>
  <c r="K365" i="1" s="1"/>
  <c r="K237" i="1"/>
  <c r="J237" i="1"/>
  <c r="K325" i="1"/>
  <c r="J325" i="1"/>
  <c r="K326" i="1"/>
  <c r="J326" i="1"/>
  <c r="K327" i="1"/>
  <c r="J327" i="1"/>
  <c r="K318" i="1"/>
  <c r="J318" i="1"/>
  <c r="K322" i="1"/>
  <c r="J322" i="1"/>
  <c r="K321" i="1"/>
  <c r="J321" i="1"/>
  <c r="K320" i="1"/>
  <c r="J320" i="1"/>
  <c r="K324" i="1"/>
  <c r="J324" i="1"/>
  <c r="K323" i="1"/>
  <c r="J323" i="1"/>
  <c r="K319" i="1"/>
  <c r="J319" i="1"/>
  <c r="F354" i="1"/>
  <c r="J354" i="1" s="1"/>
  <c r="F356" i="1"/>
  <c r="J356" i="1" s="1"/>
  <c r="F352" i="1"/>
  <c r="J352" i="1" s="1"/>
  <c r="F361" i="1"/>
  <c r="K361" i="1" s="1"/>
  <c r="F360" i="1"/>
  <c r="J360" i="1" s="1"/>
  <c r="F346" i="1"/>
  <c r="K346" i="1" s="1"/>
  <c r="F362" i="1"/>
  <c r="K362" i="1" s="1"/>
  <c r="F340" i="1"/>
  <c r="J340" i="1" s="1"/>
  <c r="F338" i="1"/>
  <c r="J338" i="1" s="1"/>
  <c r="F339" i="1"/>
  <c r="K339" i="1" s="1"/>
  <c r="F363" i="1"/>
  <c r="K363" i="1" s="1"/>
  <c r="F359" i="1"/>
  <c r="J359" i="1" s="1"/>
  <c r="F367" i="1"/>
  <c r="J367" i="1" s="1"/>
  <c r="F364" i="1"/>
  <c r="J364" i="1" s="1"/>
  <c r="F341" i="1"/>
  <c r="K341" i="1" s="1"/>
  <c r="F355" i="1"/>
  <c r="K355" i="1" s="1"/>
  <c r="F332" i="1"/>
  <c r="J332" i="1" s="1"/>
  <c r="F334" i="1"/>
  <c r="K334" i="1" s="1"/>
  <c r="K330" i="1"/>
  <c r="J330" i="1"/>
  <c r="K368" i="1"/>
  <c r="J368" i="1"/>
  <c r="F274" i="1"/>
  <c r="J274" i="1" s="1"/>
  <c r="F276" i="1"/>
  <c r="K276" i="1" s="1"/>
  <c r="F272" i="1"/>
  <c r="K272" i="1" s="1"/>
  <c r="F277" i="1"/>
  <c r="J277" i="1" s="1"/>
  <c r="F278" i="1"/>
  <c r="K278" i="1" s="1"/>
  <c r="F273" i="1"/>
  <c r="K273" i="1" s="1"/>
  <c r="F275" i="1"/>
  <c r="K275" i="1" s="1"/>
  <c r="K266" i="1"/>
  <c r="J266" i="1"/>
  <c r="K267" i="1"/>
  <c r="J267" i="1"/>
  <c r="K265" i="1"/>
  <c r="J265" i="1"/>
  <c r="K238" i="1"/>
  <c r="J238" i="1"/>
  <c r="K239" i="1"/>
  <c r="J239" i="1"/>
  <c r="F248" i="1"/>
  <c r="J248" i="1" s="1"/>
  <c r="F249" i="1"/>
  <c r="K249" i="1" s="1"/>
  <c r="F258" i="1"/>
  <c r="K258" i="1" s="1"/>
  <c r="F253" i="1"/>
  <c r="K253" i="1" s="1"/>
  <c r="F255" i="1"/>
  <c r="K255" i="1" s="1"/>
  <c r="F251" i="1"/>
  <c r="J251" i="1" s="1"/>
  <c r="F250" i="1"/>
  <c r="K250" i="1" s="1"/>
  <c r="F256" i="1"/>
  <c r="J256" i="1" s="1"/>
  <c r="F254" i="1"/>
  <c r="K254" i="1" s="1"/>
  <c r="F257" i="1"/>
  <c r="J257" i="1" s="1"/>
  <c r="F252" i="1"/>
  <c r="J252" i="1" s="1"/>
  <c r="K308" i="1"/>
  <c r="J308" i="1"/>
  <c r="K307" i="1"/>
  <c r="J307" i="1"/>
  <c r="K309" i="1"/>
  <c r="J309" i="1"/>
  <c r="K281" i="1"/>
  <c r="K282" i="1"/>
  <c r="K280" i="1"/>
  <c r="K285" i="1"/>
  <c r="K284" i="1"/>
  <c r="K283" i="1"/>
  <c r="K279" i="1"/>
  <c r="J283" i="1"/>
  <c r="J284" i="1"/>
  <c r="J285" i="1"/>
  <c r="J280" i="1"/>
  <c r="J282" i="1"/>
  <c r="J281" i="1"/>
  <c r="J279" i="1"/>
  <c r="F314" i="1"/>
  <c r="K314" i="1" s="1"/>
  <c r="F313" i="1"/>
  <c r="K313" i="1" s="1"/>
  <c r="F311" i="1"/>
  <c r="K311" i="1" s="1"/>
  <c r="F315" i="1"/>
  <c r="K315" i="1" s="1"/>
  <c r="F312" i="1"/>
  <c r="K312" i="1" s="1"/>
  <c r="F316" i="1"/>
  <c r="K316" i="1" s="1"/>
  <c r="K317" i="1"/>
  <c r="J317" i="1"/>
  <c r="K310" i="1"/>
  <c r="J310" i="1"/>
  <c r="F271" i="1"/>
  <c r="J271" i="1" s="1"/>
  <c r="F269" i="1"/>
  <c r="K269" i="1" s="1"/>
  <c r="F263" i="1"/>
  <c r="K263" i="1" s="1"/>
  <c r="F261" i="1"/>
  <c r="K261" i="1" s="1"/>
  <c r="F259" i="1"/>
  <c r="J259" i="1" s="1"/>
  <c r="F262" i="1"/>
  <c r="K262" i="1" s="1"/>
  <c r="F260" i="1"/>
  <c r="K260" i="1" s="1"/>
  <c r="K264" i="1"/>
  <c r="J264" i="1"/>
  <c r="F270" i="1"/>
  <c r="J270" i="1" s="1"/>
  <c r="F268" i="1"/>
  <c r="J268" i="1" s="1"/>
  <c r="K243" i="1"/>
  <c r="J243" i="1"/>
  <c r="K244" i="1"/>
  <c r="J244" i="1"/>
  <c r="K241" i="1"/>
  <c r="J241" i="1"/>
  <c r="K242" i="1"/>
  <c r="J242" i="1"/>
  <c r="K240" i="1"/>
  <c r="J240" i="1"/>
  <c r="K246" i="1"/>
  <c r="J246" i="1"/>
  <c r="J253" i="1" l="1"/>
  <c r="J329" i="1"/>
  <c r="J328" i="1"/>
  <c r="K354" i="1"/>
  <c r="K332" i="1"/>
  <c r="J254" i="1"/>
  <c r="K248" i="1"/>
  <c r="K7484" i="1" s="1"/>
  <c r="J250" i="1"/>
  <c r="K251" i="1"/>
  <c r="J336" i="1"/>
  <c r="K347" i="1"/>
  <c r="J353" i="1"/>
  <c r="J337" i="1"/>
  <c r="J365" i="1"/>
  <c r="J357" i="1"/>
  <c r="J344" i="1"/>
  <c r="J349" i="1"/>
  <c r="J342" i="1"/>
  <c r="J346" i="1"/>
  <c r="K367" i="1"/>
  <c r="J339" i="1"/>
  <c r="K360" i="1"/>
  <c r="K356" i="1"/>
  <c r="K338" i="1"/>
  <c r="K364" i="1"/>
  <c r="K274" i="1"/>
  <c r="J275" i="1"/>
  <c r="J363" i="1"/>
  <c r="J278" i="1"/>
  <c r="J355" i="1"/>
  <c r="J249" i="1"/>
  <c r="J361" i="1"/>
  <c r="J341" i="1"/>
  <c r="K352" i="1"/>
  <c r="J362" i="1"/>
  <c r="K340" i="1"/>
  <c r="K359" i="1"/>
  <c r="K252" i="1"/>
  <c r="K277" i="1"/>
  <c r="J272" i="1"/>
  <c r="J334" i="1"/>
  <c r="J312" i="1"/>
  <c r="J273" i="1"/>
  <c r="J276" i="1"/>
  <c r="J311" i="1"/>
  <c r="J258" i="1"/>
  <c r="K257" i="1"/>
  <c r="J255" i="1"/>
  <c r="K256" i="1"/>
  <c r="J269" i="1"/>
  <c r="K268" i="1"/>
  <c r="J262" i="1"/>
  <c r="K271" i="1"/>
  <c r="J260" i="1"/>
  <c r="J314" i="1"/>
  <c r="K270" i="1"/>
  <c r="J315" i="1"/>
  <c r="K259" i="1"/>
  <c r="J261" i="1"/>
  <c r="J316" i="1"/>
  <c r="J313" i="1"/>
  <c r="J26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4E95A0-70EE-437D-83BD-881D8346CB14}" keepAlive="1" name="Consulta - Chat de WhatsApp con Stock diario panadería" description="Conexión a la consulta 'Chat de WhatsApp con Stock diario panadería' en el libro." type="5" refreshedVersion="8" background="1" saveData="1">
    <dbPr connection="Provider=Microsoft.Mashup.OleDb.1;Data Source=$Workbook$;Location=&quot;Chat de WhatsApp con Stock diario panadería&quot;;Extended Properties=&quot;&quot;" command="SELECT * FROM [Chat de WhatsApp con Stock diario panadería]"/>
  </connection>
  <connection id="2" xr16:uid="{166D8A17-C3D6-4CFF-954F-0D3826D17B91}" keepAlive="1" name="Consulta - DATAIN_COMPRAS (2)" description="Conexión a la consulta 'DATAIN_COMPRAS (2)' en el libro." type="5" refreshedVersion="8" background="1" saveData="1">
    <dbPr connection="Provider=Microsoft.Mashup.OleDb.1;Data Source=$Workbook$;Location=&quot;DATAIN_COMPRAS (2)&quot;;Extended Properties=&quot;&quot;" command="SELECT * FROM [DATAIN_COMPRA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<sst xmlns="http://schemas.openxmlformats.org/spreadsheetml/2006/main" count="6097" uniqueCount="905">
  <si>
    <t>FECHA</t>
  </si>
  <si>
    <t>PROVEEDOR</t>
  </si>
  <si>
    <t>ITEM</t>
  </si>
  <si>
    <t>UM</t>
  </si>
  <si>
    <t>CANT</t>
  </si>
  <si>
    <t>$/ UN NETO</t>
  </si>
  <si>
    <t>FACTURA</t>
  </si>
  <si>
    <t>IVA</t>
  </si>
  <si>
    <t>DESC %</t>
  </si>
  <si>
    <t>PRECIO P COSTO</t>
  </si>
  <si>
    <t>TOTAL</t>
  </si>
  <si>
    <t>OBSERVACIONES</t>
  </si>
  <si>
    <t>MIGUEL ANGEL</t>
  </si>
  <si>
    <t>NARANJAS X CAJON</t>
  </si>
  <si>
    <t>LIMONES X CAJON</t>
  </si>
  <si>
    <t>MANZANA VERDE</t>
  </si>
  <si>
    <t>MANZANA ROJA</t>
  </si>
  <si>
    <t>PERA</t>
  </si>
  <si>
    <t>TOMATE CHERRY</t>
  </si>
  <si>
    <t>PALTA</t>
  </si>
  <si>
    <t>TOMATE PERITA</t>
  </si>
  <si>
    <t>PAPA</t>
  </si>
  <si>
    <t>ZAPALLITO VERDE</t>
  </si>
  <si>
    <t>FRUTILLAS</t>
  </si>
  <si>
    <t>DURAZNO</t>
  </si>
  <si>
    <t>KIWI</t>
  </si>
  <si>
    <t>BANANA</t>
  </si>
  <si>
    <t>ALBAHACA</t>
  </si>
  <si>
    <t>RUCULA</t>
  </si>
  <si>
    <t>MENTA</t>
  </si>
  <si>
    <t>ZANAHORIA</t>
  </si>
  <si>
    <t>BERENJENA</t>
  </si>
  <si>
    <t>NARANJAS</t>
  </si>
  <si>
    <t>LIMONES</t>
  </si>
  <si>
    <t>CEREZA</t>
  </si>
  <si>
    <t>LIMA</t>
  </si>
  <si>
    <t>ARANDANOS</t>
  </si>
  <si>
    <t>CEBOLLA</t>
  </si>
  <si>
    <t>AJO</t>
  </si>
  <si>
    <t>LECHUGA REPOLLADA</t>
  </si>
  <si>
    <t>CALABAZA</t>
  </si>
  <si>
    <t>ESPINACA</t>
  </si>
  <si>
    <t>LECHUGA</t>
  </si>
  <si>
    <t>MORRON ROJO</t>
  </si>
  <si>
    <t>CIRUELA</t>
  </si>
  <si>
    <t>BROTES DE ALFALFA</t>
  </si>
  <si>
    <t>BATATA</t>
  </si>
  <si>
    <t>RABANITO</t>
  </si>
  <si>
    <t>DIGACOR</t>
  </si>
  <si>
    <t>QUESO CREMA LA PAULINA/MILKAUT X  POUCH DE 3,5 KG</t>
  </si>
  <si>
    <t>MANTECA PRIMER PREMIO PILON X 2,5 KG</t>
  </si>
  <si>
    <t>JAMON COCIDO PIAMONTESA X HORMA</t>
  </si>
  <si>
    <t>QUESO BARRA TYBO DANBO LA PAULINA X HORMA</t>
  </si>
  <si>
    <t>PASCULINA CRIOLLA</t>
  </si>
  <si>
    <t>TOMATE PERITA EN LATA</t>
  </si>
  <si>
    <t>FIDEO TERRABUSI TIRABUZON X 500 GRS</t>
  </si>
  <si>
    <t>QUESO CREMOSO RICREM X KILO</t>
  </si>
  <si>
    <t>ARROZ LARGO FINO X KILO</t>
  </si>
  <si>
    <t>MIEL PURA BALDE X 6 KG</t>
  </si>
  <si>
    <t>SALSA DE CHOCOLATE X BOTELLITA</t>
  </si>
  <si>
    <t>DURAZNO CUBETEADO X 3 KG</t>
  </si>
  <si>
    <t>CHOCLO EN LATA</t>
  </si>
  <si>
    <t>ARVEJAS ENTERAS EN LATA</t>
  </si>
  <si>
    <t>ACEITE DE GIRASOL BARBIERI X 10 LTS</t>
  </si>
  <si>
    <t>CACAO EN POLVO CHOCOLINO</t>
  </si>
  <si>
    <t>MANTE COCIDO SAQUITO X 50 SIN SOBRE</t>
  </si>
  <si>
    <t>ACEITE DE OLIVA X 5 LTS</t>
  </si>
  <si>
    <t>LECHE DE COCO X LT</t>
  </si>
  <si>
    <t>SAL MARINA X 500 GRS</t>
  </si>
  <si>
    <t>LECHE EN POLVO X 800 GR</t>
  </si>
  <si>
    <t>PASAS DE UVA</t>
  </si>
  <si>
    <t>MC RONAN</t>
  </si>
  <si>
    <t>NACHOS</t>
  </si>
  <si>
    <t>JAMON CRUDO WEBER O DON JUAN X HORMA</t>
  </si>
  <si>
    <t>NACHOS GASTRONOMICOS X KG</t>
  </si>
  <si>
    <t>TREGAR</t>
  </si>
  <si>
    <t>LECHE ENTERA X PACK DE 12 UNIDADES</t>
  </si>
  <si>
    <t>LECHE DESCREMADA X PACK DE 12 UNIDADES</t>
  </si>
  <si>
    <t>LECHE DESLACTOSADA X PACK DE 12 UNIDADES</t>
  </si>
  <si>
    <t>CREMA CHANTILLY EN AEROSOL</t>
  </si>
  <si>
    <t>ENVASES CARLOS PAZ</t>
  </si>
  <si>
    <t>DAMAJUANA 3000 CC</t>
  </si>
  <si>
    <t>ROLLO DE PAPEL TERMICO 57 X 20</t>
  </si>
  <si>
    <t>POTE NATURAL 55 CC</t>
  </si>
  <si>
    <t>TAPA NATURAL 63 PARA 55 CC</t>
  </si>
  <si>
    <t>CAJA ENSALADERA APTO ACEITE</t>
  </si>
  <si>
    <t>CAJA DELIVERY 1</t>
  </si>
  <si>
    <t>BOLSA TRANSPARENTE DE ARRANQUE 60X90</t>
  </si>
  <si>
    <t>BOLSA KRAFT N5 (13X29)</t>
  </si>
  <si>
    <t>CINTA ADHESIVA 24X50</t>
  </si>
  <si>
    <t>FILM 300 METROS</t>
  </si>
  <si>
    <t>ESPONJA PARA SUPERFICIOS ANTIADHERENTES</t>
  </si>
  <si>
    <t>BOLSA TRANSPARENTE DE ARRANQUE 15X20</t>
  </si>
  <si>
    <t>LAMINA PARA FIAMBRE 20X25</t>
  </si>
  <si>
    <t>ROLLO DE PAPEL TERMICO 80X50</t>
  </si>
  <si>
    <t>AGITADORES DE MADERA 15 CM</t>
  </si>
  <si>
    <t>BOLSA KRAFT FONDO CUADRADO N4 (26X34X12,5)</t>
  </si>
  <si>
    <t>CAJA DELIVERY 2</t>
  </si>
  <si>
    <t>PAPEL ALUMINIO</t>
  </si>
  <si>
    <t>PAPEL MANTECA</t>
  </si>
  <si>
    <t>BANDEJA ESTUCHE BANDEZ PET 147 CRISTAL</t>
  </si>
  <si>
    <t>BANDEJA ESTUCHE BANDEZ PET 143 CRISTAL</t>
  </si>
  <si>
    <t>HUEVOS</t>
  </si>
  <si>
    <t>CAJÓN DE HUEVOS (12 MAPLES)</t>
  </si>
  <si>
    <t>FRUTOS CONGELADOS</t>
  </si>
  <si>
    <t>MIX DE FRUTOS ROJOS N1 X KG (ARANDANOS, FRAMBUESAS Y MORAS)</t>
  </si>
  <si>
    <t>DURAZNO X KG</t>
  </si>
  <si>
    <t>ANANA X KG</t>
  </si>
  <si>
    <t>FRAMBUESAS PARTIDAS X KG</t>
  </si>
  <si>
    <t>FRUTILLAS X KG</t>
  </si>
  <si>
    <t>HARINAR</t>
  </si>
  <si>
    <t>AVENA INSTANTANEA</t>
  </si>
  <si>
    <t>LEVADURA INSTANT SUCCESS</t>
  </si>
  <si>
    <t>HARINA FLORENCIA 0000</t>
  </si>
  <si>
    <t>DULCE DE LECHE TOMASITA</t>
  </si>
  <si>
    <t>PASTA DE MANÍ BASE X5 KG CAVIWA</t>
  </si>
  <si>
    <t>AZUCAR COMÚN TIPO A</t>
  </si>
  <si>
    <t>ESENCIA DE VAINILLA</t>
  </si>
  <si>
    <t>LUBEN FELICES SIN TACC</t>
  </si>
  <si>
    <t>ALFAJOR DE MAICENA</t>
  </si>
  <si>
    <t>ALFAJOR CORDOBÉS</t>
  </si>
  <si>
    <t>POSTRE INDIVIDUAL CHOCOOREO</t>
  </si>
  <si>
    <t>POSTRE INDIVIDUAL MARQUISSE</t>
  </si>
  <si>
    <t>POSTRE INDIVIDUAL DE COCO CON DULCE DE LECHE</t>
  </si>
  <si>
    <t>BUNA TOSTADOR DE CAFÉ</t>
  </si>
  <si>
    <t>CAFÉ BRASIL "ALIANZA" X KG</t>
  </si>
  <si>
    <t>CAFÉ EN GRANO X CUARTOS</t>
  </si>
  <si>
    <t>HIELO TANKITO</t>
  </si>
  <si>
    <t>PACK DE 6 BOLSAS DE 2,5 KG</t>
  </si>
  <si>
    <t>SODERIA SAN MIGUEL</t>
  </si>
  <si>
    <t>SODA X 1250 CC</t>
  </si>
  <si>
    <t>BIDONES X 20 LTS AGUA</t>
  </si>
  <si>
    <t>MERCADO DE LA TIERRA</t>
  </si>
  <si>
    <t>BOLSA DE MIX DE HOJAS BABY</t>
  </si>
  <si>
    <t>MERCADO LIBRE</t>
  </si>
  <si>
    <t>KINDER MAXI CAJA X 10 UNIDADES</t>
  </si>
  <si>
    <t>LECHE DE ALMENDRAS BIBA PACK X 8 UNIDADES</t>
  </si>
  <si>
    <t>LECHE DE AVENA BIBA PACK X 8 UNIDADES</t>
  </si>
  <si>
    <t>MATCHA</t>
  </si>
  <si>
    <t>FLORES DE HIBISCUS</t>
  </si>
  <si>
    <t>RODAJAS DE FRUTAS DESHIDRATADAS</t>
  </si>
  <si>
    <t>COCO EN ESCAMAS</t>
  </si>
  <si>
    <t>FLORES DE LAVANDA</t>
  </si>
  <si>
    <t>FRUTOS SECOS</t>
  </si>
  <si>
    <t>MANI SIN SAL</t>
  </si>
  <si>
    <t>NUECES</t>
  </si>
  <si>
    <t>ALMENDRAS</t>
  </si>
  <si>
    <t>PISTACHOS</t>
  </si>
  <si>
    <t>DIETÉTICAS</t>
  </si>
  <si>
    <t>MIX DE SEMILLAS</t>
  </si>
  <si>
    <t>SEMILLAS DE CHIA</t>
  </si>
  <si>
    <t>COCO RALLADO</t>
  </si>
  <si>
    <t>PASTA DE MANÍ</t>
  </si>
  <si>
    <t>COPOS DE MAIZ SIN AZUCAR</t>
  </si>
  <si>
    <t>HANNOVER BEBIDAS</t>
  </si>
  <si>
    <t>LATA DE AGUA TÓNICA PASO DE LOS TOROS 310 CC X PACK</t>
  </si>
  <si>
    <t>BOTELLA DE GUA SIN GAS 500 ML ALPES X PACK</t>
  </si>
  <si>
    <t>BOTELLA DE AGUA CON GAS 500 ML ALPES X PACK</t>
  </si>
  <si>
    <t>QALA BRAND</t>
  </si>
  <si>
    <t>SYRUP DE CARAMELO</t>
  </si>
  <si>
    <t>QUESO SARDO X HORMA</t>
  </si>
  <si>
    <t>CREMA DE LECHE X LTS MILKAUT</t>
  </si>
  <si>
    <t>LECHE CONDENSADA</t>
  </si>
  <si>
    <t>AZUCAR IMPALPABLE EXTRA MARCA DGE X BOLSA DE 5 KG</t>
  </si>
  <si>
    <t>POLVO DE HORNEAR EXTRA</t>
  </si>
  <si>
    <t>FECULA DE MAIZ X 10 KG</t>
  </si>
  <si>
    <t>SAL FINA X 25 KG</t>
  </si>
  <si>
    <t>FECULA DE MANDIOCA X 25 KG</t>
  </si>
  <si>
    <t>LEVADURA INSTANT SUCCES</t>
  </si>
  <si>
    <t>BICARBONATO DE SODIO</t>
  </si>
  <si>
    <t>EXTRACTO DE MALTA</t>
  </si>
  <si>
    <t>BOLSA TRANSPARENTE DE ARRANQUE 40 X 30</t>
  </si>
  <si>
    <t>LÁMINAS PARA FIAMBRE DE 25X37</t>
  </si>
  <si>
    <t>MANGAS N 0</t>
  </si>
  <si>
    <t>DISTRIWORLD</t>
  </si>
  <si>
    <t>CHOCOLATE ALPINO SEMI AMARGO EN PINS X CAJA</t>
  </si>
  <si>
    <t>CHOCOLATE ALPINO BLANCO EN PINS X CAJA</t>
  </si>
  <si>
    <t>COLORANTES FLEIBOR</t>
  </si>
  <si>
    <t>MANGAS DESCARTABLES TAMAÑO MEDIANO</t>
  </si>
  <si>
    <t>PRINCOR</t>
  </si>
  <si>
    <t>DULCE DE LECHE REPOSTERO VACALIN X 10 KGS</t>
  </si>
  <si>
    <t>GENTE AMIGA</t>
  </si>
  <si>
    <t>MANTECA TONADITA PILON X 5 KG</t>
  </si>
  <si>
    <t>MANTECA ARROYO CABRAL PILON X 5 KG</t>
  </si>
  <si>
    <t>CREMA DE LECHE MILKAUT X 5 KG</t>
  </si>
  <si>
    <t>550 DISTRIBUIDORA</t>
  </si>
  <si>
    <t>HARINA 0000 CAMPODONICO X 25 KG</t>
  </si>
  <si>
    <t>HARINA 000 CINCO ESTRELLAS CAMPODONICO X 25 KG</t>
  </si>
  <si>
    <t>HARINA INTEGRAL DE TRIGO EXTRA FINA LOMA BRAVA X 25 KG</t>
  </si>
  <si>
    <t>AZUCAR COMUN TIPO A LEACH X 25 KG</t>
  </si>
  <si>
    <t>SEMILLAS DE AMAPOLA</t>
  </si>
  <si>
    <t>AZUCAR MASCABO</t>
  </si>
  <si>
    <t>CANELA EN POLVO VELEZ</t>
  </si>
  <si>
    <t>HARINA DE ALMENDRAS CUMANÁ</t>
  </si>
  <si>
    <t>JENGIBRE MOLIDO</t>
  </si>
  <si>
    <t>PULPA DE FRUTILLA MENDOCOR x 9.2</t>
  </si>
  <si>
    <t>PULPA DE FRUTILLA MENDOCOR x 4,65</t>
  </si>
  <si>
    <t>RICOTA</t>
  </si>
  <si>
    <t>ESENCIA DE VAINILLA VELEZ</t>
  </si>
  <si>
    <t>VALENTINA</t>
  </si>
  <si>
    <t>ROCKLETS</t>
  </si>
  <si>
    <t>FOLEX (25 X 37)</t>
  </si>
  <si>
    <t>GUANTES DE NITRILO M</t>
  </si>
  <si>
    <t>CHOCOLATE AGUILA NARANJA</t>
  </si>
  <si>
    <t>PROPIANATA MONOCALSICO</t>
  </si>
  <si>
    <t>NUTELLA</t>
  </si>
  <si>
    <t>CHOCOLATE TAZA</t>
  </si>
  <si>
    <t>PORTA VASOS</t>
  </si>
  <si>
    <t>TOMATES SECOS</t>
  </si>
  <si>
    <t>FILTROS V60</t>
  </si>
  <si>
    <t>FILTROS CHEMEX</t>
  </si>
  <si>
    <t>PASTILLAS PARA LIMPIEZA DEL MOLINO (GRINDZ)</t>
  </si>
  <si>
    <t>PERFUMINA</t>
  </si>
  <si>
    <t>FAJINADOR</t>
  </si>
  <si>
    <t>DESENGRASANTE</t>
  </si>
  <si>
    <t>ESPONJAS</t>
  </si>
  <si>
    <t>PAPEL DE MANOS</t>
  </si>
  <si>
    <t>BOLSAS 90×120</t>
  </si>
  <si>
    <t>JABÓN PARA BAÑOS REPUESTOS ÉLITE</t>
  </si>
  <si>
    <t>GUANTES DE GOMA M</t>
  </si>
  <si>
    <t>DULCE DE LECHE VACALIN</t>
  </si>
  <si>
    <t>PAPEL HIGIENICO</t>
  </si>
  <si>
    <t>BOLSAS 45×60</t>
  </si>
  <si>
    <t>SERVILLETAS</t>
  </si>
  <si>
    <t>EDULCORANTE</t>
  </si>
  <si>
    <t>GRINDZ (PASTILLAS PARA LIMPIEZA DE MOLINO)</t>
  </si>
  <si>
    <t>LAVANDINA</t>
  </si>
  <si>
    <t>REJILLAS</t>
  </si>
  <si>
    <t>REJILLAS DE COLORES</t>
  </si>
  <si>
    <t>PISTACHOS CON CASCARA</t>
  </si>
  <si>
    <t>GRANA DE COLORES</t>
  </si>
  <si>
    <t>PETALOS DE ROSA</t>
  </si>
  <si>
    <t>PASTA DE PISTACHO</t>
  </si>
  <si>
    <t>DULCE DE MEMBRILLO</t>
  </si>
  <si>
    <t>FRUTILLAS CONGELADAS</t>
  </si>
  <si>
    <t>ROLLO DE PAPEL TERMICO 80X50 (COMANDERA)</t>
  </si>
  <si>
    <t>A</t>
  </si>
  <si>
    <t>GENERACION ALFA</t>
  </si>
  <si>
    <t>PULPA DE FRUTILLA 4,650 KG</t>
  </si>
  <si>
    <t>TE ENSOBRADO X 50 UN</t>
  </si>
  <si>
    <t>AZUCAR COMUN</t>
  </si>
  <si>
    <t>PIMIENTO ROJO</t>
  </si>
  <si>
    <t>ASPEN</t>
  </si>
  <si>
    <t>HELADO DE PISTACHO</t>
  </si>
  <si>
    <t>R</t>
  </si>
  <si>
    <t>HELADO DE CREMA AMERICANA</t>
  </si>
  <si>
    <t>HELADO DULCE DE LECHE</t>
  </si>
  <si>
    <t>VODKA</t>
  </si>
  <si>
    <t>TAPAS EMPANADAS</t>
  </si>
  <si>
    <t>BOLSA TRANSPARENTE DE ARRANQUE 30X40</t>
  </si>
  <si>
    <t>PASCUALINA</t>
  </si>
  <si>
    <t>CINTA ADHECIVA 24 X 50</t>
  </si>
  <si>
    <t>BOLSA POLIPROPILENO 20X25X100</t>
  </si>
  <si>
    <t>NARANJAS X KG</t>
  </si>
  <si>
    <t>QUESO SARDO X KG</t>
  </si>
  <si>
    <t>CONSULTA</t>
  </si>
  <si>
    <t>GRUPO SAN JOSE</t>
  </si>
  <si>
    <t>RESTO MAX</t>
  </si>
  <si>
    <t>JAMON COCIDO FETEADO X KG</t>
  </si>
  <si>
    <t>QUESO TYBO FETEADO X KG</t>
  </si>
  <si>
    <t>ACEITE GIRASOL BARBIERI x 20 lts</t>
  </si>
  <si>
    <t>ACEITE DE GIRASOL X 20 LTS</t>
  </si>
  <si>
    <t>TOMATE TRITURADO X 8 KG</t>
  </si>
  <si>
    <t>VINAGRE DE ALCOHOL X 5 LTS</t>
  </si>
  <si>
    <t>SAN JOSÉ</t>
  </si>
  <si>
    <t>QUESO SARDO</t>
  </si>
  <si>
    <t>MANTECA PILON 5KG MILKAUT</t>
  </si>
  <si>
    <t>GRANADA</t>
  </si>
  <si>
    <t>PITAYA FRUTA DRAGON</t>
  </si>
  <si>
    <t>C</t>
  </si>
  <si>
    <t>AGUA 20 LTS</t>
  </si>
  <si>
    <t>DETERGENTE X 5 LTS</t>
  </si>
  <si>
    <t>JABON BLANCO</t>
  </si>
  <si>
    <t>JAMON CRUDOX KG</t>
  </si>
  <si>
    <t>INS AGUA TONICA</t>
  </si>
  <si>
    <t>PRODUCCION</t>
  </si>
  <si>
    <t>INS OREO</t>
  </si>
  <si>
    <t>CAJA MACARONS</t>
  </si>
  <si>
    <t>CAJA COOKIE MARKET</t>
  </si>
  <si>
    <t>CUCHILLO DESCARTABLES</t>
  </si>
  <si>
    <t>CUCHARA DESCARTABLE</t>
  </si>
  <si>
    <t>TENEDOR DESCARTABLE</t>
  </si>
  <si>
    <t>COLLARINES</t>
  </si>
  <si>
    <t>SORBETES</t>
  </si>
  <si>
    <t>BOLSA POLIPROPILENO NATURAL 20X25 PACK 100</t>
  </si>
  <si>
    <t>BOLSA POLIPROPILENO NATURAL 30X40 PACK 100</t>
  </si>
  <si>
    <t>CIF</t>
  </si>
  <si>
    <t>CERA</t>
  </si>
  <si>
    <t>MOPA</t>
  </si>
  <si>
    <t>LIMPIA VIDRIOS</t>
  </si>
  <si>
    <t>BLEM</t>
  </si>
  <si>
    <t>JABON EN BARRA</t>
  </si>
  <si>
    <t>CLORO</t>
  </si>
  <si>
    <t>ASPEN HELADOS</t>
  </si>
  <si>
    <t>HELADO DE DULCE DE LECHES</t>
  </si>
  <si>
    <t>MANGAS DESCARTABLES TAMAÑO CHICO</t>
  </si>
  <si>
    <t>NARANJA X CAJON</t>
  </si>
  <si>
    <t>MANGAS DESCARTABLES Nº 8 (20 CM)</t>
  </si>
  <si>
    <t>MANGAS DESCARTABLES Nº 18 (45 CM)</t>
  </si>
  <si>
    <t>BOLSA CONSORCIO</t>
  </si>
  <si>
    <t>MANGO</t>
  </si>
  <si>
    <t>UVA ROSADA</t>
  </si>
  <si>
    <t>LENTEJA</t>
  </si>
  <si>
    <t>VASO MILANO 370 CC</t>
  </si>
  <si>
    <t>TAPA VASO MILANO</t>
  </si>
  <si>
    <t>PINCHO CATERING</t>
  </si>
  <si>
    <t>FRASCO AMANECER X 360</t>
  </si>
  <si>
    <t>TAPA AXIAL 63</t>
  </si>
  <si>
    <t>FIBRA ESPONJA</t>
  </si>
  <si>
    <t>DOÑA ISABEL</t>
  </si>
  <si>
    <t>FRASCO AMANECER X 250</t>
  </si>
  <si>
    <t>SALSA DE CHOCOLATE</t>
  </si>
  <si>
    <t>ARROZ</t>
  </si>
  <si>
    <t>HUEVOS CARLOS MARTINEZ</t>
  </si>
  <si>
    <t>REJILLA</t>
  </si>
  <si>
    <t>BOLSA DE CONSORCIO</t>
  </si>
  <si>
    <t>FRUTILLA</t>
  </si>
  <si>
    <t>ACEITE DE GIRASOL BARBIERI X 20 LTS</t>
  </si>
  <si>
    <t>UVA</t>
  </si>
  <si>
    <t>SHIOK</t>
  </si>
  <si>
    <t>GELATINA S/ SABOR VELEZ</t>
  </si>
  <si>
    <t>LECHE CONDENSADA NESTLE</t>
  </si>
  <si>
    <t>BOLSA COMPACTADORA 90 X 120</t>
  </si>
  <si>
    <t>BOLSA RECIDUOS 40 X 60</t>
  </si>
  <si>
    <t>MIL GRULLAS</t>
  </si>
  <si>
    <t>TÉ ROJO CARMESÍ</t>
  </si>
  <si>
    <t>TÉ KAFKA</t>
  </si>
  <si>
    <t>TÉ</t>
  </si>
  <si>
    <t>TÉ REGRESO A BANGKOK</t>
  </si>
  <si>
    <t>CAFIZA</t>
  </si>
  <si>
    <t>BOTELLA ACEITERA CILINDRICA</t>
  </si>
  <si>
    <t>LIMON</t>
  </si>
  <si>
    <t>NARANJA</t>
  </si>
  <si>
    <t>YOGUR NATURAL POTE 190 GR</t>
  </si>
  <si>
    <t>LECHE ENTERA X PACK DE 12 UNIDADES (MANFREY)</t>
  </si>
  <si>
    <t>AZUCAR COMUN TIPO A</t>
  </si>
  <si>
    <t>PALITO DE BROCHETTE</t>
  </si>
  <si>
    <t>REGILLA</t>
  </si>
  <si>
    <t>VASO POLIPOPEL BLANCO 12 OZ</t>
  </si>
  <si>
    <t>BOBINA PAPEL (PAPEL DE MANOS)</t>
  </si>
  <si>
    <t>BOLSAS COMPACTADORA 90×120</t>
  </si>
  <si>
    <t>TAPA VASO POLIPAPEL 12 OZ</t>
  </si>
  <si>
    <t>BOLSA TRANSPARENTE DE ARRANQUE 40 X 25</t>
  </si>
  <si>
    <t>TE COMUN SAQUITO X 100 (Virgin island, ensobrado)</t>
  </si>
  <si>
    <t>LIJMON</t>
  </si>
  <si>
    <t>CRISBET</t>
  </si>
  <si>
    <t>FLASH VIDRIOS X 5</t>
  </si>
  <si>
    <t>VIEW ULTRA LIMPIAVIDRIOS X 5</t>
  </si>
  <si>
    <t>8M LUSTRADOR AEROSOL</t>
  </si>
  <si>
    <t>PAPEL HIG. JUMBO BCO COMO CHICO 300 M</t>
  </si>
  <si>
    <t>BOLSA COMPACTADORA 85 X 110 X 50 UN</t>
  </si>
  <si>
    <t>BOLSA RESIDUO NEGRA 45 X 60 X 50 UN</t>
  </si>
  <si>
    <t>TOALLA BOBINA BCA H SIMPLE 150 MTS</t>
  </si>
  <si>
    <t>BOBINA BC DOBLE H ECO 25 CM X 350 MTS</t>
  </si>
  <si>
    <t>VASO POLIPAPEL BLANCO 8 OZ (FLAT)</t>
  </si>
  <si>
    <t>TAPA VASO POLIPAPEL 8 OZ (FLAT)</t>
  </si>
  <si>
    <t>MANZANA</t>
  </si>
  <si>
    <t>HARINA DE ALMENDRAS</t>
  </si>
  <si>
    <t>DURAZNO EN MITADES X 820 GR</t>
  </si>
  <si>
    <t>DISTRIMAY</t>
  </si>
  <si>
    <t>KINOTO</t>
  </si>
  <si>
    <t>LECHE EN POLVO X 25 GR</t>
  </si>
  <si>
    <t>FILTROS CREMEX</t>
  </si>
  <si>
    <t>TOTALES</t>
  </si>
  <si>
    <t>TRANSFERENCIA</t>
  </si>
  <si>
    <t>GEN ALFA</t>
  </si>
  <si>
    <t>PARA COSTOS</t>
  </si>
  <si>
    <t>CHERRY</t>
  </si>
  <si>
    <t>KG</t>
  </si>
  <si>
    <t>HAY 6000 DE DEVOLUCION DE ENVASES</t>
  </si>
  <si>
    <t>HAY 3000 DE ENVASES</t>
  </si>
  <si>
    <t>CALIBRE 60</t>
  </si>
  <si>
    <t>Tarta frangipane</t>
  </si>
  <si>
    <t>Croissant</t>
  </si>
  <si>
    <t>Alfajor grande de nuez</t>
  </si>
  <si>
    <t>Alfajor mar del plata</t>
  </si>
  <si>
    <t>Alfajor mar del plata con frutos rojos</t>
  </si>
  <si>
    <t>Alfajor mini de maicena</t>
  </si>
  <si>
    <t>Alfajor mini de nuez</t>
  </si>
  <si>
    <t>Alfajor vegano cordobés</t>
  </si>
  <si>
    <t>Cajas alfajores mini</t>
  </si>
  <si>
    <t>Cajas macarons</t>
  </si>
  <si>
    <t>Cake pop de limon</t>
  </si>
  <si>
    <t>Cookie con pasta de mani y ddl</t>
  </si>
  <si>
    <t>Cookie con rocklets</t>
  </si>
  <si>
    <t>Cookie red velvet</t>
  </si>
  <si>
    <t>Cookie vegana de pistacho</t>
  </si>
  <si>
    <t>Cookies</t>
  </si>
  <si>
    <t>Cookies kids con glase</t>
  </si>
  <si>
    <t>Criollos</t>
  </si>
  <si>
    <t>Croissant con almendras</t>
  </si>
  <si>
    <t>Croissant con ddl</t>
  </si>
  <si>
    <t>Crumble de manzana hojaldre</t>
  </si>
  <si>
    <t>Crumble de pera hojaldre</t>
  </si>
  <si>
    <t>Crumble de pera y frutos</t>
  </si>
  <si>
    <t>Cupcake chocolate y caramelo</t>
  </si>
  <si>
    <t>Danesas</t>
  </si>
  <si>
    <t>Danesas dulces</t>
  </si>
  <si>
    <t>Frutal hojaldrado</t>
  </si>
  <si>
    <t>Hogaza de campo</t>
  </si>
  <si>
    <t>Hogaza integral</t>
  </si>
  <si>
    <t>Hogaza morada</t>
  </si>
  <si>
    <t>Hojaldre</t>
  </si>
  <si>
    <t>Lemon pie</t>
  </si>
  <si>
    <t>Macarons almendra y toffee</t>
  </si>
  <si>
    <t>Macarons coco y dulce de leche</t>
  </si>
  <si>
    <t>Macarons lima y leche condensada</t>
  </si>
  <si>
    <t>Macarons pistacho y frambuesa</t>
  </si>
  <si>
    <t>Medialunas</t>
  </si>
  <si>
    <t>Napoleón</t>
  </si>
  <si>
    <t>Pain suisse</t>
  </si>
  <si>
    <t>Pan de molde con semillas</t>
  </si>
  <si>
    <t>Pan de molde zanahoria</t>
  </si>
  <si>
    <t>Profiterol chocolate blanco y frambuesas</t>
  </si>
  <si>
    <t>Profiterol chocolate negro y toffee</t>
  </si>
  <si>
    <t>Profiterol limon y frutilla</t>
  </si>
  <si>
    <t>Rogel</t>
  </si>
  <si>
    <t>Roll de almendras y chocolate</t>
  </si>
  <si>
    <t>Tartin de trufa</t>
  </si>
  <si>
    <t>Trenzas</t>
  </si>
  <si>
    <t>Columna1</t>
  </si>
  <si>
    <t>Columna2</t>
  </si>
  <si>
    <t>INTERLOCUTORES</t>
  </si>
  <si>
    <t>+54 9 3541 22-2040</t>
  </si>
  <si>
    <t>⁠ alfajores corazón de frutos rojos</t>
  </si>
  <si>
    <t>Caro Panadería</t>
  </si>
  <si>
    <t>Elda</t>
  </si>
  <si>
    <t>Giovy</t>
  </si>
  <si>
    <t xml:space="preserve"> budín de limón</t>
  </si>
  <si>
    <t>Luciano</t>
  </si>
  <si>
    <t xml:space="preserve"> budín limon</t>
  </si>
  <si>
    <t>Mathi</t>
  </si>
  <si>
    <t>⁠ cake pop de limón</t>
  </si>
  <si>
    <t>Nico Qala</t>
  </si>
  <si>
    <t xml:space="preserve"> chipa</t>
  </si>
  <si>
    <t>Qala Caffé</t>
  </si>
  <si>
    <t>Qala Cajeros</t>
  </si>
  <si>
    <t>⁠ cookie kids</t>
  </si>
  <si>
    <t>Tuty</t>
  </si>
  <si>
    <t>⁠ croissant</t>
  </si>
  <si>
    <t>Vale Blasco</t>
  </si>
  <si>
    <t>⁠ eclair de chocolate</t>
  </si>
  <si>
    <t>⁠ frangipane</t>
  </si>
  <si>
    <t>⁠ macaron de coco</t>
  </si>
  <si>
    <t>⁠ macaron de toffi</t>
  </si>
  <si>
    <t>⁠ medialunas</t>
  </si>
  <si>
    <t xml:space="preserve"> pain au chocolat</t>
  </si>
  <si>
    <t>⁠ pan de chocolate</t>
  </si>
  <si>
    <t xml:space="preserve"> pan de molde </t>
  </si>
  <si>
    <t xml:space="preserve"> roll de canela</t>
  </si>
  <si>
    <t>⁠ roll de frutos rojos</t>
  </si>
  <si>
    <t>⁠ tartines de chocolate</t>
  </si>
  <si>
    <t>Alf frutos rojos</t>
  </si>
  <si>
    <t>Alf kids maicena</t>
  </si>
  <si>
    <t>Alf kids nuez</t>
  </si>
  <si>
    <t>Alf maicena grande</t>
  </si>
  <si>
    <t>Alf nuez grande</t>
  </si>
  <si>
    <t>Alf salted</t>
  </si>
  <si>
    <t>Alf vegano</t>
  </si>
  <si>
    <t>Alfajor corazón frutos rojos</t>
  </si>
  <si>
    <t>alfajor de maicena</t>
  </si>
  <si>
    <t>alfajor de maicena chico que está roto</t>
  </si>
  <si>
    <t>alfajor de maicena grande y de maicena chico mando por qué están rotos</t>
  </si>
  <si>
    <t>Alfajor frutos rojos mar del plata</t>
  </si>
  <si>
    <t>alfajor grande de maicena</t>
  </si>
  <si>
    <t>Alfajor grande de nuez Alfajor grande de maicena</t>
  </si>
  <si>
    <t>Alfajor Kids maicena</t>
  </si>
  <si>
    <t>Alfajor Kids nuez</t>
  </si>
  <si>
    <t>Alfajor maicena</t>
  </si>
  <si>
    <t>Alfajor maicena kids</t>
  </si>
  <si>
    <t>Alfajor mar del plata corazón de frutos rojos</t>
  </si>
  <si>
    <t>alfajor mardelplata</t>
  </si>
  <si>
    <t>Alfajor nuez</t>
  </si>
  <si>
    <t>Alfajor nuez kid</t>
  </si>
  <si>
    <t>alfajor salted</t>
  </si>
  <si>
    <t>ALFAJOR SIN TACC</t>
  </si>
  <si>
    <t>alfajor vegano</t>
  </si>
  <si>
    <t>Alfajor vegano cordobés semana</t>
  </si>
  <si>
    <t>alfajor vegano kids</t>
  </si>
  <si>
    <t>alfajorc maicena kids</t>
  </si>
  <si>
    <t>alfajorcito vegano</t>
  </si>
  <si>
    <t>Alfajorcitos Kids maicena</t>
  </si>
  <si>
    <t>alfajorcitos veganos</t>
  </si>
  <si>
    <t>alfajores de Nuez</t>
  </si>
  <si>
    <t>alfajores frutos rojos</t>
  </si>
  <si>
    <t>alfajores grande de nuez</t>
  </si>
  <si>
    <t>alfajores grandes de nuez</t>
  </si>
  <si>
    <t>allfajor corazón frutos rojos</t>
  </si>
  <si>
    <t>bagel</t>
  </si>
  <si>
    <t>baguel</t>
  </si>
  <si>
    <t>Banana split</t>
  </si>
  <si>
    <t>budín carrot</t>
  </si>
  <si>
    <t>budín carrot cake</t>
  </si>
  <si>
    <t>Budín de pistacho</t>
  </si>
  <si>
    <t>cake pop carrot</t>
  </si>
  <si>
    <t>cake pop carrot cake y de limón</t>
  </si>
  <si>
    <t>CAKE POP DE CARROT</t>
  </si>
  <si>
    <t>CAKE POP DE LIMÓN</t>
  </si>
  <si>
    <t>Cake pop de pistacho</t>
  </si>
  <si>
    <t>canasta de dulce y almendras</t>
  </si>
  <si>
    <t>canasta de frutos rojos</t>
  </si>
  <si>
    <t>Canasta de hojaldre</t>
  </si>
  <si>
    <t>Canasta de hojaldre dulce de leche y praline de almendras</t>
  </si>
  <si>
    <t>Canasta de pera</t>
  </si>
  <si>
    <t>canasta frutal</t>
  </si>
  <si>
    <t>Canasta frutales</t>
  </si>
  <si>
    <t>Canasta manzana</t>
  </si>
  <si>
    <t>canasta rombo frutal</t>
  </si>
  <si>
    <t>Canastas de ciruela</t>
  </si>
  <si>
    <t>CANASTAS DE DDL</t>
  </si>
  <si>
    <t>Canastas frutales</t>
  </si>
  <si>
    <t>Canastas manzana</t>
  </si>
  <si>
    <t>Canastita hojaldre</t>
  </si>
  <si>
    <t>⁠Canastitas</t>
  </si>
  <si>
    <t>Canastitas chicas hojaldre</t>
  </si>
  <si>
    <t>Canastitas de dulce de leche</t>
  </si>
  <si>
    <t>Canastitas de hojaldre</t>
  </si>
  <si>
    <t>Canastitas hojaldre</t>
  </si>
  <si>
    <t>Caramelo líquido kgr.</t>
  </si>
  <si>
    <t>carrot cake</t>
  </si>
  <si>
    <t>cheescake brule</t>
  </si>
  <si>
    <t>cheescake chocolate</t>
  </si>
  <si>
    <t>cheescake de Dulce de leche</t>
  </si>
  <si>
    <t>cheescake de Oreo</t>
  </si>
  <si>
    <t>Cheescake oreo</t>
  </si>
  <si>
    <t>cheese brûlée</t>
  </si>
  <si>
    <t>cheese brulle</t>
  </si>
  <si>
    <t>cheese chocó</t>
  </si>
  <si>
    <t>Cheese chocolate</t>
  </si>
  <si>
    <t>cheese ddl</t>
  </si>
  <si>
    <t>cheese Oreo</t>
  </si>
  <si>
    <t>Cheesecake brulee</t>
  </si>
  <si>
    <t>Cheesecake chocolate</t>
  </si>
  <si>
    <t>Cheesecake chocolate semana</t>
  </si>
  <si>
    <t>Cheesecake de Oreo</t>
  </si>
  <si>
    <t>Cheesecake dulce de leche</t>
  </si>
  <si>
    <t>Cheesxake chocolate</t>
  </si>
  <si>
    <t>chipa</t>
  </si>
  <si>
    <t>ciabatta</t>
  </si>
  <si>
    <t>Cookie con rockets</t>
  </si>
  <si>
    <t>Cookie de mani</t>
  </si>
  <si>
    <t>cookie kids</t>
  </si>
  <si>
    <t>cookie maní</t>
  </si>
  <si>
    <t>cookie manteca y ddl</t>
  </si>
  <si>
    <t>cookie rockets</t>
  </si>
  <si>
    <t>cookie roclekts</t>
  </si>
  <si>
    <t>cookie vegana</t>
  </si>
  <si>
    <t>Cookies kids</t>
  </si>
  <si>
    <t>cookies rocklets</t>
  </si>
  <si>
    <t>cookies veganas</t>
  </si>
  <si>
    <t>crimble de manzana vegano</t>
  </si>
  <si>
    <t>criollitos</t>
  </si>
  <si>
    <t>criollo</t>
  </si>
  <si>
    <t>croassiant</t>
  </si>
  <si>
    <t>croissant almendras</t>
  </si>
  <si>
    <t>Croissant bicolor</t>
  </si>
  <si>
    <t>Croissant chicos</t>
  </si>
  <si>
    <t>Croissant chiquitos</t>
  </si>
  <si>
    <t>croissant con crema de almendras</t>
  </si>
  <si>
    <t>Croissant con ddl p</t>
  </si>
  <si>
    <t>Croissant con ddl y crema</t>
  </si>
  <si>
    <t>Croissant con ganache caramelo</t>
  </si>
  <si>
    <t>Croissant con ganache de caramelo</t>
  </si>
  <si>
    <t>Croissant con pastelera de chocolate</t>
  </si>
  <si>
    <t>Croissant ddl</t>
  </si>
  <si>
    <t>croissant de almendras</t>
  </si>
  <si>
    <t>Croissant ganache caram</t>
  </si>
  <si>
    <t>Croissant pequeños</t>
  </si>
  <si>
    <t>Croissant rojos</t>
  </si>
  <si>
    <t>Crossiant</t>
  </si>
  <si>
    <t>crossiant con crema de almendras</t>
  </si>
  <si>
    <t>crumble</t>
  </si>
  <si>
    <t>Crumble de manzan</t>
  </si>
  <si>
    <t>Crumble de manzana</t>
  </si>
  <si>
    <t>crumble de manzana vegano</t>
  </si>
  <si>
    <t>Crumble de pera</t>
  </si>
  <si>
    <t>Crumble de pera hojaldrado</t>
  </si>
  <si>
    <t>Crumble de pera y arandanos</t>
  </si>
  <si>
    <t>Crumble de pera y arandanos hojaldre</t>
  </si>
  <si>
    <t>Crumble hay</t>
  </si>
  <si>
    <t>Crumble manzana</t>
  </si>
  <si>
    <t>Crumble pera</t>
  </si>
  <si>
    <t>⁠Crumble vegano de manzana</t>
  </si>
  <si>
    <t>Crumble vegano manzana</t>
  </si>
  <si>
    <t>Cupcake</t>
  </si>
  <si>
    <t>Cupcake banana split</t>
  </si>
  <si>
    <t>Cupcake carameli</t>
  </si>
  <si>
    <t>Cupcake caramelo</t>
  </si>
  <si>
    <t>Cupcake de cacao y caramelo</t>
  </si>
  <si>
    <t>Cupcake de caramelo</t>
  </si>
  <si>
    <t>Cupcake vegano</t>
  </si>
  <si>
    <t>Danesa</t>
  </si>
  <si>
    <t>Danesa de ciruela</t>
  </si>
  <si>
    <t>Danesa pastelera y ddl</t>
  </si>
  <si>
    <t>Danesa Salada</t>
  </si>
  <si>
    <t>DANESAS DE CIRUELA</t>
  </si>
  <si>
    <t>Danessa</t>
  </si>
  <si>
    <t>Danessa pastelera y ddl</t>
  </si>
  <si>
    <t>eclair café</t>
  </si>
  <si>
    <t>Eclair choco</t>
  </si>
  <si>
    <t>Eclair de café</t>
  </si>
  <si>
    <t>eclair de choco</t>
  </si>
  <si>
    <t>eclair de Chocolate</t>
  </si>
  <si>
    <t>eclair de limon</t>
  </si>
  <si>
    <t>eclair de Limón</t>
  </si>
  <si>
    <t>Eclair de limon o</t>
  </si>
  <si>
    <t>eclair limón</t>
  </si>
  <si>
    <t>eclir limon</t>
  </si>
  <si>
    <t>focaccia</t>
  </si>
  <si>
    <t>Focaccia unidades</t>
  </si>
  <si>
    <t>Frangí pane</t>
  </si>
  <si>
    <t>frangipane</t>
  </si>
  <si>
    <t>Frutales</t>
  </si>
  <si>
    <t>frutos congelados</t>
  </si>
  <si>
    <t>Frutos rojos bolsa</t>
  </si>
  <si>
    <t>frutos rojos congelados</t>
  </si>
  <si>
    <t>grandes de nuez</t>
  </si>
  <si>
    <t>Hay medialunas o</t>
  </si>
  <si>
    <t>Hay pain de chocolate que están de sugerencia</t>
  </si>
  <si>
    <t>Hogaza</t>
  </si>
  <si>
    <t>Hogaza morada o</t>
  </si>
  <si>
    <t>hogazas</t>
  </si>
  <si>
    <t>hogazas cookies chipa</t>
  </si>
  <si>
    <t>Hogazas cortadas</t>
  </si>
  <si>
    <t>Hogazas cortads</t>
  </si>
  <si>
    <t>hogazas medialunas y croissant</t>
  </si>
  <si>
    <t>hojaldrado de manzana</t>
  </si>
  <si>
    <t>hojaldrado de pera</t>
  </si>
  <si>
    <t>HOJALDRADOS DE MANZANA</t>
  </si>
  <si>
    <t>Hojaldre de manzana</t>
  </si>
  <si>
    <t>Hojaldre de pera</t>
  </si>
  <si>
    <t>Hojaldre de pera y nuez hojaldre</t>
  </si>
  <si>
    <t>hojaldre manzana</t>
  </si>
  <si>
    <t>kids de nuez</t>
  </si>
  <si>
    <t>kids maicena</t>
  </si>
  <si>
    <t>Kids nuez</t>
  </si>
  <si>
    <t>lemon</t>
  </si>
  <si>
    <t>Macaron</t>
  </si>
  <si>
    <t>Macaron almendras</t>
  </si>
  <si>
    <t>Macaron almendras y toffee</t>
  </si>
  <si>
    <t>Macaron coco</t>
  </si>
  <si>
    <t>Macaron coco con ddl</t>
  </si>
  <si>
    <t>MACARON DE COCO</t>
  </si>
  <si>
    <t>MACARON DE PISTACHO</t>
  </si>
  <si>
    <t>Macaron lima</t>
  </si>
  <si>
    <t>Macaron lima y leche condensada</t>
  </si>
  <si>
    <t>Macaron pistacho</t>
  </si>
  <si>
    <t>Macaron pistacho y frambuesa</t>
  </si>
  <si>
    <t>Macaron tofi</t>
  </si>
  <si>
    <t>Macarons</t>
  </si>
  <si>
    <t>Macarons almendra</t>
  </si>
  <si>
    <t>Macarons almendras</t>
  </si>
  <si>
    <t>Macarons almendras y toffee</t>
  </si>
  <si>
    <t>Macarons coco</t>
  </si>
  <si>
    <t>Macarons de Almendras</t>
  </si>
  <si>
    <t>Macarons de coco y ddl</t>
  </si>
  <si>
    <t>Macarons de pistacho</t>
  </si>
  <si>
    <t>Macarons lima</t>
  </si>
  <si>
    <t>Macarons pistacho</t>
  </si>
  <si>
    <t>Macarrón almendras</t>
  </si>
  <si>
    <t>Macarron de coco y dulce de leche</t>
  </si>
  <si>
    <t>Macarron de pistacho y frambuesa</t>
  </si>
  <si>
    <t>Macarrón lima</t>
  </si>
  <si>
    <t>mar de plata de ddl</t>
  </si>
  <si>
    <t>mar del plata ddl</t>
  </si>
  <si>
    <t>mar del plata de frutos rojos</t>
  </si>
  <si>
    <t>mar del plata frutos rojos</t>
  </si>
  <si>
    <t>Mardel frutos rojos</t>
  </si>
  <si>
    <t>MARQUISE SIN TACC</t>
  </si>
  <si>
    <t>Medialuna</t>
  </si>
  <si>
    <t>Medialuna jyq</t>
  </si>
  <si>
    <t>medialuna que ya cumplió su ciclo</t>
  </si>
  <si>
    <t>Mil hojas</t>
  </si>
  <si>
    <t>mini maic</t>
  </si>
  <si>
    <t>Muffin cacao</t>
  </si>
  <si>
    <t>Muffin chocolate vegano</t>
  </si>
  <si>
    <t>muffin de banana</t>
  </si>
  <si>
    <t>muffin de chocolate y caramelo</t>
  </si>
  <si>
    <t>Muffins Cacao con ganache de caramel</t>
  </si>
  <si>
    <t>Muffins veganos de caramelo</t>
  </si>
  <si>
    <t>Muffins veganos de chocolate cafe y mani</t>
  </si>
  <si>
    <t>Napoleón y c crema de frutos rojos</t>
  </si>
  <si>
    <t>nuez chico</t>
  </si>
  <si>
    <t>Nuez grande</t>
  </si>
  <si>
    <t>pain au chocolat</t>
  </si>
  <si>
    <t>pain de choco</t>
  </si>
  <si>
    <t>pain de chocolate</t>
  </si>
  <si>
    <t>Pan chocolate</t>
  </si>
  <si>
    <t>pan de choco</t>
  </si>
  <si>
    <t>pan de chocolate</t>
  </si>
  <si>
    <t>pan de molde</t>
  </si>
  <si>
    <t>Pan de molde común</t>
  </si>
  <si>
    <t>Pan dulce</t>
  </si>
  <si>
    <t>Pan molde</t>
  </si>
  <si>
    <t>Pan molde integral</t>
  </si>
  <si>
    <t>Pan molde zanahoria</t>
  </si>
  <si>
    <t>pan suisse</t>
  </si>
  <si>
    <t>Pan Suisse con Pastelera con chocolate</t>
  </si>
  <si>
    <t>pan suizo</t>
  </si>
  <si>
    <t>Panettone</t>
  </si>
  <si>
    <t>Panettone y pedacitos</t>
  </si>
  <si>
    <t>panettones</t>
  </si>
  <si>
    <t>Papel aluminio</t>
  </si>
  <si>
    <t>Papel aluminio rollo</t>
  </si>
  <si>
    <t>Papel higienico</t>
  </si>
  <si>
    <t>Pasas de uva</t>
  </si>
  <si>
    <t>Paso en limpio</t>
  </si>
  <si>
    <t>pastas de maní</t>
  </si>
  <si>
    <t>Pastel con nuez</t>
  </si>
  <si>
    <t>Profiterol chocolate</t>
  </si>
  <si>
    <t>Profiterol de chocolate</t>
  </si>
  <si>
    <t>Profiterol de frambuesa</t>
  </si>
  <si>
    <t>Profiterol de frutilla</t>
  </si>
  <si>
    <t>Profiterol de limon</t>
  </si>
  <si>
    <t>Profiterol frambuesa</t>
  </si>
  <si>
    <t>Profiterol limón</t>
  </si>
  <si>
    <t>Profiteroles chocolate blanco y frambuesa</t>
  </si>
  <si>
    <t>Profiteroles chocolate negro y toffee</t>
  </si>
  <si>
    <t>Profiteroles de chocolate</t>
  </si>
  <si>
    <t>Profiteroles de frutilla</t>
  </si>
  <si>
    <t>Profiteroles de limon</t>
  </si>
  <si>
    <t>profiteroles de limón</t>
  </si>
  <si>
    <t>Profiteroles frambuesa</t>
  </si>
  <si>
    <t>Profiteroles frutilla</t>
  </si>
  <si>
    <t>Profiteroles limon y frutilla</t>
  </si>
  <si>
    <t>Profiteroles toffi</t>
  </si>
  <si>
    <t>Red velvet</t>
  </si>
  <si>
    <t>Rogel gr</t>
  </si>
  <si>
    <t>rol de canela</t>
  </si>
  <si>
    <t>rol de frutos rojos</t>
  </si>
  <si>
    <t>Rol de pistacho</t>
  </si>
  <si>
    <t>roll de canela</t>
  </si>
  <si>
    <t>roll de dulce de leche y coco</t>
  </si>
  <si>
    <t>ROLL DE FRUTOS ROJOS</t>
  </si>
  <si>
    <t>Roll de frutos rojos .</t>
  </si>
  <si>
    <t>Roll de nuez y choco</t>
  </si>
  <si>
    <t>roll de pistacho</t>
  </si>
  <si>
    <t>ROLL FRUTOS ROJOS</t>
  </si>
  <si>
    <t>roll new york</t>
  </si>
  <si>
    <t>Roll pistacho</t>
  </si>
  <si>
    <t>Rolls de almendras dulce de leche</t>
  </si>
  <si>
    <t>Rolls de almendras y chocho</t>
  </si>
  <si>
    <t>Rolls de almendras y choco</t>
  </si>
  <si>
    <t>Rolls de almendras y chocolate</t>
  </si>
  <si>
    <t>rolls de canela</t>
  </si>
  <si>
    <t>Rolls de coco y dulce de leche</t>
  </si>
  <si>
    <t>Rolls de ddl y pasta de almendras</t>
  </si>
  <si>
    <t>rolls de pistacho</t>
  </si>
  <si>
    <t>rombo</t>
  </si>
  <si>
    <t>Rombo de pera</t>
  </si>
  <si>
    <t>rombo frutal</t>
  </si>
  <si>
    <t>rombo frutal hojaldrado</t>
  </si>
  <si>
    <t>⁠suizo</t>
  </si>
  <si>
    <t>Tartán pistacho</t>
  </si>
  <si>
    <t>Tartán trufa</t>
  </si>
  <si>
    <t>tartán vegano manzana</t>
  </si>
  <si>
    <t>Tarteletines</t>
  </si>
  <si>
    <t>Tarteletitas</t>
  </si>
  <si>
    <t>tartin almendra</t>
  </si>
  <si>
    <t>tartin chocolate</t>
  </si>
  <si>
    <t>tartin de choco y almendras</t>
  </si>
  <si>
    <t>tartin de chocolate</t>
  </si>
  <si>
    <t>Tartin de chocolate semana</t>
  </si>
  <si>
    <t>tartin de pistacho</t>
  </si>
  <si>
    <t>tartin pistacho</t>
  </si>
  <si>
    <t>tartin trufa</t>
  </si>
  <si>
    <t>tartin vegano</t>
  </si>
  <si>
    <t>Tartin vegano de manzana</t>
  </si>
  <si>
    <t>Tregar pack de leche</t>
  </si>
  <si>
    <t>trenza</t>
  </si>
  <si>
    <t>trenza estaba dura la crema</t>
  </si>
  <si>
    <t>veganas</t>
  </si>
  <si>
    <t>vegano</t>
  </si>
  <si>
    <t>vegano kids</t>
  </si>
  <si>
    <t>veganos</t>
  </si>
  <si>
    <t>Vienna pastelera y frutos</t>
  </si>
  <si>
    <t>MANTECA PILON 25KG MILKAUT</t>
  </si>
  <si>
    <t>AVENA INSTANTANEA X 3KG</t>
  </si>
  <si>
    <t>AVENA INSTANTANEA X 20KG</t>
  </si>
  <si>
    <t>CALABACIN{</t>
  </si>
  <si>
    <t>LENTEJAS</t>
  </si>
  <si>
    <t>JABON EN PAN BCO</t>
  </si>
  <si>
    <t>ESCOBILLON</t>
  </si>
  <si>
    <t>BOBINA BCA DOBLE 350 M</t>
  </si>
  <si>
    <t>FAJINADOR X 5 LT</t>
  </si>
  <si>
    <t>CERA 8 M</t>
  </si>
  <si>
    <t>QUESO CTEMA</t>
  </si>
  <si>
    <t>VASO PLASTIVAS MILANO CON TAPA PARA SORBETE</t>
  </si>
  <si>
    <t>CAJA PARA TORTA 25X25X15</t>
  </si>
  <si>
    <t>SERVILLETAS BLANCA</t>
  </si>
  <si>
    <t>MANGAS Nº 1</t>
  </si>
  <si>
    <t>POMELO</t>
  </si>
  <si>
    <t>CREMA BALDE X 5LT 44% MILKAUT</t>
  </si>
  <si>
    <t>QUINOTOS</t>
  </si>
  <si>
    <t>CAJA MACARRONS</t>
  </si>
  <si>
    <t>AZUCAR COMUN TIPO ´ A ´ X 10KG</t>
  </si>
  <si>
    <t>CENTRO DE PRODUCCION</t>
  </si>
  <si>
    <t>PRODUCTOS JULIETA</t>
  </si>
  <si>
    <t>BECERRA</t>
  </si>
  <si>
    <t>YOGUR NATURAL GRIEGO X 300 GR</t>
  </si>
  <si>
    <t>LIBRERÍA</t>
  </si>
  <si>
    <t>VARIOS</t>
  </si>
  <si>
    <t>SORBETE CAJA X 1000 UN</t>
  </si>
  <si>
    <t>BERUGO COMISIONES</t>
  </si>
  <si>
    <t>CAFÉ</t>
  </si>
  <si>
    <t>VAJILLA</t>
  </si>
  <si>
    <t>BYC CARCANO</t>
  </si>
  <si>
    <t>HIELO</t>
  </si>
  <si>
    <t>DETERGENTE</t>
  </si>
  <si>
    <t>BYC</t>
  </si>
  <si>
    <t>BORDADO DE REMERAS</t>
  </si>
  <si>
    <t>NUECES PECAN</t>
  </si>
  <si>
    <t>AVELLANAS</t>
  </si>
  <si>
    <t>ACEITE GIRASOL x 10 lts BARBIERI</t>
  </si>
  <si>
    <t>Ins anana congelada</t>
  </si>
  <si>
    <t>BAZAR GIE</t>
  </si>
  <si>
    <t>VASO CYLINDER TRAGO LARGO 350 ML</t>
  </si>
  <si>
    <t>Yogurt natural iniciador</t>
  </si>
  <si>
    <t>VASO 100 (SHOT CRISTAL)</t>
  </si>
  <si>
    <t>MINI CUCHARITA PS CRISTAL</t>
  </si>
  <si>
    <t>REVOLVEDOR BAMBU</t>
  </si>
  <si>
    <t>HARINA 000 MORIXE</t>
  </si>
  <si>
    <t>HARIAN 000 PANADERA CAMPODONICO X 25 KG</t>
  </si>
  <si>
    <t>PLATO ORO</t>
  </si>
  <si>
    <t>ACETATO</t>
  </si>
  <si>
    <t>PASTELERIA</t>
  </si>
  <si>
    <t>VIATICOS</t>
  </si>
  <si>
    <t>HUEVOS VCP</t>
  </si>
  <si>
    <t>MASHMALLOWS</t>
  </si>
  <si>
    <t>CAFÉ BRASIL "VERMELHO" X KG</t>
  </si>
  <si>
    <t>NUEZ</t>
  </si>
  <si>
    <t>DATILES CON CAROZO</t>
  </si>
  <si>
    <t>SAL MARINA</t>
  </si>
  <si>
    <t>QUESO CREMA LA PAULINA/MILKAUT X POUCH DE 3,5 KG</t>
  </si>
  <si>
    <t>TE COMUN SAQUITO X 100</t>
  </si>
  <si>
    <t>BOLSA TRANSPARENTE DE ARRANQUE 20 X 30</t>
  </si>
  <si>
    <t>CACAO AMARGO EXTRA MARCA DGE</t>
  </si>
  <si>
    <t>FRUTILLAS EN LATA BAHIA X PACK</t>
  </si>
  <si>
    <t>BANDEJA GRANDE DE FLORES NATURALES</t>
  </si>
  <si>
    <t>HIGOS</t>
  </si>
  <si>
    <t>MATE COCIDO SIN SOBRE X 50 UN</t>
  </si>
  <si>
    <t>ROLLO DE PAPEL TERMICO 57 X 20 (POSNET)</t>
  </si>
  <si>
    <t>VASO CAFÉ NATURAL 55CC</t>
  </si>
  <si>
    <t>INS SYRUP DE VAINILLA</t>
  </si>
  <si>
    <t>BON O BON</t>
  </si>
  <si>
    <t>TAPA ACEITERA</t>
  </si>
  <si>
    <t>QUESO CREMA LA PAULINA X POUCH DE 4 KG</t>
  </si>
  <si>
    <t>POTE NATURAL PLASTIVAS 55CC</t>
  </si>
  <si>
    <t>POTE POTE NATURAL PLASTIVAS 55CC</t>
  </si>
  <si>
    <t>INS HELADO DE DULCE DE LECHE</t>
  </si>
  <si>
    <t>INS HELADO DE PISTACHO</t>
  </si>
  <si>
    <t>INS HELADO DE CREMA AMERICANA</t>
  </si>
  <si>
    <t>MANGAS Nº1</t>
  </si>
  <si>
    <t>Alfajor de nuez grande</t>
  </si>
  <si>
    <t>⁠ bolsitas St.Patricio</t>
  </si>
  <si>
    <t>budín de limón</t>
  </si>
  <si>
    <t>budín limon</t>
  </si>
  <si>
    <t>chipa freezados</t>
  </si>
  <si>
    <t>Croissant con dulce de leche</t>
  </si>
  <si>
    <t>croissant y medialunas j y q</t>
  </si>
  <si>
    <t>⁠ medialuna</t>
  </si>
  <si>
    <t>Alfajor grande de maicena</t>
  </si>
  <si>
    <t>Alfajor mar del plata con frutos rojos meriendas</t>
  </si>
  <si>
    <t>bolsitas y mini mangas cookies de Giovy</t>
  </si>
  <si>
    <t>canastitas</t>
  </si>
  <si>
    <t>Carrot cake</t>
  </si>
  <si>
    <t>Ciabatta</t>
  </si>
  <si>
    <t>croissant</t>
  </si>
  <si>
    <t>crumble vegano de manzana</t>
  </si>
  <si>
    <t>Crumble vegano de manzana</t>
  </si>
  <si>
    <t>Danesa rellenar</t>
  </si>
  <si>
    <t>Danesas saladas armar</t>
  </si>
  <si>
    <t>Eclair de chocolate</t>
  </si>
  <si>
    <t>Eclair de chocolate sugerencia</t>
  </si>
  <si>
    <t>Eclair de limon</t>
  </si>
  <si>
    <t>hogaza</t>
  </si>
  <si>
    <t>Hogaza en</t>
  </si>
  <si>
    <t>⁠hogazas</t>
  </si>
  <si>
    <t>hojaldre de pera</t>
  </si>
  <si>
    <t>Los cake pops</t>
  </si>
  <si>
    <t>Macarons almendra y toffee qala cajas</t>
  </si>
  <si>
    <t>Macarons coco y dulce de leche qala cajas</t>
  </si>
  <si>
    <t>Macarons lima y leche condensada qala cajas</t>
  </si>
  <si>
    <t>Macarons todos</t>
  </si>
  <si>
    <t>medialuna de y jyq</t>
  </si>
  <si>
    <t>medialunas</t>
  </si>
  <si>
    <t>medialunas j y q</t>
  </si>
  <si>
    <t>MEDIALUNAS DE</t>
  </si>
  <si>
    <t>medialunas y croissant j y q</t>
  </si>
  <si>
    <t>Medialunas y croissant jamón y queso</t>
  </si>
  <si>
    <t>profiteroles de limón y frutilla</t>
  </si>
  <si>
    <t>Roll de pistacho</t>
  </si>
  <si>
    <t>Roll frutos rojos</t>
  </si>
  <si>
    <t>Tartin de pistacho</t>
  </si>
  <si>
    <t>tartines de trufa</t>
  </si>
  <si>
    <t>todo el resto</t>
  </si>
  <si>
    <t>ESCENCIA DE VAINILLA VELEZ</t>
  </si>
  <si>
    <t>LT</t>
  </si>
  <si>
    <t>POLVO DE HORNEAR EXTRA DGE</t>
  </si>
  <si>
    <t>CAJA PARA TORTA</t>
  </si>
  <si>
    <t>LOMO DE CERDO AHUMADO X KG</t>
  </si>
  <si>
    <t>YOGUR</t>
  </si>
  <si>
    <t>Total</t>
  </si>
  <si>
    <t>CAFÉ ONDURAS EL ENCINAL</t>
  </si>
  <si>
    <t>CHIQUITITO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</si>
</sst>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$-2C0A]\ * #,##0.00_-;\-[$$-2C0A]\ * #,##0.00_-;_-[$$-2C0A]\ * &quot;-&quot;??_-;_-@_-"/>
    <numFmt numFmtId="167" formatCode="m/d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555555"/>
      <name val="Roboto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7"/>
      <color rgb="FF2626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Font="1" applyFill="1" applyBorder="1"/>
    <xf numFmtId="166" fontId="0" fillId="0" borderId="0" xfId="1" applyNumberFormat="1" applyFont="1" applyFill="1" applyBorder="1"/>
    <xf numFmtId="16" fontId="0" fillId="0" borderId="0" xfId="0" applyNumberFormat="1"/>
    <xf numFmtId="12" fontId="0" fillId="0" borderId="0" xfId="1" applyNumberFormat="1" applyFont="1" applyFill="1" applyBorder="1"/>
    <xf numFmtId="164" fontId="0" fillId="0" borderId="0" xfId="1" applyFont="1"/>
    <xf numFmtId="164" fontId="0" fillId="0" borderId="0" xfId="0" applyNumberFormat="1"/>
    <xf numFmtId="2" fontId="0" fillId="0" borderId="0" xfId="1" applyNumberFormat="1" applyFont="1" applyFill="1" applyBorder="1"/>
    <xf numFmtId="165" fontId="0" fillId="0" borderId="0" xfId="5" applyFont="1" applyFill="1" applyBorder="1"/>
    <xf numFmtId="9" fontId="0" fillId="0" borderId="0" xfId="2" applyFont="1" applyFill="1" applyBorder="1"/>
    <xf numFmtId="2" fontId="0" fillId="2" borderId="0" xfId="1" applyNumberFormat="1" applyFont="1" applyFill="1" applyBorder="1"/>
    <xf numFmtId="9" fontId="0" fillId="0" borderId="0" xfId="2" applyFont="1" applyBorder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4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left" vertical="center"/>
    </xf>
    <xf numFmtId="0" fontId="4" fillId="0" borderId="0" xfId="0" applyFont="1"/>
    <xf numFmtId="166" fontId="0" fillId="0" borderId="0" xfId="0" applyNumberFormat="1"/>
    <xf numFmtId="4" fontId="5" fillId="0" borderId="0" xfId="0" applyNumberFormat="1" applyFont="1"/>
  </cellXfs>
  <cellStyles count="8">
    <cellStyle name="Millares" xfId="5" builtinId="3"/>
    <cellStyle name="Millares 2" xfId="3" xr:uid="{252BA6C4-31B9-4FF8-8AEA-EA428E67B815}"/>
    <cellStyle name="Millares 3" xfId="6" xr:uid="{52544D70-11ED-450B-AF14-CC7A3DD5E8AB}"/>
    <cellStyle name="Moneda" xfId="1" builtinId="4"/>
    <cellStyle name="Moneda 2" xfId="4" xr:uid="{D464ADE8-B8D4-44C3-8275-CC1A1442D552}"/>
    <cellStyle name="Moneda 3" xfId="7" xr:uid="{CFDBE916-72A0-484D-AA33-1251196B1267}"/>
    <cellStyle name="Normal" xfId="0" builtinId="0"/>
    <cellStyle name="Porcentaje" xfId="2" builtinId="5"/>
  </cellStyles>
  <dxfs count="32">
    <dxf>
      <numFmt numFmtId="166" formatCode="_-[$$-2C0A]\ * #,##0.00_-;\-[$$-2C0A]\ * #,##0.00_-;_-[$$-2C0A]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66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7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F5BED1E3-2029-414B-BC3D-A4AAE2F35D85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FECHA" tableColumnId="1"/>
      <queryTableField id="2" name="PROVEEDOR" tableColumnId="2"/>
      <queryTableField id="3" name="ITEM" tableColumnId="3"/>
      <queryTableField id="4" name="UM COMPRA" tableColumnId="4"/>
      <queryTableField id="5" name="CANT" tableColumnId="5"/>
      <queryTableField id="6" name="$/ UN NETO" tableColumnId="6"/>
      <queryTableField id="7" name="FACTURA" tableColumnId="7"/>
      <queryTableField id="8" name="IVA" tableColumnId="8"/>
      <queryTableField id="9" name="DESC %" tableColumnId="9"/>
      <queryTableField id="10" name="PRECIO P COSTO" tableColumnId="10"/>
      <queryTableField id="11" name="TOTAL" tableColumnId="11"/>
      <queryTableField id="12" name="OBSERVACIONES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BAC93-0EE8-4C87-96D8-F900724BF2D8}" name="DATAIN_COMPRAS__2" displayName="DATAIN_COMPRAS__2" ref="A1:N7484" tableType="queryTable" totalsRowCount="1" headerRowDxfId="31" dataDxfId="30" totalsRowDxfId="29">
  <autoFilter ref="A1:N7483" xr:uid="{463BAC93-0EE8-4C87-96D8-F900724BF2D8}"/>
  <sortState xmlns:xlrd2="http://schemas.microsoft.com/office/spreadsheetml/2017/richdata2" ref="A2:L7483">
    <sortCondition ref="A1:A7483"/>
  </sortState>
  <tableColumns count="14">
    <tableColumn id="1" xr3:uid="{5B63EBE5-EA4C-4E7D-A19D-B6B63C4E2771}" uniqueName="1" name="FECHA" totalsRowLabel="Total" queryTableFieldId="1" dataDxfId="28"/>
    <tableColumn id="2" xr3:uid="{E20376A0-4168-4D14-88C9-CFD17F8930FB}" uniqueName="2" name="PROVEEDOR" queryTableFieldId="2" dataDxfId="27"/>
    <tableColumn id="3" xr3:uid="{241F5077-9F6F-47BA-A175-E4601A70D9F8}" uniqueName="3" name="ITEM" queryTableFieldId="3" dataDxfId="26"/>
    <tableColumn id="4" xr3:uid="{43E05106-4BE8-46DD-BA9A-5AED62BEB906}" uniqueName="4" name="UM" queryTableFieldId="4" dataDxfId="25"/>
    <tableColumn id="5" xr3:uid="{DF3FACE7-AD61-467E-A763-164BC8BAF342}" uniqueName="5" name="CANT" queryTableFieldId="5" dataDxfId="24"/>
    <tableColumn id="6" xr3:uid="{F1BBBD16-D9DD-4FEF-BE1C-57F456AD3024}" uniqueName="6" name="$/ UN NETO" queryTableFieldId="6" dataDxfId="23" dataCellStyle="Moneda"/>
    <tableColumn id="7" xr3:uid="{8603D461-087C-467B-A2F1-1343B51CBC19}" uniqueName="7" name="FACTURA" queryTableFieldId="7" dataDxfId="22"/>
    <tableColumn id="8" xr3:uid="{F8F1EB41-7F9D-4C5D-9966-E03F331442AA}" uniqueName="8" name="IVA" queryTableFieldId="8" dataDxfId="21"/>
    <tableColumn id="9" xr3:uid="{24785FF9-6078-4BD7-9FDC-CAFB509A9B11}" uniqueName="9" name="DESC %" queryTableFieldId="9" dataDxfId="20"/>
    <tableColumn id="10" xr3:uid="{82CF24DF-ADB7-466A-A596-13AB475A4BAF}" uniqueName="10" name="PRECIO P COSTO" queryTableFieldId="10" dataDxfId="19" dataCellStyle="Moneda"/>
    <tableColumn id="11" xr3:uid="{4A5732A5-3BE8-43DF-B2AC-213DEE4592F3}" uniqueName="11" name="TOTAL" totalsRowFunction="sum" queryTableFieldId="11" dataDxfId="18" totalsRowDxfId="0" dataCellStyle="Moneda"/>
    <tableColumn id="12" xr3:uid="{8D647687-5DC7-43AE-A1B7-1D2D0808C91D}" uniqueName="12" name="OBSERVACIONES" totalsRowFunction="count" queryTableFieldId="12" dataDxfId="17"/>
    <tableColumn id="13" xr3:uid="{2307D50B-9AD1-4921-A290-9D884C94C664}" uniqueName="13" name="Columna1" totalsRowFunction="sum" queryTableFieldId="13" dataDxfId="16"/>
    <tableColumn id="14" xr3:uid="{ABEC1274-A30F-4DCF-9171-71D70FAEE529}" uniqueName="14" name="Columna2" queryTableFieldId="14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A310A0-F887-4490-8B77-854B3D54057A}" name="Tabla3" displayName="Tabla3" ref="A2:B471" totalsRowShown="0">
  <autoFilter ref="A2:B471" xr:uid="{21A310A0-F887-4490-8B77-854B3D54057A}"/>
  <tableColumns count="2">
    <tableColumn id="1" xr3:uid="{BEF90F5B-86D1-4EEE-BE1E-B7CA59DBBF0B}" name="Columna1"/>
    <tableColumn id="2" xr3:uid="{9D0026F2-A36A-444E-A96A-91B9BCC769E9}" name="Columna2" dataDxfId="14">
      <calculatedColumnFormula array="1">IFERROR(INDEX(#REF!,MATCH(1,(ISNUMBER(SEARCH(#REF!,CLEAN(TRIM(A3)))))*1,0)),"Revisar")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CA4AFA-6E17-473B-BB1A-AC9F780A2BD5}" name="Tabla6" displayName="Tabla6" ref="E2:E13" totalsRowShown="0">
  <autoFilter ref="E2:E13" xr:uid="{E6CA4AFA-6E17-473B-BB1A-AC9F780A2BD5}"/>
  <tableColumns count="1">
    <tableColumn id="1" xr3:uid="{D8DAA0FC-C650-4107-8502-42EF68ED8435}" name="INTERLOCUTOR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1019-7ADD-4A68-874A-3452948A5628}">
  <sheetPr codeName="Hoja1"/>
  <dimension ref="A1:N7486"/>
  <sheetViews>
    <sheetView tabSelected="1" topLeftCell="C1" zoomScaleNormal="100" workbookViewId="0">
      <pane ySplit="1" topLeftCell="A1859" activePane="bottomLeft" state="frozen"/>
      <selection pane="bottomLeft" activeCell="K1877" sqref="K1877:K1878"/>
    </sheetView>
  </sheetViews>
  <sheetFormatPr baseColWidth="10" defaultColWidth="11.453125" defaultRowHeight="14.5" x14ac:dyDescent="0.35"/>
  <cols>
    <col min="1" max="1" width="10.453125" bestFit="1" customWidth="1"/>
    <col min="2" max="2" width="24.81640625" bestFit="1" customWidth="1"/>
    <col min="3" max="3" width="62.7265625" bestFit="1" customWidth="1"/>
    <col min="4" max="4" width="6.1796875" hidden="1" customWidth="1"/>
    <col min="5" max="5" width="9.54296875" bestFit="1" customWidth="1"/>
    <col min="6" max="6" width="13.54296875" bestFit="1" customWidth="1"/>
    <col min="7" max="7" width="11.54296875" hidden="1" customWidth="1"/>
    <col min="8" max="8" width="6.1796875" customWidth="1"/>
    <col min="9" max="9" width="12.7265625" bestFit="1" customWidth="1"/>
    <col min="10" max="10" width="18.81640625" customWidth="1"/>
    <col min="11" max="11" width="14.08984375" style="12" bestFit="1" customWidth="1"/>
    <col min="12" max="12" width="19" bestFit="1" customWidth="1"/>
    <col min="13" max="13" width="11.7265625" bestFit="1" customWidth="1"/>
    <col min="14" max="14" width="7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2" t="s">
        <v>10</v>
      </c>
      <c r="L1" t="s">
        <v>11</v>
      </c>
      <c r="M1" t="s">
        <v>420</v>
      </c>
      <c r="N1" t="s">
        <v>421</v>
      </c>
    </row>
    <row r="2" spans="1:14" x14ac:dyDescent="0.35">
      <c r="A2" s="13">
        <v>45747</v>
      </c>
      <c r="B2" t="s">
        <v>185</v>
      </c>
      <c r="C2" t="s">
        <v>189</v>
      </c>
      <c r="F2" s="1"/>
      <c r="J2" s="2"/>
      <c r="K2" s="7"/>
    </row>
    <row r="3" spans="1:14" x14ac:dyDescent="0.35">
      <c r="A3" s="13">
        <v>45747</v>
      </c>
      <c r="B3" t="s">
        <v>185</v>
      </c>
      <c r="C3" t="s">
        <v>187</v>
      </c>
      <c r="F3" s="1"/>
      <c r="J3" s="2"/>
      <c r="K3" s="7"/>
    </row>
    <row r="4" spans="1:14" x14ac:dyDescent="0.35">
      <c r="A4" s="13">
        <v>45747</v>
      </c>
      <c r="B4" t="s">
        <v>185</v>
      </c>
      <c r="C4" t="s">
        <v>186</v>
      </c>
      <c r="F4" s="1"/>
      <c r="J4" s="2"/>
      <c r="K4" s="7"/>
    </row>
    <row r="5" spans="1:14" x14ac:dyDescent="0.35">
      <c r="A5" s="13">
        <v>45747</v>
      </c>
      <c r="B5" t="s">
        <v>185</v>
      </c>
      <c r="C5" t="s">
        <v>188</v>
      </c>
      <c r="F5" s="1"/>
      <c r="J5" s="2"/>
      <c r="K5" s="7"/>
    </row>
    <row r="6" spans="1:14" x14ac:dyDescent="0.35">
      <c r="A6" s="13">
        <v>45747</v>
      </c>
      <c r="B6" t="s">
        <v>124</v>
      </c>
      <c r="C6" t="s">
        <v>125</v>
      </c>
      <c r="F6" s="1"/>
      <c r="J6" s="2"/>
      <c r="K6" s="7"/>
    </row>
    <row r="7" spans="1:14" x14ac:dyDescent="0.35">
      <c r="A7" s="13">
        <v>45747</v>
      </c>
      <c r="B7" t="s">
        <v>124</v>
      </c>
      <c r="C7" t="s">
        <v>126</v>
      </c>
      <c r="F7" s="1"/>
      <c r="J7" s="2"/>
      <c r="K7" s="7"/>
    </row>
    <row r="8" spans="1:14" x14ac:dyDescent="0.35">
      <c r="A8" s="13">
        <v>45747</v>
      </c>
      <c r="B8" t="s">
        <v>148</v>
      </c>
      <c r="C8" t="s">
        <v>111</v>
      </c>
      <c r="F8" s="1"/>
      <c r="J8" s="2"/>
      <c r="K8" s="7"/>
    </row>
    <row r="9" spans="1:14" x14ac:dyDescent="0.35">
      <c r="A9" s="13">
        <v>45747</v>
      </c>
      <c r="B9" t="s">
        <v>148</v>
      </c>
      <c r="C9" t="s">
        <v>191</v>
      </c>
      <c r="F9" s="1"/>
      <c r="J9" s="2"/>
      <c r="K9" s="7"/>
    </row>
    <row r="10" spans="1:14" x14ac:dyDescent="0.35">
      <c r="A10" s="13">
        <v>45747</v>
      </c>
      <c r="B10" t="s">
        <v>148</v>
      </c>
      <c r="C10" t="s">
        <v>192</v>
      </c>
      <c r="F10" s="1"/>
      <c r="J10" s="2"/>
      <c r="K10" s="7"/>
    </row>
    <row r="11" spans="1:14" x14ac:dyDescent="0.35">
      <c r="A11" s="13">
        <v>45747</v>
      </c>
      <c r="B11" t="s">
        <v>148</v>
      </c>
      <c r="C11" t="s">
        <v>141</v>
      </c>
      <c r="F11" s="1"/>
      <c r="J11" s="2"/>
      <c r="K11" s="7"/>
    </row>
    <row r="12" spans="1:14" x14ac:dyDescent="0.35">
      <c r="A12" s="13">
        <v>45747</v>
      </c>
      <c r="B12" t="s">
        <v>148</v>
      </c>
      <c r="C12" t="s">
        <v>151</v>
      </c>
      <c r="F12" s="1"/>
      <c r="J12" s="2"/>
      <c r="K12" s="7"/>
    </row>
    <row r="13" spans="1:14" x14ac:dyDescent="0.35">
      <c r="A13" s="13">
        <v>45747</v>
      </c>
      <c r="B13" t="s">
        <v>148</v>
      </c>
      <c r="C13" t="s">
        <v>153</v>
      </c>
      <c r="F13" s="1"/>
      <c r="J13" s="2"/>
      <c r="K13" s="7"/>
    </row>
    <row r="14" spans="1:14" x14ac:dyDescent="0.35">
      <c r="A14" s="13">
        <v>45747</v>
      </c>
      <c r="B14" t="s">
        <v>148</v>
      </c>
      <c r="C14" t="s">
        <v>193</v>
      </c>
      <c r="F14" s="1"/>
      <c r="J14" s="2"/>
      <c r="K14" s="7"/>
    </row>
    <row r="15" spans="1:14" x14ac:dyDescent="0.35">
      <c r="A15" s="13">
        <v>45747</v>
      </c>
      <c r="B15" t="s">
        <v>148</v>
      </c>
      <c r="C15" t="s">
        <v>194</v>
      </c>
      <c r="F15" s="1"/>
      <c r="J15" s="2"/>
      <c r="K15" s="7"/>
    </row>
    <row r="16" spans="1:14" x14ac:dyDescent="0.35">
      <c r="A16" s="13">
        <v>45747</v>
      </c>
      <c r="B16" t="s">
        <v>148</v>
      </c>
      <c r="C16" t="s">
        <v>149</v>
      </c>
      <c r="F16" s="1"/>
      <c r="J16" s="2"/>
      <c r="K16" s="7"/>
    </row>
    <row r="17" spans="1:11" x14ac:dyDescent="0.35">
      <c r="A17" s="13">
        <v>45747</v>
      </c>
      <c r="B17" t="s">
        <v>148</v>
      </c>
      <c r="C17" t="s">
        <v>149</v>
      </c>
      <c r="F17" s="1"/>
      <c r="J17" s="2"/>
      <c r="K17" s="7"/>
    </row>
    <row r="18" spans="1:11" x14ac:dyDescent="0.35">
      <c r="A18" s="13">
        <v>45747</v>
      </c>
      <c r="B18" t="s">
        <v>148</v>
      </c>
      <c r="C18" t="s">
        <v>152</v>
      </c>
      <c r="F18" s="1"/>
      <c r="J18" s="2"/>
      <c r="K18" s="7"/>
    </row>
    <row r="19" spans="1:11" x14ac:dyDescent="0.35">
      <c r="A19" s="13">
        <v>45747</v>
      </c>
      <c r="B19" t="s">
        <v>148</v>
      </c>
      <c r="C19" t="s">
        <v>190</v>
      </c>
      <c r="F19" s="1"/>
      <c r="J19" s="2"/>
      <c r="K19" s="7"/>
    </row>
    <row r="20" spans="1:11" x14ac:dyDescent="0.35">
      <c r="A20" s="13">
        <v>45747</v>
      </c>
      <c r="B20" t="s">
        <v>148</v>
      </c>
      <c r="C20" t="s">
        <v>150</v>
      </c>
      <c r="F20" s="1"/>
      <c r="J20" s="2"/>
      <c r="K20" s="7"/>
    </row>
    <row r="21" spans="1:11" x14ac:dyDescent="0.35">
      <c r="A21" s="13">
        <v>45747</v>
      </c>
      <c r="B21" t="s">
        <v>48</v>
      </c>
      <c r="C21" t="s">
        <v>63</v>
      </c>
      <c r="F21" s="1"/>
      <c r="J21" s="2"/>
      <c r="K21" s="7"/>
    </row>
    <row r="22" spans="1:11" x14ac:dyDescent="0.35">
      <c r="A22" s="13">
        <v>45747</v>
      </c>
      <c r="B22" t="s">
        <v>48</v>
      </c>
      <c r="C22" t="s">
        <v>63</v>
      </c>
      <c r="F22" s="1"/>
      <c r="J22" s="2"/>
      <c r="K22" s="7"/>
    </row>
    <row r="23" spans="1:11" x14ac:dyDescent="0.35">
      <c r="A23" s="13">
        <v>45747</v>
      </c>
      <c r="B23" t="s">
        <v>48</v>
      </c>
      <c r="C23" t="s">
        <v>66</v>
      </c>
      <c r="F23" s="1"/>
      <c r="J23" s="2"/>
      <c r="K23" s="7"/>
    </row>
    <row r="24" spans="1:11" x14ac:dyDescent="0.35">
      <c r="A24" s="13">
        <v>45747</v>
      </c>
      <c r="B24" t="s">
        <v>48</v>
      </c>
      <c r="C24" t="s">
        <v>66</v>
      </c>
      <c r="F24" s="1"/>
      <c r="J24" s="2"/>
      <c r="K24" s="7"/>
    </row>
    <row r="25" spans="1:11" x14ac:dyDescent="0.35">
      <c r="A25" s="13">
        <v>45747</v>
      </c>
      <c r="B25" t="s">
        <v>48</v>
      </c>
      <c r="C25" t="s">
        <v>57</v>
      </c>
      <c r="F25" s="1"/>
      <c r="J25" s="2"/>
      <c r="K25" s="7"/>
    </row>
    <row r="26" spans="1:11" x14ac:dyDescent="0.35">
      <c r="A26" s="13">
        <v>45747</v>
      </c>
      <c r="B26" t="s">
        <v>48</v>
      </c>
      <c r="C26" t="s">
        <v>62</v>
      </c>
      <c r="F26" s="1"/>
      <c r="J26" s="2"/>
      <c r="K26" s="7"/>
    </row>
    <row r="27" spans="1:11" x14ac:dyDescent="0.35">
      <c r="A27" s="13">
        <v>45747</v>
      </c>
      <c r="B27" t="s">
        <v>48</v>
      </c>
      <c r="C27" t="s">
        <v>64</v>
      </c>
      <c r="F27" s="1"/>
      <c r="J27" s="2"/>
      <c r="K27" s="7"/>
    </row>
    <row r="28" spans="1:11" x14ac:dyDescent="0.35">
      <c r="A28" s="13">
        <v>45747</v>
      </c>
      <c r="B28" t="s">
        <v>48</v>
      </c>
      <c r="C28" t="s">
        <v>61</v>
      </c>
      <c r="F28" s="1"/>
      <c r="J28" s="2"/>
      <c r="K28" s="7"/>
    </row>
    <row r="29" spans="1:11" x14ac:dyDescent="0.35">
      <c r="A29" s="13">
        <v>45747</v>
      </c>
      <c r="B29" t="s">
        <v>48</v>
      </c>
      <c r="C29" t="s">
        <v>161</v>
      </c>
      <c r="F29" s="1"/>
      <c r="J29" s="2"/>
      <c r="K29" s="7"/>
    </row>
    <row r="30" spans="1:11" x14ac:dyDescent="0.35">
      <c r="A30" s="13">
        <v>45747</v>
      </c>
      <c r="B30" t="s">
        <v>48</v>
      </c>
      <c r="C30" t="s">
        <v>60</v>
      </c>
      <c r="F30" s="1"/>
      <c r="J30" s="2"/>
      <c r="K30" s="7"/>
    </row>
    <row r="31" spans="1:11" x14ac:dyDescent="0.35">
      <c r="A31" s="13">
        <v>45747</v>
      </c>
      <c r="B31" t="s">
        <v>48</v>
      </c>
      <c r="C31" s="14" t="s">
        <v>224</v>
      </c>
      <c r="F31" s="1"/>
      <c r="J31" s="2"/>
      <c r="K31" s="7"/>
    </row>
    <row r="32" spans="1:11" x14ac:dyDescent="0.35">
      <c r="A32" s="13">
        <v>45747</v>
      </c>
      <c r="B32" t="s">
        <v>48</v>
      </c>
      <c r="C32" s="14" t="s">
        <v>198</v>
      </c>
      <c r="F32" s="1"/>
      <c r="J32" s="2"/>
      <c r="K32" s="7"/>
    </row>
    <row r="33" spans="1:11" x14ac:dyDescent="0.35">
      <c r="A33" s="13">
        <v>45747</v>
      </c>
      <c r="B33" t="s">
        <v>48</v>
      </c>
      <c r="C33" t="s">
        <v>55</v>
      </c>
      <c r="F33" s="1"/>
      <c r="J33" s="2"/>
      <c r="K33" s="7"/>
    </row>
    <row r="34" spans="1:11" x14ac:dyDescent="0.35">
      <c r="A34" s="13">
        <v>45747</v>
      </c>
      <c r="B34" t="s">
        <v>48</v>
      </c>
      <c r="C34" t="s">
        <v>51</v>
      </c>
      <c r="F34" s="1"/>
      <c r="J34" s="2"/>
      <c r="K34" s="7"/>
    </row>
    <row r="35" spans="1:11" x14ac:dyDescent="0.35">
      <c r="A35" s="13">
        <v>45747</v>
      </c>
      <c r="B35" t="s">
        <v>48</v>
      </c>
      <c r="C35" t="s">
        <v>162</v>
      </c>
      <c r="F35" s="1"/>
      <c r="J35" s="2"/>
      <c r="K35" s="7"/>
    </row>
    <row r="36" spans="1:11" x14ac:dyDescent="0.35">
      <c r="A36" s="13">
        <v>45747</v>
      </c>
      <c r="B36" t="s">
        <v>48</v>
      </c>
      <c r="C36" t="s">
        <v>67</v>
      </c>
      <c r="F36" s="1"/>
      <c r="J36" s="2"/>
      <c r="K36" s="7"/>
    </row>
    <row r="37" spans="1:11" x14ac:dyDescent="0.35">
      <c r="A37" s="13">
        <v>45747</v>
      </c>
      <c r="B37" t="s">
        <v>48</v>
      </c>
      <c r="C37" s="14" t="s">
        <v>69</v>
      </c>
      <c r="F37" s="1"/>
      <c r="J37" s="2"/>
      <c r="K37" s="7"/>
    </row>
    <row r="38" spans="1:11" x14ac:dyDescent="0.35">
      <c r="A38" s="13">
        <v>45747</v>
      </c>
      <c r="B38" t="s">
        <v>48</v>
      </c>
      <c r="C38" t="s">
        <v>65</v>
      </c>
      <c r="F38" s="1"/>
      <c r="J38" s="2"/>
      <c r="K38" s="7"/>
    </row>
    <row r="39" spans="1:11" x14ac:dyDescent="0.35">
      <c r="A39" s="13">
        <v>45747</v>
      </c>
      <c r="B39" t="s">
        <v>48</v>
      </c>
      <c r="C39" t="s">
        <v>50</v>
      </c>
      <c r="F39" s="1"/>
      <c r="J39" s="2"/>
      <c r="K39" s="7"/>
    </row>
    <row r="40" spans="1:11" x14ac:dyDescent="0.35">
      <c r="A40" s="13">
        <v>45747</v>
      </c>
      <c r="B40" t="s">
        <v>48</v>
      </c>
      <c r="C40" t="s">
        <v>58</v>
      </c>
      <c r="F40" s="1"/>
      <c r="J40" s="2"/>
      <c r="K40" s="7"/>
    </row>
    <row r="41" spans="1:11" x14ac:dyDescent="0.35">
      <c r="A41" s="13">
        <v>45747</v>
      </c>
      <c r="B41" t="s">
        <v>48</v>
      </c>
      <c r="C41" t="s">
        <v>58</v>
      </c>
      <c r="F41" s="1"/>
      <c r="J41" s="2"/>
      <c r="K41" s="7"/>
    </row>
    <row r="42" spans="1:11" x14ac:dyDescent="0.35">
      <c r="A42" s="13">
        <v>45747</v>
      </c>
      <c r="B42" t="s">
        <v>48</v>
      </c>
      <c r="C42" t="s">
        <v>70</v>
      </c>
      <c r="F42" s="1"/>
      <c r="J42" s="2"/>
      <c r="K42" s="7"/>
    </row>
    <row r="43" spans="1:11" x14ac:dyDescent="0.35">
      <c r="A43" s="13">
        <v>45747</v>
      </c>
      <c r="B43" t="s">
        <v>48</v>
      </c>
      <c r="C43" t="s">
        <v>53</v>
      </c>
      <c r="F43" s="1"/>
      <c r="J43" s="2"/>
      <c r="K43" s="7"/>
    </row>
    <row r="44" spans="1:11" x14ac:dyDescent="0.35">
      <c r="A44" s="13">
        <v>45747</v>
      </c>
      <c r="B44" t="s">
        <v>48</v>
      </c>
      <c r="C44" t="s">
        <v>52</v>
      </c>
      <c r="F44" s="1"/>
      <c r="J44" s="2"/>
      <c r="K44" s="7"/>
    </row>
    <row r="45" spans="1:11" x14ac:dyDescent="0.35">
      <c r="A45" s="13">
        <v>45747</v>
      </c>
      <c r="B45" t="s">
        <v>48</v>
      </c>
      <c r="C45" t="s">
        <v>833</v>
      </c>
      <c r="F45" s="1"/>
      <c r="J45" s="2"/>
      <c r="K45" s="7"/>
    </row>
    <row r="46" spans="1:11" x14ac:dyDescent="0.35">
      <c r="A46" s="13">
        <v>45747</v>
      </c>
      <c r="B46" t="s">
        <v>48</v>
      </c>
      <c r="C46" t="s">
        <v>833</v>
      </c>
      <c r="F46" s="1"/>
      <c r="J46" s="2"/>
      <c r="K46" s="7"/>
    </row>
    <row r="47" spans="1:11" x14ac:dyDescent="0.35">
      <c r="A47" s="13">
        <v>45747</v>
      </c>
      <c r="B47" t="s">
        <v>48</v>
      </c>
      <c r="C47" t="s">
        <v>56</v>
      </c>
      <c r="F47" s="1"/>
      <c r="J47" s="2"/>
      <c r="K47" s="7"/>
    </row>
    <row r="48" spans="1:11" x14ac:dyDescent="0.35">
      <c r="A48" s="13">
        <v>45747</v>
      </c>
      <c r="B48" t="s">
        <v>48</v>
      </c>
      <c r="C48" t="s">
        <v>160</v>
      </c>
      <c r="F48" s="1"/>
      <c r="J48" s="2"/>
      <c r="K48" s="7"/>
    </row>
    <row r="49" spans="1:11" x14ac:dyDescent="0.35">
      <c r="A49" s="13">
        <v>45747</v>
      </c>
      <c r="B49" t="s">
        <v>48</v>
      </c>
      <c r="C49" t="s">
        <v>197</v>
      </c>
      <c r="F49" s="1"/>
      <c r="J49" s="2"/>
      <c r="K49" s="7"/>
    </row>
    <row r="50" spans="1:11" x14ac:dyDescent="0.35">
      <c r="A50" s="13">
        <v>45747</v>
      </c>
      <c r="B50" t="s">
        <v>48</v>
      </c>
      <c r="C50" t="s">
        <v>68</v>
      </c>
      <c r="F50" s="1"/>
      <c r="J50" s="2"/>
      <c r="K50" s="7"/>
    </row>
    <row r="51" spans="1:11" x14ac:dyDescent="0.35">
      <c r="A51" s="13">
        <v>45747</v>
      </c>
      <c r="B51" t="s">
        <v>48</v>
      </c>
      <c r="C51" t="s">
        <v>59</v>
      </c>
      <c r="F51" s="1"/>
      <c r="J51" s="2"/>
      <c r="K51" s="7"/>
    </row>
    <row r="52" spans="1:11" x14ac:dyDescent="0.35">
      <c r="A52" s="13">
        <v>45747</v>
      </c>
      <c r="B52" t="s">
        <v>48</v>
      </c>
      <c r="C52" t="s">
        <v>834</v>
      </c>
      <c r="F52" s="1"/>
      <c r="J52" s="2"/>
      <c r="K52" s="7"/>
    </row>
    <row r="53" spans="1:11" x14ac:dyDescent="0.35">
      <c r="A53" s="13">
        <v>45747</v>
      </c>
      <c r="B53" t="s">
        <v>48</v>
      </c>
      <c r="C53" t="s">
        <v>54</v>
      </c>
      <c r="F53" s="1"/>
      <c r="J53" s="2"/>
      <c r="K53" s="7"/>
    </row>
    <row r="54" spans="1:11" x14ac:dyDescent="0.35">
      <c r="A54" s="13">
        <v>45747</v>
      </c>
      <c r="B54" t="s">
        <v>174</v>
      </c>
      <c r="C54" t="s">
        <v>176</v>
      </c>
      <c r="F54" s="1"/>
      <c r="J54" s="2"/>
      <c r="K54" s="7"/>
    </row>
    <row r="55" spans="1:11" x14ac:dyDescent="0.35">
      <c r="A55" s="13">
        <v>45747</v>
      </c>
      <c r="B55" t="s">
        <v>174</v>
      </c>
      <c r="C55" t="s">
        <v>175</v>
      </c>
      <c r="F55" s="1"/>
      <c r="J55" s="2"/>
      <c r="K55" s="7"/>
    </row>
    <row r="56" spans="1:11" x14ac:dyDescent="0.35">
      <c r="A56" s="13">
        <v>45747</v>
      </c>
      <c r="B56" t="s">
        <v>174</v>
      </c>
      <c r="C56" t="s">
        <v>177</v>
      </c>
      <c r="F56" s="1"/>
      <c r="J56" s="2"/>
      <c r="K56" s="7"/>
    </row>
    <row r="57" spans="1:11" x14ac:dyDescent="0.35">
      <c r="A57" s="13">
        <v>45747</v>
      </c>
      <c r="B57" t="s">
        <v>174</v>
      </c>
      <c r="C57" t="s">
        <v>178</v>
      </c>
      <c r="F57" s="1"/>
      <c r="J57" s="2"/>
      <c r="K57" s="7"/>
    </row>
    <row r="58" spans="1:11" x14ac:dyDescent="0.35">
      <c r="A58" s="13">
        <v>45747</v>
      </c>
      <c r="B58" t="s">
        <v>80</v>
      </c>
      <c r="C58" t="s">
        <v>95</v>
      </c>
      <c r="F58" s="1"/>
      <c r="J58" s="2"/>
      <c r="K58" s="7"/>
    </row>
    <row r="59" spans="1:11" x14ac:dyDescent="0.35">
      <c r="A59" s="13">
        <v>45747</v>
      </c>
      <c r="B59" t="s">
        <v>80</v>
      </c>
      <c r="C59" t="s">
        <v>101</v>
      </c>
      <c r="F59" s="1"/>
      <c r="J59" s="2"/>
      <c r="K59" s="7"/>
    </row>
    <row r="60" spans="1:11" x14ac:dyDescent="0.35">
      <c r="A60" s="13">
        <v>45747</v>
      </c>
      <c r="B60" t="s">
        <v>80</v>
      </c>
      <c r="C60" t="s">
        <v>100</v>
      </c>
      <c r="F60" s="1"/>
      <c r="J60" s="2"/>
      <c r="K60" s="7"/>
    </row>
    <row r="61" spans="1:11" x14ac:dyDescent="0.35">
      <c r="A61" s="13">
        <v>45747</v>
      </c>
      <c r="B61" t="s">
        <v>80</v>
      </c>
      <c r="C61" t="s">
        <v>96</v>
      </c>
      <c r="F61" s="1"/>
      <c r="J61" s="2"/>
      <c r="K61" s="7"/>
    </row>
    <row r="62" spans="1:11" x14ac:dyDescent="0.35">
      <c r="A62" s="13">
        <v>45747</v>
      </c>
      <c r="B62" t="s">
        <v>80</v>
      </c>
      <c r="C62" t="s">
        <v>88</v>
      </c>
      <c r="F62" s="1"/>
      <c r="J62" s="2"/>
      <c r="K62" s="7"/>
    </row>
    <row r="63" spans="1:11" x14ac:dyDescent="0.35">
      <c r="A63" s="13">
        <v>45747</v>
      </c>
      <c r="B63" t="s">
        <v>80</v>
      </c>
      <c r="C63" t="s">
        <v>92</v>
      </c>
      <c r="F63" s="1"/>
      <c r="J63" s="2"/>
      <c r="K63" s="7"/>
    </row>
    <row r="64" spans="1:11" x14ac:dyDescent="0.35">
      <c r="A64" s="13">
        <v>45747</v>
      </c>
      <c r="B64" t="s">
        <v>80</v>
      </c>
      <c r="C64" s="14" t="s">
        <v>835</v>
      </c>
      <c r="F64" s="1"/>
      <c r="J64" s="2"/>
      <c r="K64" s="7"/>
    </row>
    <row r="65" spans="1:11" x14ac:dyDescent="0.35">
      <c r="A65" s="13">
        <v>45747</v>
      </c>
      <c r="B65" t="s">
        <v>80</v>
      </c>
      <c r="C65" t="s">
        <v>171</v>
      </c>
      <c r="F65" s="1"/>
      <c r="J65" s="2"/>
      <c r="K65" s="7"/>
    </row>
    <row r="66" spans="1:11" x14ac:dyDescent="0.35">
      <c r="A66" s="13">
        <v>45747</v>
      </c>
      <c r="B66" t="s">
        <v>80</v>
      </c>
      <c r="C66" t="s">
        <v>87</v>
      </c>
      <c r="F66" s="1"/>
      <c r="J66" s="2"/>
      <c r="K66" s="7"/>
    </row>
    <row r="67" spans="1:11" x14ac:dyDescent="0.35">
      <c r="A67" s="13">
        <v>45747</v>
      </c>
      <c r="B67" t="s">
        <v>80</v>
      </c>
      <c r="C67" t="s">
        <v>87</v>
      </c>
      <c r="F67" s="1"/>
      <c r="J67" s="2"/>
      <c r="K67" s="7"/>
    </row>
    <row r="68" spans="1:11" x14ac:dyDescent="0.35">
      <c r="A68" s="13">
        <v>45747</v>
      </c>
      <c r="B68" t="s">
        <v>80</v>
      </c>
      <c r="C68" t="s">
        <v>86</v>
      </c>
      <c r="F68" s="1"/>
      <c r="J68" s="2"/>
      <c r="K68" s="7"/>
    </row>
    <row r="69" spans="1:11" x14ac:dyDescent="0.35">
      <c r="A69" s="13">
        <v>45747</v>
      </c>
      <c r="B69" t="s">
        <v>80</v>
      </c>
      <c r="C69" t="s">
        <v>97</v>
      </c>
      <c r="F69" s="1"/>
      <c r="J69" s="2"/>
      <c r="K69" s="7"/>
    </row>
    <row r="70" spans="1:11" x14ac:dyDescent="0.35">
      <c r="A70" s="13">
        <v>45747</v>
      </c>
      <c r="B70" t="s">
        <v>80</v>
      </c>
      <c r="C70" t="s">
        <v>85</v>
      </c>
      <c r="F70" s="1"/>
      <c r="J70" s="2"/>
      <c r="K70" s="7"/>
    </row>
    <row r="71" spans="1:11" x14ac:dyDescent="0.35">
      <c r="A71" s="13">
        <v>45747</v>
      </c>
      <c r="B71" t="s">
        <v>80</v>
      </c>
      <c r="C71" t="s">
        <v>89</v>
      </c>
      <c r="F71" s="1"/>
      <c r="J71" s="2"/>
      <c r="K71" s="7"/>
    </row>
    <row r="72" spans="1:11" x14ac:dyDescent="0.35">
      <c r="A72" s="13">
        <v>45747</v>
      </c>
      <c r="B72" t="s">
        <v>80</v>
      </c>
      <c r="C72" t="s">
        <v>81</v>
      </c>
      <c r="F72" s="1"/>
      <c r="J72" s="2"/>
      <c r="K72" s="7"/>
    </row>
    <row r="73" spans="1:11" x14ac:dyDescent="0.35">
      <c r="A73" s="13">
        <v>45747</v>
      </c>
      <c r="B73" t="s">
        <v>80</v>
      </c>
      <c r="C73" t="s">
        <v>91</v>
      </c>
      <c r="F73" s="1"/>
      <c r="J73" s="2"/>
      <c r="K73" s="7"/>
    </row>
    <row r="74" spans="1:11" x14ac:dyDescent="0.35">
      <c r="A74" s="13">
        <v>45747</v>
      </c>
      <c r="B74" t="s">
        <v>80</v>
      </c>
      <c r="C74" t="s">
        <v>90</v>
      </c>
      <c r="F74" s="1"/>
      <c r="J74" s="2"/>
      <c r="K74" s="7"/>
    </row>
    <row r="75" spans="1:11" x14ac:dyDescent="0.35">
      <c r="A75" s="13">
        <v>45747</v>
      </c>
      <c r="B75" t="s">
        <v>80</v>
      </c>
      <c r="C75" t="s">
        <v>90</v>
      </c>
      <c r="F75" s="1"/>
      <c r="J75" s="2"/>
      <c r="K75" s="7"/>
    </row>
    <row r="76" spans="1:11" x14ac:dyDescent="0.35">
      <c r="A76" s="13">
        <v>45747</v>
      </c>
      <c r="B76" t="s">
        <v>80</v>
      </c>
      <c r="C76" t="s">
        <v>201</v>
      </c>
      <c r="F76" s="1"/>
      <c r="J76" s="2"/>
      <c r="K76" s="7"/>
    </row>
    <row r="77" spans="1:11" x14ac:dyDescent="0.35">
      <c r="A77" s="13">
        <v>45747</v>
      </c>
      <c r="B77" t="s">
        <v>80</v>
      </c>
      <c r="C77" t="s">
        <v>202</v>
      </c>
      <c r="F77" s="1"/>
      <c r="J77" s="2"/>
      <c r="K77" s="7"/>
    </row>
    <row r="78" spans="1:11" x14ac:dyDescent="0.35">
      <c r="A78" s="13">
        <v>45747</v>
      </c>
      <c r="B78" t="s">
        <v>80</v>
      </c>
      <c r="C78" t="s">
        <v>93</v>
      </c>
      <c r="F78" s="1"/>
      <c r="J78" s="2"/>
      <c r="K78" s="7"/>
    </row>
    <row r="79" spans="1:11" x14ac:dyDescent="0.35">
      <c r="A79" s="13">
        <v>45747</v>
      </c>
      <c r="B79" t="s">
        <v>80</v>
      </c>
      <c r="C79" t="s">
        <v>172</v>
      </c>
      <c r="F79" s="1"/>
      <c r="J79" s="2"/>
      <c r="K79" s="7"/>
    </row>
    <row r="80" spans="1:11" x14ac:dyDescent="0.35">
      <c r="A80" s="13">
        <v>45747</v>
      </c>
      <c r="B80" t="s">
        <v>80</v>
      </c>
      <c r="C80" t="s">
        <v>173</v>
      </c>
      <c r="F80" s="1"/>
      <c r="J80" s="2"/>
      <c r="K80" s="7"/>
    </row>
    <row r="81" spans="1:11" x14ac:dyDescent="0.35">
      <c r="A81" s="13">
        <v>45747</v>
      </c>
      <c r="B81" t="s">
        <v>80</v>
      </c>
      <c r="C81" t="s">
        <v>98</v>
      </c>
      <c r="F81" s="1"/>
      <c r="J81" s="2"/>
      <c r="K81" s="7"/>
    </row>
    <row r="82" spans="1:11" x14ac:dyDescent="0.35">
      <c r="A82" s="13">
        <v>45747</v>
      </c>
      <c r="B82" t="s">
        <v>80</v>
      </c>
      <c r="C82" t="s">
        <v>98</v>
      </c>
      <c r="F82" s="1"/>
      <c r="J82" s="2"/>
      <c r="K82" s="7"/>
    </row>
    <row r="83" spans="1:11" x14ac:dyDescent="0.35">
      <c r="A83" s="13">
        <v>45747</v>
      </c>
      <c r="B83" t="s">
        <v>80</v>
      </c>
      <c r="C83" t="s">
        <v>99</v>
      </c>
      <c r="F83" s="1"/>
      <c r="J83" s="2"/>
      <c r="K83" s="7"/>
    </row>
    <row r="84" spans="1:11" x14ac:dyDescent="0.35">
      <c r="A84" s="13">
        <v>45747</v>
      </c>
      <c r="B84" t="s">
        <v>80</v>
      </c>
      <c r="C84" t="s">
        <v>99</v>
      </c>
      <c r="F84" s="1"/>
      <c r="J84" s="2"/>
      <c r="K84" s="7"/>
    </row>
    <row r="85" spans="1:11" x14ac:dyDescent="0.35">
      <c r="A85" s="13">
        <v>45747</v>
      </c>
      <c r="B85" t="s">
        <v>80</v>
      </c>
      <c r="C85" s="14" t="s">
        <v>207</v>
      </c>
      <c r="F85" s="1"/>
      <c r="J85" s="2"/>
      <c r="K85" s="7"/>
    </row>
    <row r="86" spans="1:11" x14ac:dyDescent="0.35">
      <c r="A86" s="13">
        <v>45747</v>
      </c>
      <c r="B86" t="s">
        <v>80</v>
      </c>
      <c r="C86" t="s">
        <v>83</v>
      </c>
      <c r="F86" s="1"/>
      <c r="J86" s="2"/>
      <c r="K86" s="7"/>
    </row>
    <row r="87" spans="1:11" x14ac:dyDescent="0.35">
      <c r="A87" s="13">
        <v>45747</v>
      </c>
      <c r="B87" t="s">
        <v>80</v>
      </c>
      <c r="C87" t="s">
        <v>82</v>
      </c>
      <c r="F87" s="1"/>
      <c r="J87" s="2"/>
      <c r="K87" s="7"/>
    </row>
    <row r="88" spans="1:11" x14ac:dyDescent="0.35">
      <c r="A88" s="13">
        <v>45747</v>
      </c>
      <c r="B88" t="s">
        <v>80</v>
      </c>
      <c r="C88" t="s">
        <v>94</v>
      </c>
      <c r="F88" s="1"/>
      <c r="J88" s="2"/>
      <c r="K88" s="7"/>
    </row>
    <row r="89" spans="1:11" x14ac:dyDescent="0.35">
      <c r="A89" s="13">
        <v>45747</v>
      </c>
      <c r="B89" t="s">
        <v>80</v>
      </c>
      <c r="C89" t="s">
        <v>84</v>
      </c>
      <c r="F89" s="1"/>
      <c r="J89" s="2"/>
      <c r="K89" s="7"/>
    </row>
    <row r="90" spans="1:11" x14ac:dyDescent="0.35">
      <c r="A90" s="13">
        <v>45747</v>
      </c>
      <c r="B90" t="s">
        <v>104</v>
      </c>
      <c r="C90" t="s">
        <v>107</v>
      </c>
      <c r="F90" s="1"/>
      <c r="J90" s="2"/>
      <c r="K90" s="7"/>
    </row>
    <row r="91" spans="1:11" x14ac:dyDescent="0.35">
      <c r="A91" s="13">
        <v>45747</v>
      </c>
      <c r="B91" t="s">
        <v>104</v>
      </c>
      <c r="C91" t="s">
        <v>106</v>
      </c>
      <c r="F91" s="1"/>
      <c r="J91" s="2"/>
      <c r="K91" s="7"/>
    </row>
    <row r="92" spans="1:11" x14ac:dyDescent="0.35">
      <c r="A92" s="13">
        <v>45747</v>
      </c>
      <c r="B92" t="s">
        <v>104</v>
      </c>
      <c r="C92" t="s">
        <v>108</v>
      </c>
      <c r="F92" s="1"/>
      <c r="J92" s="2"/>
      <c r="K92" s="7"/>
    </row>
    <row r="93" spans="1:11" x14ac:dyDescent="0.35">
      <c r="A93" s="13">
        <v>45747</v>
      </c>
      <c r="B93" t="s">
        <v>104</v>
      </c>
      <c r="C93" t="s">
        <v>108</v>
      </c>
      <c r="F93" s="1"/>
      <c r="J93" s="2"/>
      <c r="K93" s="7"/>
    </row>
    <row r="94" spans="1:11" x14ac:dyDescent="0.35">
      <c r="A94" s="13">
        <v>45747</v>
      </c>
      <c r="B94" t="s">
        <v>104</v>
      </c>
      <c r="C94" t="s">
        <v>109</v>
      </c>
      <c r="F94" s="1"/>
      <c r="J94" s="2"/>
      <c r="K94" s="7"/>
    </row>
    <row r="95" spans="1:11" x14ac:dyDescent="0.35">
      <c r="A95" s="13">
        <v>45747</v>
      </c>
      <c r="B95" t="s">
        <v>104</v>
      </c>
      <c r="C95" t="s">
        <v>105</v>
      </c>
      <c r="F95" s="1"/>
      <c r="J95" s="2"/>
      <c r="K95" s="7"/>
    </row>
    <row r="96" spans="1:11" x14ac:dyDescent="0.35">
      <c r="A96" s="13">
        <v>45747</v>
      </c>
      <c r="B96" t="s">
        <v>104</v>
      </c>
      <c r="C96" t="s">
        <v>105</v>
      </c>
      <c r="F96" s="1"/>
      <c r="J96" s="2"/>
      <c r="K96" s="7"/>
    </row>
    <row r="97" spans="1:11" x14ac:dyDescent="0.35">
      <c r="A97" s="13">
        <v>45747</v>
      </c>
      <c r="B97" t="s">
        <v>143</v>
      </c>
      <c r="C97" t="s">
        <v>146</v>
      </c>
      <c r="F97" s="1"/>
      <c r="J97" s="2"/>
      <c r="K97" s="7"/>
    </row>
    <row r="98" spans="1:11" x14ac:dyDescent="0.35">
      <c r="A98" s="13">
        <v>45747</v>
      </c>
      <c r="B98" t="s">
        <v>143</v>
      </c>
      <c r="C98" t="s">
        <v>146</v>
      </c>
      <c r="F98" s="1"/>
      <c r="J98" s="2"/>
      <c r="K98" s="7"/>
    </row>
    <row r="99" spans="1:11" x14ac:dyDescent="0.35">
      <c r="A99" s="13">
        <v>45747</v>
      </c>
      <c r="B99" t="s">
        <v>143</v>
      </c>
      <c r="C99" t="s">
        <v>144</v>
      </c>
      <c r="F99" s="1"/>
      <c r="J99" s="2"/>
      <c r="K99" s="7"/>
    </row>
    <row r="100" spans="1:11" x14ac:dyDescent="0.35">
      <c r="A100" s="13">
        <v>45747</v>
      </c>
      <c r="B100" t="s">
        <v>143</v>
      </c>
      <c r="C100" t="s">
        <v>144</v>
      </c>
      <c r="F100" s="1"/>
      <c r="J100" s="2"/>
      <c r="K100" s="7"/>
    </row>
    <row r="101" spans="1:11" x14ac:dyDescent="0.35">
      <c r="A101" s="13">
        <v>45747</v>
      </c>
      <c r="B101" t="s">
        <v>143</v>
      </c>
      <c r="C101" t="s">
        <v>145</v>
      </c>
      <c r="F101" s="1"/>
      <c r="J101" s="2"/>
      <c r="K101" s="7"/>
    </row>
    <row r="102" spans="1:11" x14ac:dyDescent="0.35">
      <c r="A102" s="13">
        <v>45747</v>
      </c>
      <c r="B102" t="s">
        <v>143</v>
      </c>
      <c r="C102" t="s">
        <v>145</v>
      </c>
      <c r="F102" s="1"/>
      <c r="J102" s="2"/>
      <c r="K102" s="7"/>
    </row>
    <row r="103" spans="1:11" x14ac:dyDescent="0.35">
      <c r="A103" s="13">
        <v>45747</v>
      </c>
      <c r="B103" t="s">
        <v>143</v>
      </c>
      <c r="C103" t="s">
        <v>147</v>
      </c>
      <c r="F103" s="1"/>
      <c r="J103" s="2"/>
      <c r="K103" s="7"/>
    </row>
    <row r="104" spans="1:11" x14ac:dyDescent="0.35">
      <c r="A104" s="13">
        <v>45747</v>
      </c>
      <c r="B104" t="s">
        <v>143</v>
      </c>
      <c r="C104" t="s">
        <v>147</v>
      </c>
      <c r="F104" s="1"/>
      <c r="J104" s="2"/>
      <c r="K104" s="7"/>
    </row>
    <row r="105" spans="1:11" x14ac:dyDescent="0.35">
      <c r="A105" s="13">
        <v>45747</v>
      </c>
      <c r="B105" t="s">
        <v>181</v>
      </c>
      <c r="C105" t="s">
        <v>184</v>
      </c>
      <c r="F105" s="1"/>
      <c r="J105" s="2"/>
      <c r="K105" s="7"/>
    </row>
    <row r="106" spans="1:11" x14ac:dyDescent="0.35">
      <c r="A106" s="13">
        <v>45747</v>
      </c>
      <c r="B106" t="s">
        <v>181</v>
      </c>
      <c r="C106" t="s">
        <v>183</v>
      </c>
      <c r="F106" s="1"/>
      <c r="J106" s="2"/>
      <c r="K106" s="7"/>
    </row>
    <row r="107" spans="1:11" x14ac:dyDescent="0.35">
      <c r="A107" s="13">
        <v>45747</v>
      </c>
      <c r="B107" t="s">
        <v>181</v>
      </c>
      <c r="C107" t="s">
        <v>182</v>
      </c>
      <c r="F107" s="1"/>
      <c r="J107" s="2"/>
      <c r="K107" s="7"/>
    </row>
    <row r="108" spans="1:11" x14ac:dyDescent="0.35">
      <c r="A108" s="13">
        <v>45747</v>
      </c>
      <c r="B108" t="s">
        <v>154</v>
      </c>
      <c r="C108" t="s">
        <v>157</v>
      </c>
      <c r="F108" s="1"/>
      <c r="J108" s="2"/>
      <c r="K108" s="7"/>
    </row>
    <row r="109" spans="1:11" x14ac:dyDescent="0.35">
      <c r="A109" s="13">
        <v>45747</v>
      </c>
      <c r="B109" t="s">
        <v>154</v>
      </c>
      <c r="C109" t="s">
        <v>156</v>
      </c>
      <c r="F109" s="1"/>
      <c r="J109" s="2"/>
      <c r="K109" s="7"/>
    </row>
    <row r="110" spans="1:11" x14ac:dyDescent="0.35">
      <c r="A110" s="13">
        <v>45747</v>
      </c>
      <c r="B110" t="s">
        <v>154</v>
      </c>
      <c r="C110" t="s">
        <v>155</v>
      </c>
      <c r="F110" s="1"/>
      <c r="J110" s="2"/>
      <c r="K110" s="7"/>
    </row>
    <row r="111" spans="1:11" x14ac:dyDescent="0.35">
      <c r="A111" s="13">
        <v>45747</v>
      </c>
      <c r="B111" t="s">
        <v>110</v>
      </c>
      <c r="C111" t="s">
        <v>111</v>
      </c>
      <c r="F111" s="1"/>
      <c r="J111" s="2"/>
      <c r="K111" s="7"/>
    </row>
    <row r="112" spans="1:11" x14ac:dyDescent="0.35">
      <c r="A112" s="13">
        <v>45747</v>
      </c>
      <c r="B112" t="s">
        <v>110</v>
      </c>
      <c r="C112" t="s">
        <v>116</v>
      </c>
      <c r="F112" s="1"/>
      <c r="J112" s="2"/>
      <c r="K112" s="7"/>
    </row>
    <row r="113" spans="1:11" x14ac:dyDescent="0.35">
      <c r="A113" s="13">
        <v>45747</v>
      </c>
      <c r="B113" t="s">
        <v>110</v>
      </c>
      <c r="C113" t="s">
        <v>163</v>
      </c>
      <c r="F113" s="1"/>
      <c r="J113" s="2"/>
      <c r="K113" s="7"/>
    </row>
    <row r="114" spans="1:11" x14ac:dyDescent="0.35">
      <c r="A114" s="13">
        <v>45747</v>
      </c>
      <c r="B114" t="s">
        <v>110</v>
      </c>
      <c r="C114" t="s">
        <v>169</v>
      </c>
      <c r="F114" s="1"/>
      <c r="J114" s="2"/>
      <c r="K114" s="7"/>
    </row>
    <row r="115" spans="1:11" x14ac:dyDescent="0.35">
      <c r="A115" s="13">
        <v>45747</v>
      </c>
      <c r="B115" t="s">
        <v>110</v>
      </c>
      <c r="C115" t="s">
        <v>836</v>
      </c>
      <c r="F115" s="1"/>
      <c r="J115" s="2"/>
      <c r="K115" s="7"/>
    </row>
    <row r="116" spans="1:11" x14ac:dyDescent="0.35">
      <c r="A116" s="13">
        <v>45747</v>
      </c>
      <c r="B116" t="s">
        <v>110</v>
      </c>
      <c r="C116" t="s">
        <v>114</v>
      </c>
      <c r="F116" s="1"/>
      <c r="J116" s="2"/>
      <c r="K116" s="7"/>
    </row>
    <row r="117" spans="1:11" x14ac:dyDescent="0.35">
      <c r="A117" s="13">
        <v>45747</v>
      </c>
      <c r="B117" t="s">
        <v>110</v>
      </c>
      <c r="C117" t="s">
        <v>117</v>
      </c>
      <c r="F117" s="1"/>
      <c r="J117" s="2"/>
      <c r="K117" s="7"/>
    </row>
    <row r="118" spans="1:11" x14ac:dyDescent="0.35">
      <c r="A118" s="13">
        <v>45747</v>
      </c>
      <c r="B118" t="s">
        <v>110</v>
      </c>
      <c r="C118" t="s">
        <v>170</v>
      </c>
      <c r="F118" s="1"/>
      <c r="J118" s="2"/>
      <c r="K118" s="7"/>
    </row>
    <row r="119" spans="1:11" x14ac:dyDescent="0.35">
      <c r="A119" s="13">
        <v>45747</v>
      </c>
      <c r="B119" t="s">
        <v>110</v>
      </c>
      <c r="C119" t="s">
        <v>165</v>
      </c>
      <c r="F119" s="1"/>
      <c r="J119" s="2"/>
      <c r="K119" s="7"/>
    </row>
    <row r="120" spans="1:11" x14ac:dyDescent="0.35">
      <c r="A120" s="13">
        <v>45747</v>
      </c>
      <c r="B120" t="s">
        <v>110</v>
      </c>
      <c r="C120" t="s">
        <v>167</v>
      </c>
      <c r="F120" s="1"/>
      <c r="J120" s="2"/>
      <c r="K120" s="7"/>
    </row>
    <row r="121" spans="1:11" x14ac:dyDescent="0.35">
      <c r="A121" s="13">
        <v>45747</v>
      </c>
      <c r="B121" t="s">
        <v>110</v>
      </c>
      <c r="C121" t="s">
        <v>113</v>
      </c>
      <c r="F121" s="1"/>
      <c r="J121" s="2"/>
      <c r="K121" s="7"/>
    </row>
    <row r="122" spans="1:11" x14ac:dyDescent="0.35">
      <c r="A122" s="13">
        <v>45747</v>
      </c>
      <c r="B122" t="s">
        <v>110</v>
      </c>
      <c r="C122" t="s">
        <v>168</v>
      </c>
      <c r="F122" s="1"/>
      <c r="J122" s="2"/>
      <c r="K122" s="7"/>
    </row>
    <row r="123" spans="1:11" x14ac:dyDescent="0.35">
      <c r="A123" s="13">
        <v>45747</v>
      </c>
      <c r="B123" t="s">
        <v>110</v>
      </c>
      <c r="C123" t="s">
        <v>112</v>
      </c>
      <c r="F123" s="1"/>
      <c r="J123" s="2"/>
      <c r="K123" s="7"/>
    </row>
    <row r="124" spans="1:11" x14ac:dyDescent="0.35">
      <c r="A124" s="13">
        <v>45747</v>
      </c>
      <c r="B124" t="s">
        <v>110</v>
      </c>
      <c r="C124" t="s">
        <v>115</v>
      </c>
      <c r="F124" s="1"/>
      <c r="J124" s="2"/>
      <c r="K124" s="7"/>
    </row>
    <row r="125" spans="1:11" x14ac:dyDescent="0.35">
      <c r="A125" s="13">
        <v>45747</v>
      </c>
      <c r="B125" t="s">
        <v>110</v>
      </c>
      <c r="C125" t="s">
        <v>164</v>
      </c>
      <c r="F125" s="1"/>
      <c r="J125" s="2"/>
      <c r="K125" s="7"/>
    </row>
    <row r="126" spans="1:11" x14ac:dyDescent="0.35">
      <c r="A126" s="13">
        <v>45747</v>
      </c>
      <c r="B126" t="s">
        <v>110</v>
      </c>
      <c r="C126" t="s">
        <v>204</v>
      </c>
      <c r="F126" s="1"/>
      <c r="J126" s="2"/>
      <c r="K126" s="7"/>
    </row>
    <row r="127" spans="1:11" x14ac:dyDescent="0.35">
      <c r="A127" s="13">
        <v>45747</v>
      </c>
      <c r="B127" t="s">
        <v>110</v>
      </c>
      <c r="C127" t="s">
        <v>196</v>
      </c>
      <c r="F127" s="1"/>
      <c r="J127" s="2"/>
      <c r="K127" s="7"/>
    </row>
    <row r="128" spans="1:11" x14ac:dyDescent="0.35">
      <c r="A128" s="13">
        <v>45747</v>
      </c>
      <c r="B128" t="s">
        <v>110</v>
      </c>
      <c r="C128" t="s">
        <v>195</v>
      </c>
      <c r="F128" s="1"/>
      <c r="J128" s="2"/>
      <c r="K128" s="7"/>
    </row>
    <row r="129" spans="1:11" x14ac:dyDescent="0.35">
      <c r="A129" s="13">
        <v>45747</v>
      </c>
      <c r="B129" t="s">
        <v>110</v>
      </c>
      <c r="C129" t="s">
        <v>166</v>
      </c>
      <c r="F129" s="1"/>
      <c r="J129" s="2"/>
      <c r="K129" s="7"/>
    </row>
    <row r="130" spans="1:11" x14ac:dyDescent="0.35">
      <c r="A130" s="13">
        <v>45747</v>
      </c>
      <c r="B130" t="s">
        <v>127</v>
      </c>
      <c r="C130" t="s">
        <v>128</v>
      </c>
      <c r="F130" s="1"/>
      <c r="J130" s="2"/>
      <c r="K130" s="7"/>
    </row>
    <row r="131" spans="1:11" x14ac:dyDescent="0.35">
      <c r="A131" s="13">
        <v>45747</v>
      </c>
      <c r="B131" t="s">
        <v>102</v>
      </c>
      <c r="C131" t="s">
        <v>103</v>
      </c>
      <c r="F131" s="1"/>
      <c r="J131" s="2"/>
      <c r="K131" s="7"/>
    </row>
    <row r="132" spans="1:11" x14ac:dyDescent="0.35">
      <c r="A132" s="13">
        <v>45747</v>
      </c>
      <c r="B132" t="s">
        <v>118</v>
      </c>
      <c r="C132" t="s">
        <v>120</v>
      </c>
      <c r="F132" s="1"/>
      <c r="J132" s="2"/>
      <c r="K132" s="7"/>
    </row>
    <row r="133" spans="1:11" x14ac:dyDescent="0.35">
      <c r="A133" s="13">
        <v>45747</v>
      </c>
      <c r="B133" t="s">
        <v>118</v>
      </c>
      <c r="C133" t="s">
        <v>119</v>
      </c>
      <c r="F133" s="1"/>
      <c r="J133" s="2"/>
      <c r="K133" s="7"/>
    </row>
    <row r="134" spans="1:11" x14ac:dyDescent="0.35">
      <c r="A134" s="13">
        <v>45747</v>
      </c>
      <c r="B134" t="s">
        <v>118</v>
      </c>
      <c r="C134" t="s">
        <v>121</v>
      </c>
      <c r="F134" s="1"/>
      <c r="J134" s="2"/>
      <c r="K134" s="7"/>
    </row>
    <row r="135" spans="1:11" x14ac:dyDescent="0.35">
      <c r="A135" s="13">
        <v>45747</v>
      </c>
      <c r="B135" t="s">
        <v>118</v>
      </c>
      <c r="C135" t="s">
        <v>123</v>
      </c>
      <c r="F135" s="1"/>
      <c r="J135" s="2"/>
      <c r="K135" s="7"/>
    </row>
    <row r="136" spans="1:11" x14ac:dyDescent="0.35">
      <c r="A136" s="13">
        <v>45747</v>
      </c>
      <c r="B136" t="s">
        <v>118</v>
      </c>
      <c r="C136" t="s">
        <v>122</v>
      </c>
      <c r="F136" s="1"/>
      <c r="J136" s="2"/>
      <c r="K136" s="7"/>
    </row>
    <row r="137" spans="1:11" x14ac:dyDescent="0.35">
      <c r="A137" s="13">
        <v>45747</v>
      </c>
      <c r="B137" t="s">
        <v>71</v>
      </c>
      <c r="C137" t="s">
        <v>837</v>
      </c>
      <c r="F137" s="1"/>
      <c r="J137" s="2"/>
      <c r="K137" s="7"/>
    </row>
    <row r="138" spans="1:11" x14ac:dyDescent="0.35">
      <c r="A138" s="13">
        <v>45747</v>
      </c>
      <c r="B138" t="s">
        <v>71</v>
      </c>
      <c r="C138" t="s">
        <v>73</v>
      </c>
      <c r="F138" s="1"/>
      <c r="J138" s="2"/>
      <c r="K138" s="7"/>
    </row>
    <row r="139" spans="1:11" x14ac:dyDescent="0.35">
      <c r="A139" s="13">
        <v>45747</v>
      </c>
      <c r="B139" t="s">
        <v>71</v>
      </c>
      <c r="C139" t="s">
        <v>72</v>
      </c>
      <c r="F139" s="1"/>
      <c r="J139" s="2"/>
      <c r="K139" s="7"/>
    </row>
    <row r="140" spans="1:11" x14ac:dyDescent="0.35">
      <c r="A140" s="13">
        <v>45747</v>
      </c>
      <c r="B140" t="s">
        <v>71</v>
      </c>
      <c r="C140" t="s">
        <v>74</v>
      </c>
      <c r="F140" s="1"/>
      <c r="J140" s="2"/>
      <c r="K140" s="7"/>
    </row>
    <row r="141" spans="1:11" x14ac:dyDescent="0.35">
      <c r="A141" s="13">
        <v>45747</v>
      </c>
      <c r="B141" t="s">
        <v>71</v>
      </c>
      <c r="C141" t="s">
        <v>833</v>
      </c>
      <c r="F141" s="1"/>
      <c r="J141" s="2"/>
      <c r="K141" s="7"/>
    </row>
    <row r="142" spans="1:11" x14ac:dyDescent="0.35">
      <c r="A142" s="13">
        <v>45747</v>
      </c>
      <c r="B142" t="s">
        <v>132</v>
      </c>
      <c r="C142" t="s">
        <v>838</v>
      </c>
      <c r="F142" s="1"/>
      <c r="J142" s="2"/>
      <c r="K142" s="7"/>
    </row>
    <row r="143" spans="1:11" x14ac:dyDescent="0.35">
      <c r="A143" s="13">
        <v>45747</v>
      </c>
      <c r="B143" t="s">
        <v>132</v>
      </c>
      <c r="C143" t="s">
        <v>133</v>
      </c>
      <c r="F143" s="1"/>
      <c r="J143" s="2"/>
      <c r="K143" s="7"/>
    </row>
    <row r="144" spans="1:11" x14ac:dyDescent="0.35">
      <c r="A144" s="13">
        <v>45747</v>
      </c>
      <c r="B144" t="s">
        <v>134</v>
      </c>
      <c r="C144" s="14" t="s">
        <v>203</v>
      </c>
      <c r="F144" s="1"/>
      <c r="J144" s="2"/>
      <c r="K144" s="7"/>
    </row>
    <row r="145" spans="1:11" x14ac:dyDescent="0.35">
      <c r="A145" s="13">
        <v>45747</v>
      </c>
      <c r="B145" t="s">
        <v>134</v>
      </c>
      <c r="C145" t="s">
        <v>141</v>
      </c>
      <c r="F145" s="1"/>
      <c r="J145" s="2"/>
      <c r="K145" s="7"/>
    </row>
    <row r="146" spans="1:11" x14ac:dyDescent="0.35">
      <c r="A146" s="13">
        <v>45747</v>
      </c>
      <c r="B146" t="s">
        <v>134</v>
      </c>
      <c r="C146" t="s">
        <v>210</v>
      </c>
      <c r="F146" s="1"/>
      <c r="J146" s="2"/>
      <c r="K146" s="7"/>
    </row>
    <row r="147" spans="1:11" x14ac:dyDescent="0.35">
      <c r="A147" s="13">
        <v>45747</v>
      </c>
      <c r="B147" t="s">
        <v>134</v>
      </c>
      <c r="C147" t="s">
        <v>209</v>
      </c>
      <c r="F147" s="1"/>
      <c r="J147" s="2"/>
      <c r="K147" s="7"/>
    </row>
    <row r="148" spans="1:11" x14ac:dyDescent="0.35">
      <c r="A148" s="13">
        <v>45747</v>
      </c>
      <c r="B148" t="s">
        <v>134</v>
      </c>
      <c r="C148" t="s">
        <v>139</v>
      </c>
      <c r="F148" s="1"/>
      <c r="J148" s="2"/>
      <c r="K148" s="7"/>
    </row>
    <row r="149" spans="1:11" x14ac:dyDescent="0.35">
      <c r="A149" s="13">
        <v>45747</v>
      </c>
      <c r="B149" t="s">
        <v>134</v>
      </c>
      <c r="C149" t="s">
        <v>142</v>
      </c>
      <c r="F149" s="1"/>
      <c r="J149" s="2"/>
      <c r="K149" s="7"/>
    </row>
    <row r="150" spans="1:11" x14ac:dyDescent="0.35">
      <c r="A150" s="13">
        <v>45747</v>
      </c>
      <c r="B150" t="s">
        <v>134</v>
      </c>
      <c r="C150" t="s">
        <v>135</v>
      </c>
      <c r="F150" s="1"/>
      <c r="J150" s="2"/>
      <c r="K150" s="7"/>
    </row>
    <row r="151" spans="1:11" x14ac:dyDescent="0.35">
      <c r="A151" s="13">
        <v>45747</v>
      </c>
      <c r="B151" t="s">
        <v>134</v>
      </c>
      <c r="C151" t="s">
        <v>136</v>
      </c>
      <c r="F151" s="1"/>
      <c r="J151" s="2"/>
      <c r="K151" s="7"/>
    </row>
    <row r="152" spans="1:11" x14ac:dyDescent="0.35">
      <c r="A152" s="13">
        <v>45747</v>
      </c>
      <c r="B152" t="s">
        <v>134</v>
      </c>
      <c r="C152" t="s">
        <v>137</v>
      </c>
      <c r="F152" s="1"/>
      <c r="J152" s="2"/>
      <c r="K152" s="7"/>
    </row>
    <row r="153" spans="1:11" x14ac:dyDescent="0.35">
      <c r="A153" s="13">
        <v>45747</v>
      </c>
      <c r="B153" t="s">
        <v>134</v>
      </c>
      <c r="C153" t="s">
        <v>138</v>
      </c>
      <c r="F153" s="1"/>
      <c r="J153" s="2"/>
      <c r="K153" s="7"/>
    </row>
    <row r="154" spans="1:11" x14ac:dyDescent="0.35">
      <c r="A154" s="13">
        <v>45747</v>
      </c>
      <c r="B154" t="s">
        <v>134</v>
      </c>
      <c r="C154" t="s">
        <v>211</v>
      </c>
      <c r="F154" s="1"/>
      <c r="J154" s="2"/>
      <c r="K154" s="7"/>
    </row>
    <row r="155" spans="1:11" x14ac:dyDescent="0.35">
      <c r="A155" s="13">
        <v>45747</v>
      </c>
      <c r="B155" t="s">
        <v>134</v>
      </c>
      <c r="C155" t="s">
        <v>140</v>
      </c>
      <c r="F155" s="1"/>
      <c r="J155" s="2"/>
      <c r="K155" s="7"/>
    </row>
    <row r="156" spans="1:11" x14ac:dyDescent="0.35">
      <c r="A156" s="13">
        <v>45747</v>
      </c>
      <c r="B156" t="s">
        <v>12</v>
      </c>
      <c r="C156" t="s">
        <v>38</v>
      </c>
      <c r="F156" s="1"/>
      <c r="J156" s="2"/>
      <c r="K156" s="7"/>
    </row>
    <row r="157" spans="1:11" x14ac:dyDescent="0.35">
      <c r="A157" s="13">
        <v>45747</v>
      </c>
      <c r="B157" t="s">
        <v>12</v>
      </c>
      <c r="C157" t="s">
        <v>27</v>
      </c>
      <c r="F157" s="1"/>
      <c r="J157" s="2"/>
      <c r="K157" s="7"/>
    </row>
    <row r="158" spans="1:11" x14ac:dyDescent="0.35">
      <c r="A158" s="13">
        <v>45747</v>
      </c>
      <c r="B158" t="s">
        <v>12</v>
      </c>
      <c r="C158" t="s">
        <v>36</v>
      </c>
      <c r="F158" s="1"/>
      <c r="J158" s="2"/>
      <c r="K158" s="7"/>
    </row>
    <row r="159" spans="1:11" x14ac:dyDescent="0.35">
      <c r="A159" s="13">
        <v>45747</v>
      </c>
      <c r="B159" t="s">
        <v>12</v>
      </c>
      <c r="C159" t="s">
        <v>26</v>
      </c>
      <c r="F159" s="1"/>
      <c r="J159" s="2"/>
      <c r="K159" s="7"/>
    </row>
    <row r="160" spans="1:11" x14ac:dyDescent="0.35">
      <c r="A160" s="13">
        <v>45747</v>
      </c>
      <c r="B160" t="s">
        <v>12</v>
      </c>
      <c r="C160" t="s">
        <v>46</v>
      </c>
      <c r="F160" s="1"/>
      <c r="J160" s="2"/>
      <c r="K160" s="7"/>
    </row>
    <row r="161" spans="1:11" x14ac:dyDescent="0.35">
      <c r="A161" s="13">
        <v>45747</v>
      </c>
      <c r="B161" t="s">
        <v>12</v>
      </c>
      <c r="C161" t="s">
        <v>31</v>
      </c>
      <c r="F161" s="1"/>
      <c r="J161" s="2"/>
      <c r="K161" s="7"/>
    </row>
    <row r="162" spans="1:11" x14ac:dyDescent="0.35">
      <c r="A162" s="13">
        <v>45747</v>
      </c>
      <c r="B162" t="s">
        <v>12</v>
      </c>
      <c r="C162" t="s">
        <v>45</v>
      </c>
      <c r="F162" s="1"/>
      <c r="J162" s="2"/>
      <c r="K162" s="7"/>
    </row>
    <row r="163" spans="1:11" x14ac:dyDescent="0.35">
      <c r="A163" s="13">
        <v>45747</v>
      </c>
      <c r="B163" t="s">
        <v>12</v>
      </c>
      <c r="C163" t="s">
        <v>40</v>
      </c>
      <c r="F163" s="1"/>
      <c r="J163" s="2"/>
      <c r="K163" s="7"/>
    </row>
    <row r="164" spans="1:11" x14ac:dyDescent="0.35">
      <c r="A164" s="13">
        <v>45747</v>
      </c>
      <c r="B164" t="s">
        <v>12</v>
      </c>
      <c r="C164" t="s">
        <v>37</v>
      </c>
      <c r="F164" s="1"/>
      <c r="J164" s="2"/>
      <c r="K164" s="7"/>
    </row>
    <row r="165" spans="1:11" x14ac:dyDescent="0.35">
      <c r="A165" s="13">
        <v>45747</v>
      </c>
      <c r="B165" t="s">
        <v>12</v>
      </c>
      <c r="C165" t="s">
        <v>34</v>
      </c>
      <c r="F165" s="1"/>
      <c r="J165" s="2"/>
      <c r="K165" s="7"/>
    </row>
    <row r="166" spans="1:11" x14ac:dyDescent="0.35">
      <c r="A166" s="13">
        <v>45747</v>
      </c>
      <c r="B166" t="s">
        <v>12</v>
      </c>
      <c r="C166" s="14" t="s">
        <v>44</v>
      </c>
      <c r="F166" s="1"/>
      <c r="J166" s="2"/>
      <c r="K166" s="7"/>
    </row>
    <row r="167" spans="1:11" x14ac:dyDescent="0.35">
      <c r="A167" s="13">
        <v>45747</v>
      </c>
      <c r="B167" t="s">
        <v>12</v>
      </c>
      <c r="C167" t="s">
        <v>24</v>
      </c>
      <c r="F167" s="1"/>
      <c r="J167" s="2"/>
      <c r="K167" s="7"/>
    </row>
    <row r="168" spans="1:11" x14ac:dyDescent="0.35">
      <c r="A168" s="13">
        <v>45747</v>
      </c>
      <c r="B168" t="s">
        <v>12</v>
      </c>
      <c r="C168" t="s">
        <v>24</v>
      </c>
      <c r="F168" s="1"/>
      <c r="J168" s="2"/>
      <c r="K168" s="7"/>
    </row>
    <row r="169" spans="1:11" x14ac:dyDescent="0.35">
      <c r="A169" s="13">
        <v>45747</v>
      </c>
      <c r="B169" t="s">
        <v>12</v>
      </c>
      <c r="C169" t="s">
        <v>41</v>
      </c>
      <c r="F169" s="1"/>
      <c r="J169" s="2"/>
      <c r="K169" s="7"/>
    </row>
    <row r="170" spans="1:11" x14ac:dyDescent="0.35">
      <c r="A170" s="13">
        <v>45747</v>
      </c>
      <c r="B170" t="s">
        <v>12</v>
      </c>
      <c r="C170" t="s">
        <v>23</v>
      </c>
      <c r="F170" s="1"/>
      <c r="J170" s="2"/>
      <c r="K170" s="7"/>
    </row>
    <row r="171" spans="1:11" x14ac:dyDescent="0.35">
      <c r="A171" s="13">
        <v>45747</v>
      </c>
      <c r="B171" t="s">
        <v>12</v>
      </c>
      <c r="C171" t="s">
        <v>23</v>
      </c>
      <c r="F171" s="1"/>
      <c r="J171" s="2"/>
      <c r="K171" s="7"/>
    </row>
    <row r="172" spans="1:11" x14ac:dyDescent="0.35">
      <c r="A172" s="13">
        <v>45747</v>
      </c>
      <c r="B172" t="s">
        <v>12</v>
      </c>
      <c r="C172" t="s">
        <v>839</v>
      </c>
      <c r="F172" s="1"/>
      <c r="J172" s="2"/>
      <c r="K172" s="7"/>
    </row>
    <row r="173" spans="1:11" x14ac:dyDescent="0.35">
      <c r="A173" s="13">
        <v>45747</v>
      </c>
      <c r="B173" t="s">
        <v>12</v>
      </c>
      <c r="C173" t="s">
        <v>25</v>
      </c>
      <c r="F173" s="1"/>
      <c r="J173" s="2"/>
      <c r="K173" s="7"/>
    </row>
    <row r="174" spans="1:11" x14ac:dyDescent="0.35">
      <c r="A174" s="13">
        <v>45747</v>
      </c>
      <c r="B174" t="s">
        <v>12</v>
      </c>
      <c r="C174" t="s">
        <v>42</v>
      </c>
      <c r="F174" s="1"/>
      <c r="J174" s="2"/>
      <c r="K174" s="7"/>
    </row>
    <row r="175" spans="1:11" x14ac:dyDescent="0.35">
      <c r="A175" s="13">
        <v>45747</v>
      </c>
      <c r="B175" t="s">
        <v>12</v>
      </c>
      <c r="C175" t="s">
        <v>39</v>
      </c>
      <c r="F175" s="1"/>
      <c r="J175" s="2"/>
      <c r="K175" s="7"/>
    </row>
    <row r="176" spans="1:11" x14ac:dyDescent="0.35">
      <c r="A176" s="13">
        <v>45747</v>
      </c>
      <c r="B176" t="s">
        <v>12</v>
      </c>
      <c r="C176" t="s">
        <v>35</v>
      </c>
      <c r="F176" s="1"/>
      <c r="J176" s="2"/>
      <c r="K176" s="7"/>
    </row>
    <row r="177" spans="1:11" x14ac:dyDescent="0.35">
      <c r="A177" s="13">
        <v>45747</v>
      </c>
      <c r="B177" t="s">
        <v>12</v>
      </c>
      <c r="C177" t="s">
        <v>35</v>
      </c>
      <c r="F177" s="1"/>
      <c r="J177" s="2"/>
      <c r="K177" s="7"/>
    </row>
    <row r="178" spans="1:11" x14ac:dyDescent="0.35">
      <c r="A178" s="13">
        <v>45747</v>
      </c>
      <c r="B178" t="s">
        <v>12</v>
      </c>
      <c r="C178" t="s">
        <v>33</v>
      </c>
      <c r="F178" s="1"/>
      <c r="J178" s="2"/>
      <c r="K178" s="7"/>
    </row>
    <row r="179" spans="1:11" x14ac:dyDescent="0.35">
      <c r="A179" s="13">
        <v>45747</v>
      </c>
      <c r="B179" t="s">
        <v>12</v>
      </c>
      <c r="C179" t="s">
        <v>14</v>
      </c>
      <c r="F179" s="1"/>
      <c r="J179" s="2"/>
      <c r="K179" s="7"/>
    </row>
    <row r="180" spans="1:11" x14ac:dyDescent="0.35">
      <c r="A180" s="13">
        <v>45747</v>
      </c>
      <c r="B180" t="s">
        <v>12</v>
      </c>
      <c r="C180" t="s">
        <v>16</v>
      </c>
      <c r="F180" s="1"/>
      <c r="J180" s="2"/>
      <c r="K180" s="7"/>
    </row>
    <row r="181" spans="1:11" x14ac:dyDescent="0.35">
      <c r="A181" s="13">
        <v>45747</v>
      </c>
      <c r="B181" t="s">
        <v>12</v>
      </c>
      <c r="C181" t="s">
        <v>16</v>
      </c>
      <c r="F181" s="1"/>
      <c r="J181" s="2"/>
      <c r="K181" s="7"/>
    </row>
    <row r="182" spans="1:11" x14ac:dyDescent="0.35">
      <c r="A182" s="13">
        <v>45747</v>
      </c>
      <c r="B182" t="s">
        <v>12</v>
      </c>
      <c r="C182" t="s">
        <v>15</v>
      </c>
      <c r="F182" s="1"/>
      <c r="J182" s="2"/>
      <c r="K182" s="7"/>
    </row>
    <row r="183" spans="1:11" x14ac:dyDescent="0.35">
      <c r="A183" s="13">
        <v>45747</v>
      </c>
      <c r="B183" t="s">
        <v>12</v>
      </c>
      <c r="C183" t="s">
        <v>15</v>
      </c>
      <c r="F183" s="1"/>
      <c r="J183" s="2"/>
      <c r="K183" s="7"/>
    </row>
    <row r="184" spans="1:11" x14ac:dyDescent="0.35">
      <c r="A184" s="13">
        <v>45747</v>
      </c>
      <c r="B184" t="s">
        <v>12</v>
      </c>
      <c r="C184" t="s">
        <v>29</v>
      </c>
      <c r="F184" s="1"/>
      <c r="J184" s="2"/>
      <c r="K184" s="7"/>
    </row>
    <row r="185" spans="1:11" x14ac:dyDescent="0.35">
      <c r="A185" s="13">
        <v>45747</v>
      </c>
      <c r="B185" t="s">
        <v>12</v>
      </c>
      <c r="C185" t="s">
        <v>43</v>
      </c>
      <c r="F185" s="1"/>
      <c r="J185" s="2"/>
      <c r="K185" s="7"/>
    </row>
    <row r="186" spans="1:11" x14ac:dyDescent="0.35">
      <c r="A186" s="13">
        <v>45747</v>
      </c>
      <c r="B186" t="s">
        <v>12</v>
      </c>
      <c r="C186" t="s">
        <v>32</v>
      </c>
      <c r="F186" s="1"/>
      <c r="J186" s="2"/>
      <c r="K186" s="7"/>
    </row>
    <row r="187" spans="1:11" x14ac:dyDescent="0.35">
      <c r="A187" s="13">
        <v>45747</v>
      </c>
      <c r="B187" t="s">
        <v>12</v>
      </c>
      <c r="C187" t="s">
        <v>13</v>
      </c>
      <c r="F187" s="1"/>
      <c r="J187" s="2"/>
      <c r="K187" s="7"/>
    </row>
    <row r="188" spans="1:11" x14ac:dyDescent="0.35">
      <c r="A188" s="13">
        <v>45747</v>
      </c>
      <c r="B188" t="s">
        <v>12</v>
      </c>
      <c r="C188" t="s">
        <v>19</v>
      </c>
      <c r="F188" s="1"/>
      <c r="J188" s="2"/>
      <c r="K188" s="7"/>
    </row>
    <row r="189" spans="1:11" x14ac:dyDescent="0.35">
      <c r="A189" s="13">
        <v>45747</v>
      </c>
      <c r="B189" t="s">
        <v>12</v>
      </c>
      <c r="C189" t="s">
        <v>21</v>
      </c>
      <c r="F189" s="1"/>
      <c r="J189" s="2"/>
      <c r="K189" s="7"/>
    </row>
    <row r="190" spans="1:11" x14ac:dyDescent="0.35">
      <c r="A190" s="13">
        <v>45747</v>
      </c>
      <c r="B190" t="s">
        <v>12</v>
      </c>
      <c r="C190" t="s">
        <v>17</v>
      </c>
      <c r="F190" s="1"/>
      <c r="J190" s="2"/>
      <c r="K190" s="7"/>
    </row>
    <row r="191" spans="1:11" x14ac:dyDescent="0.35">
      <c r="A191" s="13">
        <v>45747</v>
      </c>
      <c r="B191" t="s">
        <v>12</v>
      </c>
      <c r="C191" t="s">
        <v>47</v>
      </c>
      <c r="F191" s="1"/>
      <c r="J191" s="2"/>
      <c r="K191" s="7"/>
    </row>
    <row r="192" spans="1:11" x14ac:dyDescent="0.35">
      <c r="A192" s="13">
        <v>45747</v>
      </c>
      <c r="B192" t="s">
        <v>12</v>
      </c>
      <c r="C192" t="s">
        <v>28</v>
      </c>
      <c r="F192" s="1"/>
      <c r="J192" s="2"/>
      <c r="K192" s="7"/>
    </row>
    <row r="193" spans="1:11" x14ac:dyDescent="0.35">
      <c r="A193" s="13">
        <v>45747</v>
      </c>
      <c r="B193" t="s">
        <v>12</v>
      </c>
      <c r="C193" t="s">
        <v>18</v>
      </c>
      <c r="F193" s="1"/>
      <c r="J193" s="2"/>
      <c r="K193" s="7"/>
    </row>
    <row r="194" spans="1:11" x14ac:dyDescent="0.35">
      <c r="A194" s="13">
        <v>45747</v>
      </c>
      <c r="B194" t="s">
        <v>12</v>
      </c>
      <c r="C194" t="s">
        <v>20</v>
      </c>
      <c r="F194" s="1"/>
      <c r="J194" s="2"/>
      <c r="K194" s="7"/>
    </row>
    <row r="195" spans="1:11" x14ac:dyDescent="0.35">
      <c r="A195" s="13">
        <v>45747</v>
      </c>
      <c r="B195" t="s">
        <v>12</v>
      </c>
      <c r="C195" t="s">
        <v>30</v>
      </c>
      <c r="F195" s="1"/>
      <c r="J195" s="2"/>
      <c r="K195" s="7"/>
    </row>
    <row r="196" spans="1:11" x14ac:dyDescent="0.35">
      <c r="A196" s="13">
        <v>45747</v>
      </c>
      <c r="B196" t="s">
        <v>12</v>
      </c>
      <c r="C196" t="s">
        <v>30</v>
      </c>
      <c r="F196" s="1"/>
      <c r="J196" s="2"/>
      <c r="K196" s="7"/>
    </row>
    <row r="197" spans="1:11" x14ac:dyDescent="0.35">
      <c r="A197" s="13">
        <v>45747</v>
      </c>
      <c r="B197" t="s">
        <v>12</v>
      </c>
      <c r="C197" t="s">
        <v>22</v>
      </c>
      <c r="F197" s="1"/>
      <c r="J197" s="2"/>
      <c r="K197" s="7"/>
    </row>
    <row r="198" spans="1:11" x14ac:dyDescent="0.35">
      <c r="A198" s="13">
        <v>45747</v>
      </c>
      <c r="B198" t="s">
        <v>179</v>
      </c>
      <c r="C198" t="s">
        <v>180</v>
      </c>
      <c r="D198" s="15"/>
      <c r="F198" s="1"/>
      <c r="J198" s="2"/>
      <c r="K198" s="7"/>
    </row>
    <row r="199" spans="1:11" x14ac:dyDescent="0.35">
      <c r="A199" s="13">
        <v>45747</v>
      </c>
      <c r="B199" t="s">
        <v>179</v>
      </c>
      <c r="C199" s="14" t="s">
        <v>220</v>
      </c>
      <c r="F199" s="1"/>
      <c r="J199" s="2"/>
      <c r="K199" s="7"/>
    </row>
    <row r="200" spans="1:11" x14ac:dyDescent="0.35">
      <c r="A200" s="13">
        <v>45747</v>
      </c>
      <c r="B200" t="s">
        <v>158</v>
      </c>
      <c r="C200" t="s">
        <v>159</v>
      </c>
      <c r="F200" s="1"/>
      <c r="J200" s="2"/>
      <c r="K200" s="7"/>
    </row>
    <row r="201" spans="1:11" x14ac:dyDescent="0.35">
      <c r="A201" s="13">
        <v>45747</v>
      </c>
      <c r="B201" t="s">
        <v>129</v>
      </c>
      <c r="C201" t="s">
        <v>131</v>
      </c>
      <c r="F201" s="1"/>
      <c r="J201" s="2"/>
      <c r="K201" s="7"/>
    </row>
    <row r="202" spans="1:11" x14ac:dyDescent="0.35">
      <c r="A202" s="13">
        <v>45747</v>
      </c>
      <c r="B202" t="s">
        <v>129</v>
      </c>
      <c r="C202" t="s">
        <v>130</v>
      </c>
      <c r="F202" s="1"/>
      <c r="J202" s="2"/>
      <c r="K202" s="7"/>
    </row>
    <row r="203" spans="1:11" x14ac:dyDescent="0.35">
      <c r="A203" s="13">
        <v>45747</v>
      </c>
      <c r="B203" t="s">
        <v>75</v>
      </c>
      <c r="C203" t="s">
        <v>79</v>
      </c>
      <c r="F203" s="1"/>
      <c r="J203" s="2"/>
      <c r="K203" s="7"/>
    </row>
    <row r="204" spans="1:11" x14ac:dyDescent="0.35">
      <c r="A204" s="13">
        <v>45747</v>
      </c>
      <c r="B204" t="s">
        <v>75</v>
      </c>
      <c r="C204" t="s">
        <v>77</v>
      </c>
      <c r="F204" s="1"/>
      <c r="J204" s="2"/>
      <c r="K204" s="7"/>
    </row>
    <row r="205" spans="1:11" x14ac:dyDescent="0.35">
      <c r="A205" s="13">
        <v>45747</v>
      </c>
      <c r="B205" t="s">
        <v>75</v>
      </c>
      <c r="C205" t="s">
        <v>78</v>
      </c>
      <c r="F205" s="1"/>
      <c r="J205" s="2"/>
      <c r="K205" s="7"/>
    </row>
    <row r="206" spans="1:11" x14ac:dyDescent="0.35">
      <c r="A206" s="13">
        <v>45747</v>
      </c>
      <c r="B206" t="s">
        <v>75</v>
      </c>
      <c r="C206" t="s">
        <v>76</v>
      </c>
      <c r="F206" s="1"/>
      <c r="J206" s="2"/>
      <c r="K206" s="7"/>
    </row>
    <row r="207" spans="1:11" x14ac:dyDescent="0.35">
      <c r="A207" s="13">
        <v>45747</v>
      </c>
      <c r="B207" t="s">
        <v>75</v>
      </c>
      <c r="C207" t="s">
        <v>76</v>
      </c>
      <c r="F207" s="1"/>
      <c r="J207" s="2"/>
      <c r="K207" s="7"/>
    </row>
    <row r="208" spans="1:11" x14ac:dyDescent="0.35">
      <c r="A208" s="13">
        <v>45747</v>
      </c>
      <c r="B208" t="s">
        <v>199</v>
      </c>
      <c r="C208" t="s">
        <v>222</v>
      </c>
      <c r="F208" s="1"/>
      <c r="J208" s="2"/>
      <c r="K208" s="7"/>
    </row>
    <row r="209" spans="1:11" x14ac:dyDescent="0.35">
      <c r="A209" s="13">
        <v>45747</v>
      </c>
      <c r="B209" t="s">
        <v>199</v>
      </c>
      <c r="C209" t="s">
        <v>217</v>
      </c>
      <c r="F209" s="1"/>
      <c r="J209" s="2"/>
      <c r="K209" s="7"/>
    </row>
    <row r="210" spans="1:11" x14ac:dyDescent="0.35">
      <c r="A210" s="13">
        <v>45747</v>
      </c>
      <c r="B210" t="s">
        <v>199</v>
      </c>
      <c r="C210" s="14" t="s">
        <v>206</v>
      </c>
      <c r="F210" s="1"/>
      <c r="J210" s="2"/>
      <c r="K210" s="7"/>
    </row>
    <row r="211" spans="1:11" x14ac:dyDescent="0.35">
      <c r="A211" s="13">
        <v>45747</v>
      </c>
      <c r="B211" t="s">
        <v>199</v>
      </c>
      <c r="C211" t="s">
        <v>214</v>
      </c>
      <c r="F211" s="1"/>
      <c r="J211" s="2"/>
      <c r="K211" s="7"/>
    </row>
    <row r="212" spans="1:11" x14ac:dyDescent="0.35">
      <c r="A212" s="13">
        <v>45747</v>
      </c>
      <c r="B212" t="s">
        <v>199</v>
      </c>
      <c r="C212" t="s">
        <v>233</v>
      </c>
      <c r="F212" s="1"/>
      <c r="J212" s="2"/>
      <c r="K212" s="7"/>
    </row>
    <row r="213" spans="1:11" x14ac:dyDescent="0.35">
      <c r="A213" s="13">
        <v>45747</v>
      </c>
      <c r="B213" t="s">
        <v>199</v>
      </c>
      <c r="C213" t="s">
        <v>215</v>
      </c>
      <c r="F213" s="1"/>
      <c r="J213" s="2"/>
      <c r="K213" s="7"/>
    </row>
    <row r="214" spans="1:11" x14ac:dyDescent="0.35">
      <c r="A214" s="13">
        <v>45747</v>
      </c>
      <c r="B214" t="s">
        <v>199</v>
      </c>
      <c r="C214" t="s">
        <v>213</v>
      </c>
      <c r="F214" s="1"/>
      <c r="J214" s="2"/>
      <c r="K214" s="7"/>
    </row>
    <row r="215" spans="1:11" x14ac:dyDescent="0.35">
      <c r="A215" s="13">
        <v>45747</v>
      </c>
      <c r="B215" t="s">
        <v>199</v>
      </c>
      <c r="C215" t="s">
        <v>234</v>
      </c>
      <c r="F215" s="1"/>
      <c r="J215" s="2"/>
      <c r="K215" s="7"/>
    </row>
    <row r="216" spans="1:11" x14ac:dyDescent="0.35">
      <c r="A216" s="13">
        <v>45747</v>
      </c>
      <c r="B216" t="s">
        <v>199</v>
      </c>
      <c r="C216" t="s">
        <v>230</v>
      </c>
      <c r="F216" s="1"/>
      <c r="J216" s="2"/>
      <c r="K216" s="7"/>
    </row>
    <row r="217" spans="1:11" x14ac:dyDescent="0.35">
      <c r="A217" s="13">
        <v>45747</v>
      </c>
      <c r="B217" t="s">
        <v>199</v>
      </c>
      <c r="C217" t="s">
        <v>225</v>
      </c>
      <c r="F217" s="1"/>
      <c r="J217" s="2"/>
      <c r="K217" s="7"/>
    </row>
    <row r="218" spans="1:11" x14ac:dyDescent="0.35">
      <c r="A218" s="13">
        <v>45747</v>
      </c>
      <c r="B218" t="s">
        <v>199</v>
      </c>
      <c r="C218" t="s">
        <v>219</v>
      </c>
      <c r="F218" s="1"/>
      <c r="J218" s="2"/>
      <c r="K218" s="7"/>
    </row>
    <row r="219" spans="1:11" x14ac:dyDescent="0.35">
      <c r="A219" s="13">
        <v>45747</v>
      </c>
      <c r="B219" t="s">
        <v>199</v>
      </c>
      <c r="C219" t="s">
        <v>218</v>
      </c>
      <c r="F219" s="1"/>
      <c r="J219" s="2"/>
      <c r="K219" s="7"/>
    </row>
    <row r="220" spans="1:11" x14ac:dyDescent="0.35">
      <c r="A220" s="13">
        <v>45747</v>
      </c>
      <c r="B220" t="s">
        <v>199</v>
      </c>
      <c r="C220" t="s">
        <v>226</v>
      </c>
      <c r="F220" s="1"/>
      <c r="J220" s="2"/>
      <c r="K220" s="7"/>
    </row>
    <row r="221" spans="1:11" x14ac:dyDescent="0.35">
      <c r="A221" s="13">
        <v>45747</v>
      </c>
      <c r="B221" t="s">
        <v>199</v>
      </c>
      <c r="C221" t="s">
        <v>205</v>
      </c>
      <c r="F221" s="1"/>
      <c r="J221" s="2"/>
      <c r="K221" s="7"/>
    </row>
    <row r="222" spans="1:11" x14ac:dyDescent="0.35">
      <c r="A222" s="13">
        <v>45747</v>
      </c>
      <c r="B222" t="s">
        <v>199</v>
      </c>
      <c r="C222" t="s">
        <v>216</v>
      </c>
      <c r="F222" s="1"/>
      <c r="J222" s="2"/>
      <c r="K222" s="7"/>
    </row>
    <row r="223" spans="1:11" x14ac:dyDescent="0.35">
      <c r="A223" s="13">
        <v>45747</v>
      </c>
      <c r="B223" t="s">
        <v>199</v>
      </c>
      <c r="C223" t="s">
        <v>221</v>
      </c>
      <c r="F223" s="1"/>
      <c r="J223" s="2"/>
      <c r="K223" s="7"/>
    </row>
    <row r="224" spans="1:11" x14ac:dyDescent="0.35">
      <c r="A224" s="13">
        <v>45747</v>
      </c>
      <c r="B224" t="s">
        <v>199</v>
      </c>
      <c r="C224" t="s">
        <v>232</v>
      </c>
      <c r="F224" s="1"/>
      <c r="J224" s="2"/>
      <c r="K224" s="7"/>
    </row>
    <row r="225" spans="1:12" x14ac:dyDescent="0.35">
      <c r="A225" s="13">
        <v>45747</v>
      </c>
      <c r="B225" t="s">
        <v>199</v>
      </c>
      <c r="C225" t="s">
        <v>212</v>
      </c>
      <c r="F225" s="1"/>
      <c r="J225" s="2"/>
      <c r="K225" s="7"/>
    </row>
    <row r="226" spans="1:12" x14ac:dyDescent="0.35">
      <c r="A226" s="13">
        <v>45747</v>
      </c>
      <c r="B226" t="s">
        <v>199</v>
      </c>
      <c r="C226" t="s">
        <v>231</v>
      </c>
      <c r="F226" s="1"/>
      <c r="J226" s="2"/>
      <c r="K226" s="7"/>
    </row>
    <row r="227" spans="1:12" x14ac:dyDescent="0.35">
      <c r="A227" s="13">
        <v>45747</v>
      </c>
      <c r="B227" t="s">
        <v>199</v>
      </c>
      <c r="C227" t="s">
        <v>229</v>
      </c>
      <c r="F227" s="1"/>
      <c r="J227" s="2"/>
      <c r="K227" s="7"/>
    </row>
    <row r="228" spans="1:12" x14ac:dyDescent="0.35">
      <c r="A228" s="13">
        <v>45747</v>
      </c>
      <c r="B228" t="s">
        <v>199</v>
      </c>
      <c r="C228" t="s">
        <v>227</v>
      </c>
      <c r="F228" s="1"/>
      <c r="J228" s="2"/>
      <c r="K228" s="7"/>
    </row>
    <row r="229" spans="1:12" x14ac:dyDescent="0.35">
      <c r="A229" s="13">
        <v>45747</v>
      </c>
      <c r="B229" t="s">
        <v>199</v>
      </c>
      <c r="C229" t="s">
        <v>227</v>
      </c>
      <c r="F229" s="1"/>
      <c r="J229" s="2"/>
      <c r="K229" s="7"/>
    </row>
    <row r="230" spans="1:12" x14ac:dyDescent="0.35">
      <c r="A230" s="13">
        <v>45747</v>
      </c>
      <c r="B230" t="s">
        <v>199</v>
      </c>
      <c r="C230" t="s">
        <v>228</v>
      </c>
      <c r="F230" s="1"/>
      <c r="J230" s="2"/>
      <c r="K230" s="7"/>
    </row>
    <row r="231" spans="1:12" x14ac:dyDescent="0.35">
      <c r="A231" s="13">
        <v>45747</v>
      </c>
      <c r="B231" t="s">
        <v>199</v>
      </c>
      <c r="C231" t="s">
        <v>200</v>
      </c>
      <c r="F231" s="1"/>
      <c r="J231" s="2"/>
      <c r="K231" s="7"/>
    </row>
    <row r="232" spans="1:12" x14ac:dyDescent="0.35">
      <c r="A232" s="13">
        <v>45747</v>
      </c>
      <c r="B232" t="s">
        <v>199</v>
      </c>
      <c r="C232" s="14" t="s">
        <v>223</v>
      </c>
      <c r="F232" s="1"/>
      <c r="J232" s="2"/>
      <c r="K232" s="7"/>
    </row>
    <row r="233" spans="1:12" x14ac:dyDescent="0.35">
      <c r="A233" s="13">
        <v>45747</v>
      </c>
      <c r="B233" t="s">
        <v>199</v>
      </c>
      <c r="C233" t="s">
        <v>208</v>
      </c>
      <c r="F233" s="1"/>
      <c r="J233" s="2"/>
      <c r="K233" s="7"/>
    </row>
    <row r="234" spans="1:12" x14ac:dyDescent="0.35">
      <c r="A234" s="13">
        <v>45748</v>
      </c>
      <c r="B234" t="s">
        <v>242</v>
      </c>
      <c r="C234" t="s">
        <v>245</v>
      </c>
      <c r="E234">
        <v>1</v>
      </c>
      <c r="F234" s="1">
        <v>15400</v>
      </c>
      <c r="G234" t="s">
        <v>244</v>
      </c>
      <c r="H234">
        <v>1</v>
      </c>
      <c r="J234" s="2">
        <f>+DATAIN_COMPRAS__2[[#This Row],[$/ UN NETO]]*DATAIN_COMPRAS__2[[#This Row],[IVA]]</f>
        <v>15400</v>
      </c>
      <c r="K234" s="7">
        <f>(E234*F234)*(1-I234)*(H234)</f>
        <v>15400</v>
      </c>
      <c r="L234" t="s">
        <v>237</v>
      </c>
    </row>
    <row r="235" spans="1:12" x14ac:dyDescent="0.35">
      <c r="A235" s="13">
        <v>45748</v>
      </c>
      <c r="B235" t="s">
        <v>242</v>
      </c>
      <c r="C235" t="s">
        <v>243</v>
      </c>
      <c r="E235">
        <v>1</v>
      </c>
      <c r="F235" s="1">
        <v>15400</v>
      </c>
      <c r="G235" t="s">
        <v>244</v>
      </c>
      <c r="H235">
        <v>1</v>
      </c>
      <c r="J235" s="2">
        <f>+DATAIN_COMPRAS__2[[#This Row],[$/ UN NETO]]*DATAIN_COMPRAS__2[[#This Row],[IVA]]</f>
        <v>15400</v>
      </c>
      <c r="K235" s="7">
        <f>(E235*F235)*(1-I235)*(H235)</f>
        <v>15400</v>
      </c>
      <c r="L235" t="s">
        <v>237</v>
      </c>
    </row>
    <row r="236" spans="1:12" x14ac:dyDescent="0.35">
      <c r="A236" s="13">
        <v>45748</v>
      </c>
      <c r="B236" t="s">
        <v>242</v>
      </c>
      <c r="C236" t="s">
        <v>246</v>
      </c>
      <c r="E236">
        <v>1</v>
      </c>
      <c r="F236" s="1">
        <v>15400</v>
      </c>
      <c r="G236" t="s">
        <v>244</v>
      </c>
      <c r="H236">
        <v>1</v>
      </c>
      <c r="J236" s="2">
        <f>+DATAIN_COMPRAS__2[[#This Row],[$/ UN NETO]]*DATAIN_COMPRAS__2[[#This Row],[IVA]]</f>
        <v>15400</v>
      </c>
      <c r="K236" s="7">
        <f>(E236*F236)*(1-I236)*(H236)</f>
        <v>15400</v>
      </c>
      <c r="L236" t="s">
        <v>237</v>
      </c>
    </row>
    <row r="237" spans="1:12" x14ac:dyDescent="0.35">
      <c r="A237" s="13">
        <v>45748</v>
      </c>
      <c r="B237" t="s">
        <v>48</v>
      </c>
      <c r="C237" t="s">
        <v>240</v>
      </c>
      <c r="E237">
        <v>10</v>
      </c>
      <c r="F237" s="1">
        <v>889.6</v>
      </c>
      <c r="H237">
        <v>1.21</v>
      </c>
      <c r="I237">
        <v>0.06</v>
      </c>
      <c r="J237" s="2">
        <f>+DATAIN_COMPRAS__2[[#This Row],[$/ UN NETO]]*DATAIN_COMPRAS__2[[#This Row],[IVA]]</f>
        <v>1076.4159999999999</v>
      </c>
      <c r="K237" s="7">
        <f>E237*F237*(1-I237)*(H237)</f>
        <v>10118.3104</v>
      </c>
      <c r="L237" t="s">
        <v>237</v>
      </c>
    </row>
    <row r="238" spans="1:12" x14ac:dyDescent="0.35">
      <c r="A238" s="13">
        <v>45748</v>
      </c>
      <c r="B238" t="s">
        <v>48</v>
      </c>
      <c r="C238" t="s">
        <v>840</v>
      </c>
      <c r="E238">
        <v>1</v>
      </c>
      <c r="F238" s="1">
        <v>1900.1856</v>
      </c>
      <c r="G238" t="s">
        <v>236</v>
      </c>
      <c r="H238">
        <v>1.21</v>
      </c>
      <c r="I238">
        <v>0.06</v>
      </c>
      <c r="J238" s="2">
        <f>+DATAIN_COMPRAS__2[[#This Row],[$/ UN NETO]]*DATAIN_COMPRAS__2[[#This Row],[IVA]]</f>
        <v>2299.2245760000001</v>
      </c>
      <c r="K238" s="7">
        <f>E238*F238*(1-I238)*(H238)</f>
        <v>2161.2711014399997</v>
      </c>
      <c r="L238" t="s">
        <v>237</v>
      </c>
    </row>
    <row r="239" spans="1:12" x14ac:dyDescent="0.35">
      <c r="A239" s="13">
        <v>45748</v>
      </c>
      <c r="B239" t="s">
        <v>48</v>
      </c>
      <c r="C239" t="s">
        <v>239</v>
      </c>
      <c r="E239">
        <v>1</v>
      </c>
      <c r="F239" s="1">
        <v>2604.5540000000001</v>
      </c>
      <c r="G239" t="s">
        <v>236</v>
      </c>
      <c r="H239">
        <v>1.21</v>
      </c>
      <c r="I239">
        <v>0.06</v>
      </c>
      <c r="J239" s="2">
        <f>+DATAIN_COMPRAS__2[[#This Row],[$/ UN NETO]]*DATAIN_COMPRAS__2[[#This Row],[IVA]]</f>
        <v>3151.5103399999998</v>
      </c>
      <c r="K239" s="7">
        <f>E239*F239*(1-I239)*(H239)</f>
        <v>2962.4197196</v>
      </c>
      <c r="L239" t="s">
        <v>237</v>
      </c>
    </row>
    <row r="240" spans="1:12" x14ac:dyDescent="0.35">
      <c r="A240" s="13">
        <v>45748</v>
      </c>
      <c r="B240" t="s">
        <v>80</v>
      </c>
      <c r="C240" t="s">
        <v>87</v>
      </c>
      <c r="E240">
        <v>1</v>
      </c>
      <c r="F240" s="1">
        <v>5454.55</v>
      </c>
      <c r="G240" t="s">
        <v>236</v>
      </c>
      <c r="H240">
        <v>1.21</v>
      </c>
      <c r="J240" s="2">
        <f>+DATAIN_COMPRAS__2[[#This Row],[$/ UN NETO]]*DATAIN_COMPRAS__2[[#This Row],[IVA]]</f>
        <v>6600.0055000000002</v>
      </c>
      <c r="K240" s="7">
        <f>+DATAIN_COMPRAS__2[[#This Row],[CANT]]*DATAIN_COMPRAS__2[[#This Row],[$/ UN NETO]]*DATAIN_COMPRAS__2[[#This Row],[IVA]]</f>
        <v>6600.0055000000002</v>
      </c>
      <c r="L240" t="s">
        <v>237</v>
      </c>
    </row>
    <row r="241" spans="1:12" x14ac:dyDescent="0.35">
      <c r="A241" s="13">
        <v>45748</v>
      </c>
      <c r="B241" t="s">
        <v>80</v>
      </c>
      <c r="C241" t="s">
        <v>201</v>
      </c>
      <c r="E241">
        <v>2</v>
      </c>
      <c r="F241" s="1">
        <v>3140.5</v>
      </c>
      <c r="G241" t="s">
        <v>236</v>
      </c>
      <c r="H241">
        <v>1.21</v>
      </c>
      <c r="J241" s="2">
        <f>+DATAIN_COMPRAS__2[[#This Row],[$/ UN NETO]]*DATAIN_COMPRAS__2[[#This Row],[IVA]]</f>
        <v>3800.0050000000001</v>
      </c>
      <c r="K241" s="7">
        <f>+DATAIN_COMPRAS__2[[#This Row],[CANT]]*DATAIN_COMPRAS__2[[#This Row],[$/ UN NETO]]*DATAIN_COMPRAS__2[[#This Row],[IVA]]</f>
        <v>7600.01</v>
      </c>
      <c r="L241" t="s">
        <v>237</v>
      </c>
    </row>
    <row r="242" spans="1:12" x14ac:dyDescent="0.35">
      <c r="A242" s="13">
        <v>45748</v>
      </c>
      <c r="B242" t="s">
        <v>80</v>
      </c>
      <c r="C242" t="s">
        <v>202</v>
      </c>
      <c r="E242">
        <v>1</v>
      </c>
      <c r="F242" s="1">
        <v>4297.5200000000004</v>
      </c>
      <c r="G242" t="s">
        <v>236</v>
      </c>
      <c r="H242">
        <v>1.21</v>
      </c>
      <c r="J242" s="2">
        <f>+DATAIN_COMPRAS__2[[#This Row],[$/ UN NETO]]*DATAIN_COMPRAS__2[[#This Row],[IVA]]</f>
        <v>5199.9992000000002</v>
      </c>
      <c r="K242" s="7">
        <f>+DATAIN_COMPRAS__2[[#This Row],[CANT]]*DATAIN_COMPRAS__2[[#This Row],[$/ UN NETO]]*DATAIN_COMPRAS__2[[#This Row],[IVA]]</f>
        <v>5199.9992000000002</v>
      </c>
      <c r="L242" t="s">
        <v>158</v>
      </c>
    </row>
    <row r="243" spans="1:12" x14ac:dyDescent="0.35">
      <c r="A243" s="13">
        <v>45748</v>
      </c>
      <c r="B243" t="s">
        <v>80</v>
      </c>
      <c r="C243" t="s">
        <v>98</v>
      </c>
      <c r="E243">
        <v>1</v>
      </c>
      <c r="F243" s="1">
        <v>6528.93</v>
      </c>
      <c r="G243" t="s">
        <v>236</v>
      </c>
      <c r="H243">
        <v>1.21</v>
      </c>
      <c r="J243" s="2">
        <f>+DATAIN_COMPRAS__2[[#This Row],[$/ UN NETO]]*DATAIN_COMPRAS__2[[#This Row],[IVA]]</f>
        <v>7900.0052999999998</v>
      </c>
      <c r="K243" s="7">
        <f>+DATAIN_COMPRAS__2[[#This Row],[CANT]]*DATAIN_COMPRAS__2[[#This Row],[$/ UN NETO]]*DATAIN_COMPRAS__2[[#This Row],[IVA]]</f>
        <v>7900.0052999999998</v>
      </c>
      <c r="L243" t="s">
        <v>237</v>
      </c>
    </row>
    <row r="244" spans="1:12" x14ac:dyDescent="0.35">
      <c r="A244" s="13">
        <v>45748</v>
      </c>
      <c r="B244" t="s">
        <v>80</v>
      </c>
      <c r="C244" t="s">
        <v>99</v>
      </c>
      <c r="E244">
        <v>1</v>
      </c>
      <c r="F244" s="1">
        <v>8264.4599999999991</v>
      </c>
      <c r="G244" t="s">
        <v>236</v>
      </c>
      <c r="H244">
        <v>1.21</v>
      </c>
      <c r="J244" s="2">
        <f>+DATAIN_COMPRAS__2[[#This Row],[$/ UN NETO]]*DATAIN_COMPRAS__2[[#This Row],[IVA]]</f>
        <v>9999.9965999999986</v>
      </c>
      <c r="K244" s="7">
        <f>+DATAIN_COMPRAS__2[[#This Row],[CANT]]*DATAIN_COMPRAS__2[[#This Row],[$/ UN NETO]]*DATAIN_COMPRAS__2[[#This Row],[IVA]]</f>
        <v>9999.9965999999986</v>
      </c>
      <c r="L244" t="s">
        <v>237</v>
      </c>
    </row>
    <row r="245" spans="1:12" x14ac:dyDescent="0.35">
      <c r="A245" s="13">
        <v>45748</v>
      </c>
      <c r="B245" t="s">
        <v>80</v>
      </c>
      <c r="C245" t="s">
        <v>94</v>
      </c>
      <c r="E245">
        <v>10</v>
      </c>
      <c r="F245" s="1">
        <v>866.53</v>
      </c>
      <c r="G245" t="s">
        <v>236</v>
      </c>
      <c r="H245">
        <v>1.21</v>
      </c>
      <c r="J245" s="2">
        <f>+DATAIN_COMPRAS__2[[#This Row],[$/ UN NETO]]*DATAIN_COMPRAS__2[[#This Row],[IVA]]</f>
        <v>1048.5012999999999</v>
      </c>
      <c r="K245" s="7">
        <f>(E245*F245)*(1-I245)*(H245)</f>
        <v>10485.012999999999</v>
      </c>
      <c r="L245" t="s">
        <v>237</v>
      </c>
    </row>
    <row r="246" spans="1:12" x14ac:dyDescent="0.35">
      <c r="A246" s="13">
        <v>45748</v>
      </c>
      <c r="B246" t="s">
        <v>80</v>
      </c>
      <c r="C246" t="s">
        <v>235</v>
      </c>
      <c r="E246">
        <v>10</v>
      </c>
      <c r="F246" s="1">
        <v>866.53</v>
      </c>
      <c r="G246" t="s">
        <v>236</v>
      </c>
      <c r="H246">
        <v>1.21</v>
      </c>
      <c r="J246" s="2">
        <f>+DATAIN_COMPRAS__2[[#This Row],[$/ UN NETO]]*DATAIN_COMPRAS__2[[#This Row],[IVA]]</f>
        <v>1048.5012999999999</v>
      </c>
      <c r="K246" s="7">
        <f>+DATAIN_COMPRAS__2[[#This Row],[CANT]]*DATAIN_COMPRAS__2[[#This Row],[$/ UN NETO]]*DATAIN_COMPRAS__2[[#This Row],[IVA]]</f>
        <v>10485.012999999999</v>
      </c>
      <c r="L246" t="s">
        <v>237</v>
      </c>
    </row>
    <row r="247" spans="1:12" x14ac:dyDescent="0.35">
      <c r="A247" s="13">
        <v>45748</v>
      </c>
      <c r="B247" t="s">
        <v>154</v>
      </c>
      <c r="C247" t="s">
        <v>247</v>
      </c>
      <c r="E247">
        <v>2</v>
      </c>
      <c r="F247" s="1">
        <v>3690</v>
      </c>
      <c r="G247" t="s">
        <v>244</v>
      </c>
      <c r="H247">
        <v>1</v>
      </c>
      <c r="J247" s="2">
        <f>+DATAIN_COMPRAS__2[[#This Row],[$/ UN NETO]]*DATAIN_COMPRAS__2[[#This Row],[IVA]]</f>
        <v>3690</v>
      </c>
      <c r="K247" s="7">
        <f>(E247*F247)*(1-I247)*(H247)</f>
        <v>7380</v>
      </c>
      <c r="L247" t="s">
        <v>237</v>
      </c>
    </row>
    <row r="248" spans="1:12" x14ac:dyDescent="0.35">
      <c r="A248" s="13">
        <v>45748</v>
      </c>
      <c r="B248" t="s">
        <v>110</v>
      </c>
      <c r="C248" t="s">
        <v>163</v>
      </c>
      <c r="E248">
        <v>5</v>
      </c>
      <c r="F248" s="1">
        <f>1843.8</f>
        <v>1843.8</v>
      </c>
      <c r="G248" t="s">
        <v>236</v>
      </c>
      <c r="H248">
        <v>1.21</v>
      </c>
      <c r="J248" s="2">
        <f>+DATAIN_COMPRAS__2[[#This Row],[$/ UN NETO]]*DATAIN_COMPRAS__2[[#This Row],[IVA]]</f>
        <v>2230.998</v>
      </c>
      <c r="K248" s="7">
        <f t="shared" ref="K248:K258" si="0">E248*F248*(1-I248)*(H248)</f>
        <v>11154.99</v>
      </c>
      <c r="L248" t="s">
        <v>237</v>
      </c>
    </row>
    <row r="249" spans="1:12" x14ac:dyDescent="0.35">
      <c r="A249" s="13">
        <v>45748</v>
      </c>
      <c r="B249" t="s">
        <v>110</v>
      </c>
      <c r="C249" t="s">
        <v>238</v>
      </c>
      <c r="E249">
        <v>4.6500000000000004</v>
      </c>
      <c r="F249" s="1">
        <f>15595.4/DATAIN_COMPRAS__2[[#This Row],[CANT]]</f>
        <v>3353.8494623655911</v>
      </c>
      <c r="G249" t="s">
        <v>236</v>
      </c>
      <c r="H249">
        <v>1.21</v>
      </c>
      <c r="J249" s="2">
        <f>+DATAIN_COMPRAS__2[[#This Row],[$/ UN NETO]]*DATAIN_COMPRAS__2[[#This Row],[IVA]]</f>
        <v>4058.157849462365</v>
      </c>
      <c r="K249" s="7">
        <f t="shared" si="0"/>
        <v>18870.433999999997</v>
      </c>
      <c r="L249" t="s">
        <v>237</v>
      </c>
    </row>
    <row r="250" spans="1:12" x14ac:dyDescent="0.35">
      <c r="A250" s="13">
        <v>45748</v>
      </c>
      <c r="B250" t="s">
        <v>12</v>
      </c>
      <c r="C250" t="s">
        <v>41</v>
      </c>
      <c r="E250">
        <v>1</v>
      </c>
      <c r="F250" s="1">
        <f>2400/1.105</f>
        <v>2171.9457013574661</v>
      </c>
      <c r="G250" t="s">
        <v>236</v>
      </c>
      <c r="H250">
        <v>1.105</v>
      </c>
      <c r="J250" s="2">
        <f>+DATAIN_COMPRAS__2[[#This Row],[$/ UN NETO]]*DATAIN_COMPRAS__2[[#This Row],[IVA]]</f>
        <v>2400</v>
      </c>
      <c r="K250" s="7">
        <f t="shared" si="0"/>
        <v>2400</v>
      </c>
      <c r="L250" t="s">
        <v>237</v>
      </c>
    </row>
    <row r="251" spans="1:12" x14ac:dyDescent="0.35">
      <c r="A251" s="13">
        <v>45748</v>
      </c>
      <c r="B251" t="s">
        <v>12</v>
      </c>
      <c r="C251" t="s">
        <v>39</v>
      </c>
      <c r="E251">
        <v>0.48</v>
      </c>
      <c r="F251" s="1">
        <f>5800/1.105</f>
        <v>5248.8687782805428</v>
      </c>
      <c r="G251" t="s">
        <v>236</v>
      </c>
      <c r="H251">
        <v>1.105</v>
      </c>
      <c r="J251" s="2">
        <f>+DATAIN_COMPRAS__2[[#This Row],[$/ UN NETO]]*DATAIN_COMPRAS__2[[#This Row],[IVA]]</f>
        <v>5800</v>
      </c>
      <c r="K251" s="7">
        <f t="shared" si="0"/>
        <v>2783.9999999999995</v>
      </c>
      <c r="L251" t="s">
        <v>237</v>
      </c>
    </row>
    <row r="252" spans="1:12" x14ac:dyDescent="0.35">
      <c r="A252" s="13">
        <v>45748</v>
      </c>
      <c r="B252" t="s">
        <v>12</v>
      </c>
      <c r="C252" t="s">
        <v>21</v>
      </c>
      <c r="E252">
        <v>3</v>
      </c>
      <c r="F252" s="1">
        <f>900/DATAIN_COMPRAS__2[[#This Row],[IVA]]</f>
        <v>814.47963800904984</v>
      </c>
      <c r="G252" t="s">
        <v>236</v>
      </c>
      <c r="H252">
        <v>1.105</v>
      </c>
      <c r="J252" s="2">
        <f>+DATAIN_COMPRAS__2[[#This Row],[$/ UN NETO]]*DATAIN_COMPRAS__2[[#This Row],[IVA]]</f>
        <v>900</v>
      </c>
      <c r="K252" s="7">
        <f t="shared" si="0"/>
        <v>2700.0000000000005</v>
      </c>
      <c r="L252" t="s">
        <v>237</v>
      </c>
    </row>
    <row r="253" spans="1:12" x14ac:dyDescent="0.35">
      <c r="A253" s="13">
        <v>45748</v>
      </c>
      <c r="B253" t="s">
        <v>12</v>
      </c>
      <c r="C253" t="s">
        <v>17</v>
      </c>
      <c r="E253">
        <v>2</v>
      </c>
      <c r="F253" s="1">
        <f>1600/1.105</f>
        <v>1447.9638009049775</v>
      </c>
      <c r="G253" t="s">
        <v>236</v>
      </c>
      <c r="H253">
        <v>1.105</v>
      </c>
      <c r="J253" s="2">
        <f>+DATAIN_COMPRAS__2[[#This Row],[$/ UN NETO]]*DATAIN_COMPRAS__2[[#This Row],[IVA]]</f>
        <v>1600</v>
      </c>
      <c r="K253" s="7">
        <f t="shared" si="0"/>
        <v>3200</v>
      </c>
      <c r="L253" t="s">
        <v>237</v>
      </c>
    </row>
    <row r="254" spans="1:12" x14ac:dyDescent="0.35">
      <c r="A254" s="13">
        <v>45748</v>
      </c>
      <c r="B254" t="s">
        <v>12</v>
      </c>
      <c r="C254" t="s">
        <v>241</v>
      </c>
      <c r="E254">
        <v>0.5</v>
      </c>
      <c r="F254" s="1">
        <f>4300/1.105</f>
        <v>3891.4027149321269</v>
      </c>
      <c r="G254" t="s">
        <v>236</v>
      </c>
      <c r="H254">
        <v>1.105</v>
      </c>
      <c r="J254" s="2">
        <f>+DATAIN_COMPRAS__2[[#This Row],[$/ UN NETO]]*DATAIN_COMPRAS__2[[#This Row],[IVA]]</f>
        <v>4300</v>
      </c>
      <c r="K254" s="7">
        <f t="shared" si="0"/>
        <v>2150</v>
      </c>
      <c r="L254" t="s">
        <v>237</v>
      </c>
    </row>
    <row r="255" spans="1:12" x14ac:dyDescent="0.35">
      <c r="A255" s="13">
        <v>45748</v>
      </c>
      <c r="B255" t="s">
        <v>12</v>
      </c>
      <c r="C255" t="s">
        <v>18</v>
      </c>
      <c r="E255">
        <v>1</v>
      </c>
      <c r="F255" s="1">
        <f>6800/1.105</f>
        <v>6153.8461538461543</v>
      </c>
      <c r="G255" t="s">
        <v>236</v>
      </c>
      <c r="H255">
        <v>1.105</v>
      </c>
      <c r="J255" s="2">
        <f>+DATAIN_COMPRAS__2[[#This Row],[$/ UN NETO]]*DATAIN_COMPRAS__2[[#This Row],[IVA]]</f>
        <v>6800</v>
      </c>
      <c r="K255" s="7">
        <f t="shared" si="0"/>
        <v>6800</v>
      </c>
      <c r="L255" t="s">
        <v>237</v>
      </c>
    </row>
    <row r="256" spans="1:12" x14ac:dyDescent="0.35">
      <c r="A256" s="13">
        <v>45748</v>
      </c>
      <c r="B256" t="s">
        <v>12</v>
      </c>
      <c r="C256" t="s">
        <v>20</v>
      </c>
      <c r="E256">
        <v>2</v>
      </c>
      <c r="F256" s="1">
        <f>2000/1.105</f>
        <v>1809.9547511312217</v>
      </c>
      <c r="G256" t="s">
        <v>236</v>
      </c>
      <c r="H256">
        <v>1.105</v>
      </c>
      <c r="J256" s="2">
        <f>+DATAIN_COMPRAS__2[[#This Row],[$/ UN NETO]]*DATAIN_COMPRAS__2[[#This Row],[IVA]]</f>
        <v>2000</v>
      </c>
      <c r="K256" s="7">
        <f t="shared" si="0"/>
        <v>4000</v>
      </c>
      <c r="L256" t="s">
        <v>237</v>
      </c>
    </row>
    <row r="257" spans="1:12" x14ac:dyDescent="0.35">
      <c r="A257" s="13">
        <v>45748</v>
      </c>
      <c r="B257" t="s">
        <v>12</v>
      </c>
      <c r="C257" t="s">
        <v>30</v>
      </c>
      <c r="E257">
        <v>4</v>
      </c>
      <c r="F257" s="1">
        <f>1300/1.105</f>
        <v>1176.4705882352941</v>
      </c>
      <c r="G257" t="s">
        <v>236</v>
      </c>
      <c r="H257">
        <v>1.105</v>
      </c>
      <c r="J257" s="2">
        <f>+DATAIN_COMPRAS__2[[#This Row],[$/ UN NETO]]*DATAIN_COMPRAS__2[[#This Row],[IVA]]</f>
        <v>1300</v>
      </c>
      <c r="K257" s="7">
        <f t="shared" si="0"/>
        <v>5200</v>
      </c>
      <c r="L257" t="s">
        <v>237</v>
      </c>
    </row>
    <row r="258" spans="1:12" x14ac:dyDescent="0.35">
      <c r="A258" s="13">
        <v>45748</v>
      </c>
      <c r="B258" t="s">
        <v>12</v>
      </c>
      <c r="C258" t="s">
        <v>22</v>
      </c>
      <c r="E258">
        <v>2</v>
      </c>
      <c r="F258" s="1">
        <f>2100/1.105</f>
        <v>1900.4524886877828</v>
      </c>
      <c r="G258" t="s">
        <v>236</v>
      </c>
      <c r="H258">
        <v>1.105</v>
      </c>
      <c r="J258" s="2">
        <f>+DATAIN_COMPRAS__2[[#This Row],[$/ UN NETO]]*DATAIN_COMPRAS__2[[#This Row],[IVA]]</f>
        <v>2100</v>
      </c>
      <c r="K258" s="7">
        <f t="shared" si="0"/>
        <v>4200</v>
      </c>
      <c r="L258" t="s">
        <v>237</v>
      </c>
    </row>
    <row r="259" spans="1:12" x14ac:dyDescent="0.35">
      <c r="A259" s="13">
        <v>45750</v>
      </c>
      <c r="B259" t="s">
        <v>12</v>
      </c>
      <c r="C259" t="s">
        <v>26</v>
      </c>
      <c r="E259">
        <v>1.23</v>
      </c>
      <c r="F259" s="1">
        <f>1800/DATAIN_COMPRAS__2[[#This Row],[IVA]]</f>
        <v>1628.9592760180997</v>
      </c>
      <c r="G259" t="s">
        <v>236</v>
      </c>
      <c r="H259">
        <v>1.105</v>
      </c>
      <c r="J259" s="2">
        <f>+DATAIN_COMPRAS__2[[#This Row],[$/ UN NETO]]*DATAIN_COMPRAS__2[[#This Row],[IVA]]</f>
        <v>1800</v>
      </c>
      <c r="K259" s="7">
        <f>+DATAIN_COMPRAS__2[[#This Row],[CANT]]*DATAIN_COMPRAS__2[[#This Row],[$/ UN NETO]]*DATAIN_COMPRAS__2[[#This Row],[IVA]]</f>
        <v>2214</v>
      </c>
      <c r="L259" t="s">
        <v>237</v>
      </c>
    </row>
    <row r="260" spans="1:12" x14ac:dyDescent="0.35">
      <c r="A260" s="13">
        <v>45750</v>
      </c>
      <c r="B260" t="s">
        <v>12</v>
      </c>
      <c r="C260" t="s">
        <v>45</v>
      </c>
      <c r="E260">
        <v>2</v>
      </c>
      <c r="F260" s="1">
        <f>1200/DATAIN_COMPRAS__2[[#This Row],[IVA]]</f>
        <v>1085.972850678733</v>
      </c>
      <c r="G260" t="s">
        <v>236</v>
      </c>
      <c r="H260">
        <v>1.105</v>
      </c>
      <c r="J260" s="2">
        <f>+DATAIN_COMPRAS__2[[#This Row],[$/ UN NETO]]*DATAIN_COMPRAS__2[[#This Row],[IVA]]</f>
        <v>1200</v>
      </c>
      <c r="K260" s="7">
        <f>+DATAIN_COMPRAS__2[[#This Row],[CANT]]*DATAIN_COMPRAS__2[[#This Row],[$/ UN NETO]]*DATAIN_COMPRAS__2[[#This Row],[IVA]]</f>
        <v>2400</v>
      </c>
      <c r="L260" t="s">
        <v>237</v>
      </c>
    </row>
    <row r="261" spans="1:12" x14ac:dyDescent="0.35">
      <c r="A261" s="13">
        <v>45750</v>
      </c>
      <c r="B261" t="s">
        <v>12</v>
      </c>
      <c r="C261" t="s">
        <v>25</v>
      </c>
      <c r="E261">
        <v>0.54</v>
      </c>
      <c r="F261" s="1">
        <f>5800/DATAIN_COMPRAS__2[[#This Row],[IVA]]</f>
        <v>5248.8687782805428</v>
      </c>
      <c r="G261" t="s">
        <v>236</v>
      </c>
      <c r="H261">
        <v>1.105</v>
      </c>
      <c r="J261" s="2">
        <f>+DATAIN_COMPRAS__2[[#This Row],[$/ UN NETO]]*DATAIN_COMPRAS__2[[#This Row],[IVA]]</f>
        <v>5800</v>
      </c>
      <c r="K261" s="7">
        <f>+DATAIN_COMPRAS__2[[#This Row],[CANT]]*DATAIN_COMPRAS__2[[#This Row],[$/ UN NETO]]*DATAIN_COMPRAS__2[[#This Row],[IVA]]</f>
        <v>3132.0000000000005</v>
      </c>
      <c r="L261" t="s">
        <v>237</v>
      </c>
    </row>
    <row r="262" spans="1:12" x14ac:dyDescent="0.35">
      <c r="A262" s="13">
        <v>45750</v>
      </c>
      <c r="B262" t="s">
        <v>12</v>
      </c>
      <c r="C262" t="s">
        <v>32</v>
      </c>
      <c r="E262">
        <v>1</v>
      </c>
      <c r="F262" s="1">
        <f>15000/DATAIN_COMPRAS__2[[#This Row],[IVA]]</f>
        <v>13574.660633484164</v>
      </c>
      <c r="G262" t="s">
        <v>236</v>
      </c>
      <c r="H262">
        <v>1.105</v>
      </c>
      <c r="J262" s="2">
        <f>+DATAIN_COMPRAS__2[[#This Row],[$/ UN NETO]]*DATAIN_COMPRAS__2[[#This Row],[IVA]]</f>
        <v>15000</v>
      </c>
      <c r="K262" s="7">
        <f>+DATAIN_COMPRAS__2[[#This Row],[CANT]]*DATAIN_COMPRAS__2[[#This Row],[$/ UN NETO]]*DATAIN_COMPRAS__2[[#This Row],[IVA]]</f>
        <v>15000</v>
      </c>
      <c r="L262" t="s">
        <v>237</v>
      </c>
    </row>
    <row r="263" spans="1:12" x14ac:dyDescent="0.35">
      <c r="A263" s="13">
        <v>45750</v>
      </c>
      <c r="B263" t="s">
        <v>12</v>
      </c>
      <c r="C263" t="s">
        <v>19</v>
      </c>
      <c r="E263">
        <v>1.59</v>
      </c>
      <c r="F263" s="1">
        <f>7800/DATAIN_COMPRAS__2[[#This Row],[IVA]]</f>
        <v>7058.8235294117649</v>
      </c>
      <c r="G263" t="s">
        <v>236</v>
      </c>
      <c r="H263">
        <v>1.105</v>
      </c>
      <c r="J263" s="2">
        <f>+DATAIN_COMPRAS__2[[#This Row],[$/ UN NETO]]*DATAIN_COMPRAS__2[[#This Row],[IVA]]</f>
        <v>7800</v>
      </c>
      <c r="K263" s="7">
        <f>+DATAIN_COMPRAS__2[[#This Row],[CANT]]*DATAIN_COMPRAS__2[[#This Row],[$/ UN NETO]]*DATAIN_COMPRAS__2[[#This Row],[IVA]]</f>
        <v>12402</v>
      </c>
      <c r="L263" t="s">
        <v>237</v>
      </c>
    </row>
    <row r="264" spans="1:12" x14ac:dyDescent="0.35">
      <c r="A264" s="13">
        <v>45750</v>
      </c>
      <c r="B264" t="s">
        <v>75</v>
      </c>
      <c r="C264" t="s">
        <v>76</v>
      </c>
      <c r="E264">
        <v>96</v>
      </c>
      <c r="F264" s="1">
        <v>1101.4100000000001</v>
      </c>
      <c r="G264" t="s">
        <v>236</v>
      </c>
      <c r="H264">
        <v>1.21</v>
      </c>
      <c r="J264" s="2">
        <f>+DATAIN_COMPRAS__2[[#This Row],[$/ UN NETO]]*DATAIN_COMPRAS__2[[#This Row],[IVA]]</f>
        <v>1332.7061000000001</v>
      </c>
      <c r="K264" s="7">
        <f>+DATAIN_COMPRAS__2[[#This Row],[CANT]]*DATAIN_COMPRAS__2[[#This Row],[$/ UN NETO]]*DATAIN_COMPRAS__2[[#This Row],[IVA]]</f>
        <v>127939.78560000002</v>
      </c>
      <c r="L264" t="s">
        <v>237</v>
      </c>
    </row>
    <row r="265" spans="1:12" x14ac:dyDescent="0.35">
      <c r="A265" s="13">
        <v>45751</v>
      </c>
      <c r="B265" t="s">
        <v>48</v>
      </c>
      <c r="C265" t="s">
        <v>240</v>
      </c>
      <c r="E265">
        <v>10</v>
      </c>
      <c r="F265" s="1">
        <v>889.6</v>
      </c>
      <c r="G265" t="s">
        <v>236</v>
      </c>
      <c r="H265">
        <v>1.21</v>
      </c>
      <c r="I265">
        <v>0.06</v>
      </c>
      <c r="J265" s="2">
        <f>+DATAIN_COMPRAS__2[[#This Row],[$/ UN NETO]]*DATAIN_COMPRAS__2[[#This Row],[IVA]]</f>
        <v>1076.4159999999999</v>
      </c>
      <c r="K265" s="7">
        <f>E265*F265*(1-I265)*(H265)</f>
        <v>10118.3104</v>
      </c>
      <c r="L265" t="s">
        <v>237</v>
      </c>
    </row>
    <row r="266" spans="1:12" x14ac:dyDescent="0.35">
      <c r="A266" s="13">
        <v>45751</v>
      </c>
      <c r="B266" t="s">
        <v>48</v>
      </c>
      <c r="C266" t="s">
        <v>52</v>
      </c>
      <c r="E266">
        <v>4.1399999999999997</v>
      </c>
      <c r="F266" s="1">
        <v>7595.9928</v>
      </c>
      <c r="G266" t="s">
        <v>236</v>
      </c>
      <c r="H266">
        <v>1.21</v>
      </c>
      <c r="J266" s="2">
        <f>+DATAIN_COMPRAS__2[[#This Row],[$/ UN NETO]]*DATAIN_COMPRAS__2[[#This Row],[IVA]]</f>
        <v>9191.1512879999991</v>
      </c>
      <c r="K266" s="7">
        <f>E266*F266*(1-I266)*(H266)</f>
        <v>38051.366332319994</v>
      </c>
      <c r="L266" t="s">
        <v>237</v>
      </c>
    </row>
    <row r="267" spans="1:12" x14ac:dyDescent="0.35">
      <c r="A267" s="13">
        <v>45751</v>
      </c>
      <c r="B267" t="s">
        <v>48</v>
      </c>
      <c r="C267" t="s">
        <v>248</v>
      </c>
      <c r="E267">
        <v>2</v>
      </c>
      <c r="F267" s="1">
        <v>728.64</v>
      </c>
      <c r="G267" t="s">
        <v>236</v>
      </c>
      <c r="H267">
        <v>1.21</v>
      </c>
      <c r="J267" s="2">
        <f>+DATAIN_COMPRAS__2[[#This Row],[$/ UN NETO]]*DATAIN_COMPRAS__2[[#This Row],[IVA]]</f>
        <v>881.65440000000001</v>
      </c>
      <c r="K267" s="7">
        <f>E267*F267*(1-I267)*(H267)</f>
        <v>1763.3088</v>
      </c>
      <c r="L267" t="s">
        <v>237</v>
      </c>
    </row>
    <row r="268" spans="1:12" x14ac:dyDescent="0.35">
      <c r="A268" s="13">
        <v>45752</v>
      </c>
      <c r="B268" t="s">
        <v>12</v>
      </c>
      <c r="C268" t="s">
        <v>32</v>
      </c>
      <c r="E268">
        <v>1</v>
      </c>
      <c r="F268" s="1">
        <f>15000/DATAIN_COMPRAS__2[[#This Row],[IVA]]</f>
        <v>13574.660633484164</v>
      </c>
      <c r="G268" t="s">
        <v>236</v>
      </c>
      <c r="H268">
        <v>1.105</v>
      </c>
      <c r="J268" s="2">
        <f>+DATAIN_COMPRAS__2[[#This Row],[$/ UN NETO]]*DATAIN_COMPRAS__2[[#This Row],[IVA]]</f>
        <v>15000</v>
      </c>
      <c r="K268" s="7">
        <f>+DATAIN_COMPRAS__2[[#This Row],[CANT]]*DATAIN_COMPRAS__2[[#This Row],[$/ UN NETO]]*DATAIN_COMPRAS__2[[#This Row],[IVA]]</f>
        <v>15000</v>
      </c>
      <c r="L268" t="s">
        <v>237</v>
      </c>
    </row>
    <row r="269" spans="1:12" x14ac:dyDescent="0.35">
      <c r="A269" s="13">
        <v>45752</v>
      </c>
      <c r="B269" t="s">
        <v>12</v>
      </c>
      <c r="C269" t="s">
        <v>32</v>
      </c>
      <c r="E269">
        <v>1</v>
      </c>
      <c r="F269" s="1">
        <f>15000/DATAIN_COMPRAS__2[[#This Row],[IVA]]</f>
        <v>13574.660633484164</v>
      </c>
      <c r="G269" t="s">
        <v>236</v>
      </c>
      <c r="H269">
        <v>1.105</v>
      </c>
      <c r="J269" s="2">
        <f>+DATAIN_COMPRAS__2[[#This Row],[$/ UN NETO]]*DATAIN_COMPRAS__2[[#This Row],[IVA]]</f>
        <v>15000</v>
      </c>
      <c r="K269" s="7">
        <f>+DATAIN_COMPRAS__2[[#This Row],[CANT]]*DATAIN_COMPRAS__2[[#This Row],[$/ UN NETO]]*DATAIN_COMPRAS__2[[#This Row],[IVA]]</f>
        <v>15000</v>
      </c>
      <c r="L269" t="s">
        <v>237</v>
      </c>
    </row>
    <row r="270" spans="1:12" x14ac:dyDescent="0.35">
      <c r="A270" s="13">
        <v>45752</v>
      </c>
      <c r="B270" t="s">
        <v>12</v>
      </c>
      <c r="C270" t="s">
        <v>19</v>
      </c>
      <c r="E270">
        <v>2.41</v>
      </c>
      <c r="F270" s="1">
        <f>7800/DATAIN_COMPRAS__2[[#This Row],[IVA]]</f>
        <v>7058.8235294117649</v>
      </c>
      <c r="G270" t="s">
        <v>236</v>
      </c>
      <c r="H270">
        <v>1.105</v>
      </c>
      <c r="J270" s="2">
        <f>+DATAIN_COMPRAS__2[[#This Row],[$/ UN NETO]]*DATAIN_COMPRAS__2[[#This Row],[IVA]]</f>
        <v>7800</v>
      </c>
      <c r="K270" s="7">
        <f>+DATAIN_COMPRAS__2[[#This Row],[CANT]]*DATAIN_COMPRAS__2[[#This Row],[$/ UN NETO]]*DATAIN_COMPRAS__2[[#This Row],[IVA]]</f>
        <v>18798</v>
      </c>
      <c r="L270" t="s">
        <v>237</v>
      </c>
    </row>
    <row r="271" spans="1:12" x14ac:dyDescent="0.35">
      <c r="A271" s="13">
        <v>45752</v>
      </c>
      <c r="B271" t="s">
        <v>12</v>
      </c>
      <c r="C271" t="s">
        <v>19</v>
      </c>
      <c r="E271">
        <v>2.41</v>
      </c>
      <c r="F271" s="1">
        <f>7800/DATAIN_COMPRAS__2[[#This Row],[IVA]]</f>
        <v>7058.8235294117649</v>
      </c>
      <c r="G271" t="s">
        <v>236</v>
      </c>
      <c r="H271">
        <v>1.105</v>
      </c>
      <c r="J271" s="2">
        <f>+DATAIN_COMPRAS__2[[#This Row],[$/ UN NETO]]*DATAIN_COMPRAS__2[[#This Row],[IVA]]</f>
        <v>7800</v>
      </c>
      <c r="K271" s="7">
        <f>+DATAIN_COMPRAS__2[[#This Row],[CANT]]*DATAIN_COMPRAS__2[[#This Row],[$/ UN NETO]]*DATAIN_COMPRAS__2[[#This Row],[IVA]]</f>
        <v>18798</v>
      </c>
      <c r="L271" t="s">
        <v>237</v>
      </c>
    </row>
    <row r="272" spans="1:12" x14ac:dyDescent="0.35">
      <c r="A272" s="13">
        <v>45754</v>
      </c>
      <c r="B272" t="s">
        <v>12</v>
      </c>
      <c r="C272" t="s">
        <v>26</v>
      </c>
      <c r="E272">
        <v>2.52</v>
      </c>
      <c r="F272" s="1">
        <f>1800/DATAIN_COMPRAS__2[[#This Row],[IVA]]</f>
        <v>1628.9592760180997</v>
      </c>
      <c r="G272" t="s">
        <v>236</v>
      </c>
      <c r="H272">
        <v>1.105</v>
      </c>
      <c r="J272" s="2">
        <f>+DATAIN_COMPRAS__2[[#This Row],[$/ UN NETO]]*DATAIN_COMPRAS__2[[#This Row],[IVA]]</f>
        <v>1800</v>
      </c>
      <c r="K272" s="7">
        <f t="shared" ref="K272:K286" si="1">E272*F272*(1-I272)*(H272)</f>
        <v>4536.0000000000009</v>
      </c>
      <c r="L272" t="s">
        <v>237</v>
      </c>
    </row>
    <row r="273" spans="1:12" x14ac:dyDescent="0.35">
      <c r="A273" s="13">
        <v>45754</v>
      </c>
      <c r="B273" t="s">
        <v>12</v>
      </c>
      <c r="C273" t="s">
        <v>31</v>
      </c>
      <c r="E273">
        <v>1.45</v>
      </c>
      <c r="F273" s="1">
        <f>2100/DATAIN_COMPRAS__2[[#This Row],[IVA]]</f>
        <v>1900.4524886877828</v>
      </c>
      <c r="G273" t="s">
        <v>236</v>
      </c>
      <c r="H273">
        <v>1.105</v>
      </c>
      <c r="J273" s="2">
        <f>+DATAIN_COMPRAS__2[[#This Row],[$/ UN NETO]]*DATAIN_COMPRAS__2[[#This Row],[IVA]]</f>
        <v>2100</v>
      </c>
      <c r="K273" s="7">
        <f t="shared" si="1"/>
        <v>3044.9999999999995</v>
      </c>
      <c r="L273" t="s">
        <v>237</v>
      </c>
    </row>
    <row r="274" spans="1:12" x14ac:dyDescent="0.35">
      <c r="A274" s="13">
        <v>45754</v>
      </c>
      <c r="B274" t="s">
        <v>12</v>
      </c>
      <c r="C274" t="s">
        <v>44</v>
      </c>
      <c r="E274">
        <v>1</v>
      </c>
      <c r="F274" s="1">
        <f>3800/DATAIN_COMPRAS__2[[#This Row],[IVA]]</f>
        <v>3438.9140271493211</v>
      </c>
      <c r="G274" t="s">
        <v>236</v>
      </c>
      <c r="H274">
        <v>1.105</v>
      </c>
      <c r="J274" s="2">
        <f>+DATAIN_COMPRAS__2[[#This Row],[$/ UN NETO]]*DATAIN_COMPRAS__2[[#This Row],[IVA]]</f>
        <v>3799.9999999999995</v>
      </c>
      <c r="K274" s="7">
        <f t="shared" si="1"/>
        <v>3799.9999999999995</v>
      </c>
      <c r="L274" t="s">
        <v>237</v>
      </c>
    </row>
    <row r="275" spans="1:12" x14ac:dyDescent="0.35">
      <c r="A275" s="13">
        <v>45754</v>
      </c>
      <c r="B275" t="s">
        <v>12</v>
      </c>
      <c r="C275" t="s">
        <v>21</v>
      </c>
      <c r="E275">
        <v>2</v>
      </c>
      <c r="F275" s="1">
        <f>750/DATAIN_COMPRAS__2[[#This Row],[IVA]]</f>
        <v>678.73303167420818</v>
      </c>
      <c r="G275" t="s">
        <v>236</v>
      </c>
      <c r="H275">
        <v>1.105</v>
      </c>
      <c r="J275" s="2">
        <f>+DATAIN_COMPRAS__2[[#This Row],[$/ UN NETO]]*DATAIN_COMPRAS__2[[#This Row],[IVA]]</f>
        <v>750</v>
      </c>
      <c r="K275" s="7">
        <f t="shared" si="1"/>
        <v>1500</v>
      </c>
      <c r="L275" t="s">
        <v>237</v>
      </c>
    </row>
    <row r="276" spans="1:12" x14ac:dyDescent="0.35">
      <c r="A276" s="13">
        <v>45754</v>
      </c>
      <c r="B276" t="s">
        <v>12</v>
      </c>
      <c r="C276" t="s">
        <v>17</v>
      </c>
      <c r="E276">
        <v>1.39</v>
      </c>
      <c r="F276" s="1">
        <f>1600/DATAIN_COMPRAS__2[[#This Row],[IVA]]</f>
        <v>1447.9638009049775</v>
      </c>
      <c r="G276" t="s">
        <v>236</v>
      </c>
      <c r="H276">
        <v>1.105</v>
      </c>
      <c r="J276" s="2">
        <f>+DATAIN_COMPRAS__2[[#This Row],[$/ UN NETO]]*DATAIN_COMPRAS__2[[#This Row],[IVA]]</f>
        <v>1600</v>
      </c>
      <c r="K276" s="7">
        <f t="shared" si="1"/>
        <v>2224</v>
      </c>
      <c r="L276" t="s">
        <v>237</v>
      </c>
    </row>
    <row r="277" spans="1:12" x14ac:dyDescent="0.35">
      <c r="A277" s="13">
        <v>45754</v>
      </c>
      <c r="B277" t="s">
        <v>12</v>
      </c>
      <c r="C277" t="s">
        <v>28</v>
      </c>
      <c r="E277">
        <v>1</v>
      </c>
      <c r="F277" s="1">
        <f>1800/DATAIN_COMPRAS__2[[#This Row],[IVA]]</f>
        <v>1628.9592760180997</v>
      </c>
      <c r="G277" t="s">
        <v>236</v>
      </c>
      <c r="H277">
        <v>1.105</v>
      </c>
      <c r="J277" s="2">
        <f>+DATAIN_COMPRAS__2[[#This Row],[$/ UN NETO]]*DATAIN_COMPRAS__2[[#This Row],[IVA]]</f>
        <v>1800</v>
      </c>
      <c r="K277" s="7">
        <f t="shared" si="1"/>
        <v>1800</v>
      </c>
      <c r="L277" t="s">
        <v>237</v>
      </c>
    </row>
    <row r="278" spans="1:12" x14ac:dyDescent="0.35">
      <c r="A278" s="13">
        <v>45754</v>
      </c>
      <c r="B278" t="s">
        <v>12</v>
      </c>
      <c r="C278" t="s">
        <v>20</v>
      </c>
      <c r="E278">
        <v>1.03</v>
      </c>
      <c r="F278" s="1">
        <f>2300/DATAIN_COMPRAS__2[[#This Row],[IVA]]</f>
        <v>2081.4479638009052</v>
      </c>
      <c r="G278" t="s">
        <v>236</v>
      </c>
      <c r="H278">
        <v>1.105</v>
      </c>
      <c r="J278" s="2">
        <f>+DATAIN_COMPRAS__2[[#This Row],[$/ UN NETO]]*DATAIN_COMPRAS__2[[#This Row],[IVA]]</f>
        <v>2300</v>
      </c>
      <c r="K278" s="7">
        <f t="shared" si="1"/>
        <v>2369.0000000000005</v>
      </c>
      <c r="L278" t="s">
        <v>237</v>
      </c>
    </row>
    <row r="279" spans="1:12" x14ac:dyDescent="0.35">
      <c r="A279" s="13">
        <v>45755</v>
      </c>
      <c r="B279" t="s">
        <v>48</v>
      </c>
      <c r="C279" t="s">
        <v>55</v>
      </c>
      <c r="E279">
        <v>2</v>
      </c>
      <c r="F279" s="1">
        <v>874.9633</v>
      </c>
      <c r="G279" t="s">
        <v>236</v>
      </c>
      <c r="H279">
        <v>1.21</v>
      </c>
      <c r="I279">
        <v>0.06</v>
      </c>
      <c r="J279" s="2">
        <f>+DATAIN_COMPRAS__2[[#This Row],[$/ UN NETO]]*DATAIN_COMPRAS__2[[#This Row],[IVA]]</f>
        <v>1058.7055929999999</v>
      </c>
      <c r="K279" s="7">
        <f t="shared" si="1"/>
        <v>1990.3665148399998</v>
      </c>
      <c r="L279" t="s">
        <v>237</v>
      </c>
    </row>
    <row r="280" spans="1:12" x14ac:dyDescent="0.35">
      <c r="A280" s="13">
        <v>45755</v>
      </c>
      <c r="B280" t="s">
        <v>48</v>
      </c>
      <c r="C280" t="s">
        <v>51</v>
      </c>
      <c r="E280">
        <v>3.5</v>
      </c>
      <c r="F280" s="1">
        <v>9039.9122000000007</v>
      </c>
      <c r="G280" t="s">
        <v>236</v>
      </c>
      <c r="H280">
        <v>1.21</v>
      </c>
      <c r="I280">
        <v>0.06</v>
      </c>
      <c r="J280" s="2">
        <f>+DATAIN_COMPRAS__2[[#This Row],[$/ UN NETO]]*DATAIN_COMPRAS__2[[#This Row],[IVA]]</f>
        <v>10938.293762000001</v>
      </c>
      <c r="K280" s="7">
        <f t="shared" si="1"/>
        <v>35986.986476979997</v>
      </c>
      <c r="L280" t="s">
        <v>237</v>
      </c>
    </row>
    <row r="281" spans="1:12" x14ac:dyDescent="0.35">
      <c r="A281" s="13">
        <v>45755</v>
      </c>
      <c r="B281" t="s">
        <v>48</v>
      </c>
      <c r="C281" t="s">
        <v>70</v>
      </c>
      <c r="E281">
        <v>1</v>
      </c>
      <c r="F281" s="1">
        <v>3538.1754999999998</v>
      </c>
      <c r="G281" t="s">
        <v>236</v>
      </c>
      <c r="H281">
        <v>1.21</v>
      </c>
      <c r="I281">
        <v>0.06</v>
      </c>
      <c r="J281" s="2">
        <f>+DATAIN_COMPRAS__2[[#This Row],[$/ UN NETO]]*DATAIN_COMPRAS__2[[#This Row],[IVA]]</f>
        <v>4281.1923549999992</v>
      </c>
      <c r="K281" s="7">
        <f t="shared" si="1"/>
        <v>4024.3208136999992</v>
      </c>
      <c r="L281" t="s">
        <v>237</v>
      </c>
    </row>
    <row r="282" spans="1:12" x14ac:dyDescent="0.35">
      <c r="A282" s="13">
        <v>45755</v>
      </c>
      <c r="B282" t="s">
        <v>48</v>
      </c>
      <c r="C282" t="s">
        <v>250</v>
      </c>
      <c r="E282">
        <v>2</v>
      </c>
      <c r="F282" s="1">
        <v>970.2</v>
      </c>
      <c r="G282" t="s">
        <v>236</v>
      </c>
      <c r="H282">
        <v>1.21</v>
      </c>
      <c r="J282" s="2">
        <f>+DATAIN_COMPRAS__2[[#This Row],[$/ UN NETO]]*DATAIN_COMPRAS__2[[#This Row],[IVA]]</f>
        <v>1173.942</v>
      </c>
      <c r="K282" s="7">
        <f t="shared" si="1"/>
        <v>2347.884</v>
      </c>
      <c r="L282" t="s">
        <v>237</v>
      </c>
    </row>
    <row r="283" spans="1:12" x14ac:dyDescent="0.35">
      <c r="A283" s="13">
        <v>45755</v>
      </c>
      <c r="B283" t="s">
        <v>48</v>
      </c>
      <c r="C283" t="s">
        <v>52</v>
      </c>
      <c r="E283">
        <v>7.58</v>
      </c>
      <c r="F283" s="1">
        <v>7747.9116000000004</v>
      </c>
      <c r="G283" t="s">
        <v>236</v>
      </c>
      <c r="H283">
        <v>1.21</v>
      </c>
      <c r="J283" s="2">
        <f>+DATAIN_COMPRAS__2[[#This Row],[$/ UN NETO]]*DATAIN_COMPRAS__2[[#This Row],[IVA]]</f>
        <v>9374.9730359999994</v>
      </c>
      <c r="K283" s="7">
        <f t="shared" si="1"/>
        <v>71062.29561288</v>
      </c>
      <c r="L283" t="s">
        <v>237</v>
      </c>
    </row>
    <row r="284" spans="1:12" x14ac:dyDescent="0.35">
      <c r="A284" s="13">
        <v>45755</v>
      </c>
      <c r="B284" t="s">
        <v>48</v>
      </c>
      <c r="C284" t="s">
        <v>833</v>
      </c>
      <c r="E284">
        <v>3.5</v>
      </c>
      <c r="F284" s="1">
        <v>5223.68</v>
      </c>
      <c r="G284" t="s">
        <v>236</v>
      </c>
      <c r="H284">
        <v>1.21</v>
      </c>
      <c r="I284">
        <v>0.06</v>
      </c>
      <c r="J284" s="2">
        <f>+DATAIN_COMPRAS__2[[#This Row],[$/ UN NETO]]*DATAIN_COMPRAS__2[[#This Row],[IVA]]</f>
        <v>6320.6527999999998</v>
      </c>
      <c r="K284" s="7">
        <f t="shared" si="1"/>
        <v>20794.947712000001</v>
      </c>
      <c r="L284" t="s">
        <v>237</v>
      </c>
    </row>
    <row r="285" spans="1:12" x14ac:dyDescent="0.35">
      <c r="A285" s="13">
        <v>45755</v>
      </c>
      <c r="B285" t="s">
        <v>48</v>
      </c>
      <c r="C285" t="s">
        <v>54</v>
      </c>
      <c r="E285">
        <v>2</v>
      </c>
      <c r="F285" s="1">
        <v>876.11699999999996</v>
      </c>
      <c r="G285" t="s">
        <v>236</v>
      </c>
      <c r="H285">
        <v>1.21</v>
      </c>
      <c r="I285">
        <v>0.06</v>
      </c>
      <c r="J285" s="2">
        <f>+DATAIN_COMPRAS__2[[#This Row],[$/ UN NETO]]*DATAIN_COMPRAS__2[[#This Row],[IVA]]</f>
        <v>1060.1015699999998</v>
      </c>
      <c r="K285" s="7">
        <f t="shared" si="1"/>
        <v>1992.9909515999998</v>
      </c>
      <c r="L285" t="s">
        <v>237</v>
      </c>
    </row>
    <row r="286" spans="1:12" x14ac:dyDescent="0.35">
      <c r="A286" s="13">
        <v>45755</v>
      </c>
      <c r="B286" t="s">
        <v>80</v>
      </c>
      <c r="C286" t="s">
        <v>249</v>
      </c>
      <c r="E286">
        <v>1</v>
      </c>
      <c r="F286" s="1">
        <v>3900</v>
      </c>
      <c r="G286" t="s">
        <v>236</v>
      </c>
      <c r="H286">
        <v>1.21</v>
      </c>
      <c r="J286" s="2">
        <f>+DATAIN_COMPRAS__2[[#This Row],[$/ UN NETO]]*DATAIN_COMPRAS__2[[#This Row],[IVA]]</f>
        <v>4719</v>
      </c>
      <c r="K286" s="7">
        <f t="shared" si="1"/>
        <v>4719</v>
      </c>
      <c r="L286" t="s">
        <v>237</v>
      </c>
    </row>
    <row r="287" spans="1:12" x14ac:dyDescent="0.35">
      <c r="A287" s="13">
        <v>45755</v>
      </c>
      <c r="B287" t="s">
        <v>80</v>
      </c>
      <c r="C287" t="s">
        <v>249</v>
      </c>
      <c r="E287">
        <v>1</v>
      </c>
      <c r="F287" s="1">
        <v>3223.14</v>
      </c>
      <c r="G287" t="s">
        <v>236</v>
      </c>
      <c r="H287">
        <v>1.21</v>
      </c>
      <c r="J287" s="2">
        <f>+DATAIN_COMPRAS__2[[#This Row],[$/ UN NETO]]*DATAIN_COMPRAS__2[[#This Row],[IVA]]</f>
        <v>3899.9993999999997</v>
      </c>
      <c r="K287" s="7">
        <f>(E287*F287)*(1-I287)*(H287)</f>
        <v>3899.9993999999997</v>
      </c>
      <c r="L287" t="s">
        <v>158</v>
      </c>
    </row>
    <row r="288" spans="1:12" x14ac:dyDescent="0.35">
      <c r="A288" s="13">
        <v>45755</v>
      </c>
      <c r="B288" t="s">
        <v>80</v>
      </c>
      <c r="C288" t="s">
        <v>87</v>
      </c>
      <c r="E288">
        <v>1</v>
      </c>
      <c r="F288" s="1">
        <v>6600</v>
      </c>
      <c r="G288" t="s">
        <v>236</v>
      </c>
      <c r="H288">
        <v>1.21</v>
      </c>
      <c r="J288" s="2">
        <f>+DATAIN_COMPRAS__2[[#This Row],[$/ UN NETO]]*DATAIN_COMPRAS__2[[#This Row],[IVA]]</f>
        <v>7986</v>
      </c>
      <c r="K288" s="7">
        <f>E288*F288*(1-I288)*(H288)</f>
        <v>7986</v>
      </c>
      <c r="L288" t="s">
        <v>237</v>
      </c>
    </row>
    <row r="289" spans="1:12" x14ac:dyDescent="0.35">
      <c r="A289" s="13">
        <v>45755</v>
      </c>
      <c r="B289" t="s">
        <v>80</v>
      </c>
      <c r="C289" t="s">
        <v>87</v>
      </c>
      <c r="E289">
        <v>1</v>
      </c>
      <c r="F289" s="1">
        <v>5454.55</v>
      </c>
      <c r="H289">
        <v>1.21</v>
      </c>
      <c r="J289" s="2">
        <f>+DATAIN_COMPRAS__2[[#This Row],[$/ UN NETO]]*DATAIN_COMPRAS__2[[#This Row],[IVA]]</f>
        <v>6600.0055000000002</v>
      </c>
      <c r="K289" s="7">
        <f>E289*F289*(1-I289)*(H289)</f>
        <v>6600.0055000000002</v>
      </c>
      <c r="L289" t="s">
        <v>237</v>
      </c>
    </row>
    <row r="290" spans="1:12" x14ac:dyDescent="0.35">
      <c r="A290" s="13">
        <v>45755</v>
      </c>
      <c r="B290" t="s">
        <v>80</v>
      </c>
      <c r="C290" t="s">
        <v>87</v>
      </c>
      <c r="E290">
        <v>1</v>
      </c>
      <c r="F290" s="1">
        <v>5454.55</v>
      </c>
      <c r="G290" t="s">
        <v>236</v>
      </c>
      <c r="H290">
        <v>1.21</v>
      </c>
      <c r="J290" s="2">
        <f>+DATAIN_COMPRAS__2[[#This Row],[$/ UN NETO]]*DATAIN_COMPRAS__2[[#This Row],[IVA]]</f>
        <v>6600.0055000000002</v>
      </c>
      <c r="K290" s="7">
        <f>(E290*F290)*(1-I290)*(H290)</f>
        <v>6600.0055000000002</v>
      </c>
      <c r="L290" t="s">
        <v>158</v>
      </c>
    </row>
    <row r="291" spans="1:12" x14ac:dyDescent="0.35">
      <c r="A291" s="13">
        <v>45755</v>
      </c>
      <c r="B291" t="s">
        <v>80</v>
      </c>
      <c r="C291" t="s">
        <v>86</v>
      </c>
      <c r="E291">
        <v>20</v>
      </c>
      <c r="F291" s="1">
        <v>124.39</v>
      </c>
      <c r="H291">
        <v>1.21</v>
      </c>
      <c r="J291" s="2">
        <f>+DATAIN_COMPRAS__2[[#This Row],[$/ UN NETO]]*DATAIN_COMPRAS__2[[#This Row],[IVA]]</f>
        <v>150.5119</v>
      </c>
      <c r="K291" s="7">
        <f>E291*F291*(1-I291)*(H291)</f>
        <v>3010.2380000000003</v>
      </c>
      <c r="L291" t="s">
        <v>237</v>
      </c>
    </row>
    <row r="292" spans="1:12" x14ac:dyDescent="0.35">
      <c r="A292" s="13">
        <v>45755</v>
      </c>
      <c r="B292" t="s">
        <v>80</v>
      </c>
      <c r="C292" t="s">
        <v>251</v>
      </c>
      <c r="E292">
        <v>2</v>
      </c>
      <c r="F292" s="1">
        <v>578.51</v>
      </c>
      <c r="H292">
        <v>1.21</v>
      </c>
      <c r="J292" s="2">
        <f>+DATAIN_COMPRAS__2[[#This Row],[$/ UN NETO]]*DATAIN_COMPRAS__2[[#This Row],[IVA]]</f>
        <v>699.99709999999993</v>
      </c>
      <c r="K292" s="7">
        <f>E292*F292*(1-I292)*(H292)</f>
        <v>1399.9941999999999</v>
      </c>
      <c r="L292" t="s">
        <v>237</v>
      </c>
    </row>
    <row r="293" spans="1:12" x14ac:dyDescent="0.35">
      <c r="A293" s="13">
        <v>45755</v>
      </c>
      <c r="B293" t="s">
        <v>80</v>
      </c>
      <c r="C293" t="s">
        <v>90</v>
      </c>
      <c r="E293">
        <v>1</v>
      </c>
      <c r="F293" s="1">
        <v>9500</v>
      </c>
      <c r="G293" t="s">
        <v>236</v>
      </c>
      <c r="H293">
        <v>1.21</v>
      </c>
      <c r="J293" s="2">
        <f>+DATAIN_COMPRAS__2[[#This Row],[$/ UN NETO]]*DATAIN_COMPRAS__2[[#This Row],[IVA]]</f>
        <v>11495</v>
      </c>
      <c r="K293" s="7">
        <f>E293*F293*(1-I293)*(H293)</f>
        <v>11495</v>
      </c>
      <c r="L293" t="s">
        <v>237</v>
      </c>
    </row>
    <row r="294" spans="1:12" x14ac:dyDescent="0.35">
      <c r="A294" s="13">
        <v>45755</v>
      </c>
      <c r="B294" t="s">
        <v>80</v>
      </c>
      <c r="C294" t="s">
        <v>90</v>
      </c>
      <c r="E294">
        <v>1</v>
      </c>
      <c r="F294" s="1">
        <v>7851.24</v>
      </c>
      <c r="H294">
        <v>1.21</v>
      </c>
      <c r="J294" s="2">
        <f>+DATAIN_COMPRAS__2[[#This Row],[$/ UN NETO]]*DATAIN_COMPRAS__2[[#This Row],[IVA]]</f>
        <v>9500.000399999999</v>
      </c>
      <c r="K294" s="7">
        <f>E294*F294*(1-I294)*(H294)</f>
        <v>9500.000399999999</v>
      </c>
      <c r="L294" t="s">
        <v>237</v>
      </c>
    </row>
    <row r="295" spans="1:12" x14ac:dyDescent="0.35">
      <c r="A295" s="13">
        <v>45755</v>
      </c>
      <c r="B295" t="s">
        <v>80</v>
      </c>
      <c r="C295" t="s">
        <v>90</v>
      </c>
      <c r="E295">
        <v>1</v>
      </c>
      <c r="F295" s="1">
        <v>7851.24</v>
      </c>
      <c r="G295" t="s">
        <v>236</v>
      </c>
      <c r="H295">
        <v>1.21</v>
      </c>
      <c r="J295" s="2">
        <f>+DATAIN_COMPRAS__2[[#This Row],[$/ UN NETO]]*DATAIN_COMPRAS__2[[#This Row],[IVA]]</f>
        <v>9500.000399999999</v>
      </c>
      <c r="K295" s="7">
        <f>(E295*F295)*(1-I295)*(H295)</f>
        <v>9500.000399999999</v>
      </c>
      <c r="L295" t="s">
        <v>158</v>
      </c>
    </row>
    <row r="296" spans="1:12" x14ac:dyDescent="0.35">
      <c r="A296" s="13">
        <v>45755</v>
      </c>
      <c r="B296" t="s">
        <v>80</v>
      </c>
      <c r="C296" t="s">
        <v>201</v>
      </c>
      <c r="E296">
        <v>1</v>
      </c>
      <c r="F296" s="1">
        <v>5600</v>
      </c>
      <c r="G296" t="s">
        <v>236</v>
      </c>
      <c r="H296">
        <v>1.21</v>
      </c>
      <c r="J296" s="2">
        <f>+DATAIN_COMPRAS__2[[#This Row],[$/ UN NETO]]*DATAIN_COMPRAS__2[[#This Row],[IVA]]</f>
        <v>6776</v>
      </c>
      <c r="K296" s="7">
        <f>E296*F296*(1-I296)*(H296)</f>
        <v>6776</v>
      </c>
      <c r="L296" t="s">
        <v>237</v>
      </c>
    </row>
    <row r="297" spans="1:12" x14ac:dyDescent="0.35">
      <c r="A297" s="13">
        <v>45755</v>
      </c>
      <c r="B297" t="s">
        <v>80</v>
      </c>
      <c r="C297" t="s">
        <v>201</v>
      </c>
      <c r="E297">
        <v>1</v>
      </c>
      <c r="F297" s="1">
        <v>4628.1000000000004</v>
      </c>
      <c r="G297" t="s">
        <v>236</v>
      </c>
      <c r="H297">
        <v>1.21</v>
      </c>
      <c r="J297" s="2">
        <f>+DATAIN_COMPRAS__2[[#This Row],[$/ UN NETO]]*DATAIN_COMPRAS__2[[#This Row],[IVA]]</f>
        <v>5600.0010000000002</v>
      </c>
      <c r="K297" s="7">
        <f>(E297*F297)*(1-I297)*(H297)</f>
        <v>5600.0010000000002</v>
      </c>
      <c r="L297" t="s">
        <v>158</v>
      </c>
    </row>
    <row r="298" spans="1:12" x14ac:dyDescent="0.35">
      <c r="A298" s="13">
        <v>45755</v>
      </c>
      <c r="B298" t="s">
        <v>80</v>
      </c>
      <c r="C298" t="s">
        <v>207</v>
      </c>
      <c r="E298">
        <v>10</v>
      </c>
      <c r="F298" s="1">
        <v>82.65</v>
      </c>
      <c r="H298">
        <v>1.21</v>
      </c>
      <c r="J298" s="2">
        <f>+DATAIN_COMPRAS__2[[#This Row],[$/ UN NETO]]*DATAIN_COMPRAS__2[[#This Row],[IVA]]</f>
        <v>100.0065</v>
      </c>
      <c r="K298" s="7">
        <f>E298*F298*(1-I298)*(H298)</f>
        <v>1000.0649999999999</v>
      </c>
      <c r="L298" t="s">
        <v>237</v>
      </c>
    </row>
    <row r="299" spans="1:12" x14ac:dyDescent="0.35">
      <c r="A299" s="13">
        <v>45755</v>
      </c>
      <c r="B299" t="s">
        <v>80</v>
      </c>
      <c r="C299" t="s">
        <v>841</v>
      </c>
      <c r="E299">
        <v>4</v>
      </c>
      <c r="F299" s="1">
        <v>371.9</v>
      </c>
      <c r="H299">
        <v>1.21</v>
      </c>
      <c r="J299" s="2">
        <f>+DATAIN_COMPRAS__2[[#This Row],[$/ UN NETO]]*DATAIN_COMPRAS__2[[#This Row],[IVA]]</f>
        <v>449.99899999999997</v>
      </c>
      <c r="K299" s="7">
        <f>E299*F299*(1-I299)*(H299)</f>
        <v>1799.9959999999999</v>
      </c>
      <c r="L299" t="s">
        <v>237</v>
      </c>
    </row>
    <row r="300" spans="1:12" x14ac:dyDescent="0.35">
      <c r="A300" s="13">
        <v>45755</v>
      </c>
      <c r="B300" t="s">
        <v>12</v>
      </c>
      <c r="C300" t="s">
        <v>36</v>
      </c>
      <c r="E300">
        <v>3</v>
      </c>
      <c r="F300" s="1">
        <f>3300/DATAIN_COMPRAS__2[[#This Row],[IVA]]</f>
        <v>2986.4253393665158</v>
      </c>
      <c r="G300" t="s">
        <v>236</v>
      </c>
      <c r="H300">
        <v>1.105</v>
      </c>
      <c r="J300" s="2">
        <f>+DATAIN_COMPRAS__2[[#This Row],[$/ UN NETO]]*DATAIN_COMPRAS__2[[#This Row],[IVA]]</f>
        <v>3300</v>
      </c>
      <c r="K300" s="7">
        <f t="shared" ref="K300:K306" si="2">(E300*F300)*(1-I300)*(H300)</f>
        <v>9899.9999999999982</v>
      </c>
      <c r="L300" t="s">
        <v>158</v>
      </c>
    </row>
    <row r="301" spans="1:12" x14ac:dyDescent="0.35">
      <c r="A301" s="13">
        <v>45755</v>
      </c>
      <c r="B301" t="s">
        <v>12</v>
      </c>
      <c r="C301" t="s">
        <v>44</v>
      </c>
      <c r="E301">
        <v>0.5</v>
      </c>
      <c r="F301" s="1">
        <f>3800/DATAIN_COMPRAS__2[[#This Row],[IVA]]</f>
        <v>3438.9140271493211</v>
      </c>
      <c r="G301" t="s">
        <v>236</v>
      </c>
      <c r="H301">
        <v>1.105</v>
      </c>
      <c r="J301" s="2">
        <f>+DATAIN_COMPRAS__2[[#This Row],[$/ UN NETO]]*DATAIN_COMPRAS__2[[#This Row],[IVA]]</f>
        <v>3799.9999999999995</v>
      </c>
      <c r="K301" s="7">
        <f t="shared" si="2"/>
        <v>1899.9999999999998</v>
      </c>
      <c r="L301" t="s">
        <v>158</v>
      </c>
    </row>
    <row r="302" spans="1:12" x14ac:dyDescent="0.35">
      <c r="A302" s="13">
        <v>45755</v>
      </c>
      <c r="B302" t="s">
        <v>12</v>
      </c>
      <c r="C302" t="s">
        <v>16</v>
      </c>
      <c r="E302">
        <v>1</v>
      </c>
      <c r="F302" s="1">
        <f>1600/DATAIN_COMPRAS__2[[#This Row],[IVA]]</f>
        <v>1447.9638009049775</v>
      </c>
      <c r="G302" t="s">
        <v>236</v>
      </c>
      <c r="H302">
        <v>1.105</v>
      </c>
      <c r="J302" s="2">
        <f>+DATAIN_COMPRAS__2[[#This Row],[$/ UN NETO]]*DATAIN_COMPRAS__2[[#This Row],[IVA]]</f>
        <v>1600</v>
      </c>
      <c r="K302" s="7">
        <f t="shared" si="2"/>
        <v>1600</v>
      </c>
      <c r="L302" t="s">
        <v>158</v>
      </c>
    </row>
    <row r="303" spans="1:12" x14ac:dyDescent="0.35">
      <c r="A303" s="13">
        <v>45755</v>
      </c>
      <c r="B303" t="s">
        <v>12</v>
      </c>
      <c r="C303" t="s">
        <v>15</v>
      </c>
      <c r="E303">
        <v>3</v>
      </c>
      <c r="F303" s="1">
        <f>2200/DATAIN_COMPRAS__2[[#This Row],[IVA]]</f>
        <v>1990.9502262443439</v>
      </c>
      <c r="G303" t="s">
        <v>236</v>
      </c>
      <c r="H303">
        <v>1.105</v>
      </c>
      <c r="J303" s="2">
        <f>+DATAIN_COMPRAS__2[[#This Row],[$/ UN NETO]]*DATAIN_COMPRAS__2[[#This Row],[IVA]]</f>
        <v>2200</v>
      </c>
      <c r="K303" s="7">
        <f t="shared" si="2"/>
        <v>6600</v>
      </c>
      <c r="L303" t="s">
        <v>158</v>
      </c>
    </row>
    <row r="304" spans="1:12" x14ac:dyDescent="0.35">
      <c r="A304" s="13">
        <v>45755</v>
      </c>
      <c r="B304" t="s">
        <v>12</v>
      </c>
      <c r="C304" t="s">
        <v>32</v>
      </c>
      <c r="E304">
        <v>3</v>
      </c>
      <c r="F304" s="1">
        <f>1000/DATAIN_COMPRAS__2[[#This Row],[IVA]]</f>
        <v>904.97737556561083</v>
      </c>
      <c r="G304" t="s">
        <v>236</v>
      </c>
      <c r="H304">
        <v>1.105</v>
      </c>
      <c r="J304" s="2">
        <f>+DATAIN_COMPRAS__2[[#This Row],[$/ UN NETO]]*DATAIN_COMPRAS__2[[#This Row],[IVA]]</f>
        <v>1000</v>
      </c>
      <c r="K304" s="7">
        <f t="shared" si="2"/>
        <v>3000</v>
      </c>
      <c r="L304" t="s">
        <v>158</v>
      </c>
    </row>
    <row r="305" spans="1:12" x14ac:dyDescent="0.35">
      <c r="A305" s="13">
        <v>45755</v>
      </c>
      <c r="B305" t="s">
        <v>12</v>
      </c>
      <c r="C305" t="s">
        <v>17</v>
      </c>
      <c r="E305">
        <v>1</v>
      </c>
      <c r="F305" s="1">
        <f>1600/DATAIN_COMPRAS__2[[#This Row],[IVA]]</f>
        <v>1447.9638009049775</v>
      </c>
      <c r="G305" t="s">
        <v>236</v>
      </c>
      <c r="H305">
        <v>1.105</v>
      </c>
      <c r="J305" s="2">
        <f>+DATAIN_COMPRAS__2[[#This Row],[$/ UN NETO]]*DATAIN_COMPRAS__2[[#This Row],[IVA]]</f>
        <v>1600</v>
      </c>
      <c r="K305" s="7">
        <f t="shared" si="2"/>
        <v>1600</v>
      </c>
      <c r="L305" t="s">
        <v>158</v>
      </c>
    </row>
    <row r="306" spans="1:12" x14ac:dyDescent="0.35">
      <c r="A306" s="13">
        <v>45755</v>
      </c>
      <c r="B306" t="s">
        <v>12</v>
      </c>
      <c r="C306" t="s">
        <v>30</v>
      </c>
      <c r="E306">
        <v>2</v>
      </c>
      <c r="F306" s="1">
        <f>1300/DATAIN_COMPRAS__2[[#This Row],[IVA]]</f>
        <v>1176.4705882352941</v>
      </c>
      <c r="G306" t="s">
        <v>236</v>
      </c>
      <c r="H306">
        <v>1.105</v>
      </c>
      <c r="J306" s="2">
        <f>+DATAIN_COMPRAS__2[[#This Row],[$/ UN NETO]]*DATAIN_COMPRAS__2[[#This Row],[IVA]]</f>
        <v>1300</v>
      </c>
      <c r="K306" s="7">
        <f t="shared" si="2"/>
        <v>2600</v>
      </c>
      <c r="L306" t="s">
        <v>158</v>
      </c>
    </row>
    <row r="307" spans="1:12" x14ac:dyDescent="0.35">
      <c r="A307" s="13">
        <v>45755</v>
      </c>
      <c r="B307" t="s">
        <v>75</v>
      </c>
      <c r="C307" t="s">
        <v>77</v>
      </c>
      <c r="E307">
        <v>12</v>
      </c>
      <c r="F307" s="1">
        <v>1101.4100000000001</v>
      </c>
      <c r="G307" t="s">
        <v>236</v>
      </c>
      <c r="H307">
        <v>1.21</v>
      </c>
      <c r="J307" s="2">
        <f>+DATAIN_COMPRAS__2[[#This Row],[$/ UN NETO]]*DATAIN_COMPRAS__2[[#This Row],[IVA]]</f>
        <v>1332.7061000000001</v>
      </c>
      <c r="K307" s="7">
        <f>E307*F307*(1-I307)*(H307)</f>
        <v>15992.473200000002</v>
      </c>
      <c r="L307" t="s">
        <v>237</v>
      </c>
    </row>
    <row r="308" spans="1:12" x14ac:dyDescent="0.35">
      <c r="A308" s="13">
        <v>45755</v>
      </c>
      <c r="B308" t="s">
        <v>75</v>
      </c>
      <c r="C308" t="s">
        <v>78</v>
      </c>
      <c r="E308">
        <v>12</v>
      </c>
      <c r="F308" s="1">
        <v>1182.56</v>
      </c>
      <c r="G308" t="s">
        <v>236</v>
      </c>
      <c r="H308">
        <v>1.21</v>
      </c>
      <c r="J308" s="2">
        <f>+DATAIN_COMPRAS__2[[#This Row],[$/ UN NETO]]*DATAIN_COMPRAS__2[[#This Row],[IVA]]</f>
        <v>1430.8975999999998</v>
      </c>
      <c r="K308" s="7">
        <f>E308*F308*(1-I308)*(H308)</f>
        <v>17170.771199999999</v>
      </c>
      <c r="L308" t="s">
        <v>237</v>
      </c>
    </row>
    <row r="309" spans="1:12" x14ac:dyDescent="0.35">
      <c r="A309" s="13">
        <v>45755</v>
      </c>
      <c r="B309" t="s">
        <v>75</v>
      </c>
      <c r="C309" t="s">
        <v>76</v>
      </c>
      <c r="E309">
        <v>120</v>
      </c>
      <c r="F309" s="1">
        <v>1101.4100000000001</v>
      </c>
      <c r="G309" t="s">
        <v>236</v>
      </c>
      <c r="H309">
        <v>1.21</v>
      </c>
      <c r="J309" s="2">
        <f>+DATAIN_COMPRAS__2[[#This Row],[$/ UN NETO]]*DATAIN_COMPRAS__2[[#This Row],[IVA]]</f>
        <v>1332.7061000000001</v>
      </c>
      <c r="K309" s="7">
        <f>E309*F309*(1-I309)*(H309)</f>
        <v>159924.73200000002</v>
      </c>
      <c r="L309" t="s">
        <v>237</v>
      </c>
    </row>
    <row r="310" spans="1:12" x14ac:dyDescent="0.35">
      <c r="A310" s="13">
        <v>45755</v>
      </c>
      <c r="B310" t="s">
        <v>199</v>
      </c>
      <c r="C310" t="s">
        <v>203</v>
      </c>
      <c r="E310">
        <v>7</v>
      </c>
      <c r="F310" s="1">
        <v>4447.1073999999999</v>
      </c>
      <c r="G310" t="s">
        <v>236</v>
      </c>
      <c r="H310">
        <v>1.21</v>
      </c>
      <c r="J310" s="2">
        <f>+DATAIN_COMPRAS__2[[#This Row],[$/ UN NETO]]*DATAIN_COMPRAS__2[[#This Row],[IVA]]</f>
        <v>5380.9999539999999</v>
      </c>
      <c r="K310" s="7">
        <f>+DATAIN_COMPRAS__2[[#This Row],[CANT]]*DATAIN_COMPRAS__2[[#This Row],[$/ UN NETO]]*DATAIN_COMPRAS__2[[#This Row],[IVA]]</f>
        <v>37666.999678</v>
      </c>
      <c r="L310" t="s">
        <v>237</v>
      </c>
    </row>
    <row r="311" spans="1:12" x14ac:dyDescent="0.35">
      <c r="A311" s="13">
        <v>45757</v>
      </c>
      <c r="B311" t="s">
        <v>12</v>
      </c>
      <c r="C311" t="s">
        <v>45</v>
      </c>
      <c r="E311">
        <v>2</v>
      </c>
      <c r="F311" s="1">
        <f>1200/DATAIN_COMPRAS__2[[#This Row],[IVA]]</f>
        <v>1085.972850678733</v>
      </c>
      <c r="H311">
        <v>1.105</v>
      </c>
      <c r="J311" s="2">
        <f>+DATAIN_COMPRAS__2[[#This Row],[$/ UN NETO]]*DATAIN_COMPRAS__2[[#This Row],[IVA]]</f>
        <v>1200</v>
      </c>
      <c r="K311" s="7">
        <f>+DATAIN_COMPRAS__2[[#This Row],[CANT]]*DATAIN_COMPRAS__2[[#This Row],[$/ UN NETO]]*DATAIN_COMPRAS__2[[#This Row],[IVA]]</f>
        <v>2400</v>
      </c>
      <c r="L311" t="s">
        <v>237</v>
      </c>
    </row>
    <row r="312" spans="1:12" x14ac:dyDescent="0.35">
      <c r="A312" s="13">
        <v>45757</v>
      </c>
      <c r="B312" t="s">
        <v>12</v>
      </c>
      <c r="C312" t="s">
        <v>39</v>
      </c>
      <c r="E312">
        <v>0.32</v>
      </c>
      <c r="F312" s="1">
        <f>4800/DATAIN_COMPRAS__2[[#This Row],[IVA]]</f>
        <v>4343.8914027149322</v>
      </c>
      <c r="H312">
        <v>1.105</v>
      </c>
      <c r="J312" s="2">
        <f>+DATAIN_COMPRAS__2[[#This Row],[$/ UN NETO]]*DATAIN_COMPRAS__2[[#This Row],[IVA]]</f>
        <v>4800</v>
      </c>
      <c r="K312" s="7">
        <f>+DATAIN_COMPRAS__2[[#This Row],[CANT]]*DATAIN_COMPRAS__2[[#This Row],[$/ UN NETO]]*DATAIN_COMPRAS__2[[#This Row],[IVA]]</f>
        <v>1536</v>
      </c>
      <c r="L312" t="s">
        <v>237</v>
      </c>
    </row>
    <row r="313" spans="1:12" x14ac:dyDescent="0.35">
      <c r="A313" s="13">
        <v>45757</v>
      </c>
      <c r="B313" t="s">
        <v>12</v>
      </c>
      <c r="C313" t="s">
        <v>14</v>
      </c>
      <c r="E313">
        <v>1</v>
      </c>
      <c r="F313" s="1">
        <f>15000/DATAIN_COMPRAS__2[[#This Row],[IVA]]</f>
        <v>13574.660633484164</v>
      </c>
      <c r="H313">
        <v>1.105</v>
      </c>
      <c r="J313" s="2">
        <f>+DATAIN_COMPRAS__2[[#This Row],[$/ UN NETO]]*DATAIN_COMPRAS__2[[#This Row],[IVA]]</f>
        <v>15000</v>
      </c>
      <c r="K313" s="7">
        <f>+DATAIN_COMPRAS__2[[#This Row],[CANT]]*DATAIN_COMPRAS__2[[#This Row],[$/ UN NETO]]*DATAIN_COMPRAS__2[[#This Row],[IVA]]</f>
        <v>15000</v>
      </c>
      <c r="L313" t="s">
        <v>237</v>
      </c>
    </row>
    <row r="314" spans="1:12" x14ac:dyDescent="0.35">
      <c r="A314" s="13">
        <v>45757</v>
      </c>
      <c r="B314" t="s">
        <v>12</v>
      </c>
      <c r="C314" t="s">
        <v>19</v>
      </c>
      <c r="E314">
        <v>3.14</v>
      </c>
      <c r="F314" s="1">
        <f>7800/DATAIN_COMPRAS__2[[#This Row],[IVA]]</f>
        <v>7058.8235294117649</v>
      </c>
      <c r="H314">
        <v>1.105</v>
      </c>
      <c r="J314" s="2">
        <f>+DATAIN_COMPRAS__2[[#This Row],[$/ UN NETO]]*DATAIN_COMPRAS__2[[#This Row],[IVA]]</f>
        <v>7800</v>
      </c>
      <c r="K314" s="7">
        <f>+DATAIN_COMPRAS__2[[#This Row],[CANT]]*DATAIN_COMPRAS__2[[#This Row],[$/ UN NETO]]*DATAIN_COMPRAS__2[[#This Row],[IVA]]</f>
        <v>24492.000000000004</v>
      </c>
      <c r="L314" t="s">
        <v>237</v>
      </c>
    </row>
    <row r="315" spans="1:12" x14ac:dyDescent="0.35">
      <c r="A315" s="13">
        <v>45757</v>
      </c>
      <c r="B315" t="s">
        <v>12</v>
      </c>
      <c r="C315" t="s">
        <v>18</v>
      </c>
      <c r="E315">
        <v>1</v>
      </c>
      <c r="F315" s="1">
        <f>6800/DATAIN_COMPRAS__2[[#This Row],[IVA]]</f>
        <v>6153.8461538461543</v>
      </c>
      <c r="H315">
        <v>1.105</v>
      </c>
      <c r="J315" s="2">
        <f>+DATAIN_COMPRAS__2[[#This Row],[$/ UN NETO]]*DATAIN_COMPRAS__2[[#This Row],[IVA]]</f>
        <v>6800</v>
      </c>
      <c r="K315" s="7">
        <f>+DATAIN_COMPRAS__2[[#This Row],[CANT]]*DATAIN_COMPRAS__2[[#This Row],[$/ UN NETO]]*DATAIN_COMPRAS__2[[#This Row],[IVA]]</f>
        <v>6800</v>
      </c>
      <c r="L315" t="s">
        <v>237</v>
      </c>
    </row>
    <row r="316" spans="1:12" x14ac:dyDescent="0.35">
      <c r="A316" s="13">
        <v>45757</v>
      </c>
      <c r="B316" t="s">
        <v>12</v>
      </c>
      <c r="C316" t="s">
        <v>20</v>
      </c>
      <c r="E316">
        <v>1.5</v>
      </c>
      <c r="F316" s="1">
        <f>2300/DATAIN_COMPRAS__2[[#This Row],[IVA]]</f>
        <v>2081.4479638009052</v>
      </c>
      <c r="G316" t="s">
        <v>236</v>
      </c>
      <c r="H316">
        <v>1.105</v>
      </c>
      <c r="J316" s="2">
        <f>+DATAIN_COMPRAS__2[[#This Row],[$/ UN NETO]]*DATAIN_COMPRAS__2[[#This Row],[IVA]]</f>
        <v>2300</v>
      </c>
      <c r="K316" s="7">
        <f>+DATAIN_COMPRAS__2[[#This Row],[CANT]]*DATAIN_COMPRAS__2[[#This Row],[$/ UN NETO]]*DATAIN_COMPRAS__2[[#This Row],[IVA]]</f>
        <v>3450.0000000000005</v>
      </c>
      <c r="L316" t="s">
        <v>237</v>
      </c>
    </row>
    <row r="317" spans="1:12" x14ac:dyDescent="0.35">
      <c r="A317" s="13">
        <v>45759</v>
      </c>
      <c r="B317" t="s">
        <v>80</v>
      </c>
      <c r="C317" t="s">
        <v>252</v>
      </c>
      <c r="E317">
        <v>1</v>
      </c>
      <c r="F317" s="1">
        <v>3143</v>
      </c>
      <c r="G317" t="s">
        <v>236</v>
      </c>
      <c r="H317">
        <v>1.21</v>
      </c>
      <c r="J317" s="2">
        <f>+DATAIN_COMPRAS__2[[#This Row],[$/ UN NETO]]*DATAIN_COMPRAS__2[[#This Row],[IVA]]</f>
        <v>3803.0299999999997</v>
      </c>
      <c r="K317" s="7">
        <f>+DATAIN_COMPRAS__2[[#This Row],[CANT]]*DATAIN_COMPRAS__2[[#This Row],[$/ UN NETO]]*DATAIN_COMPRAS__2[[#This Row],[IVA]]</f>
        <v>3803.0299999999997</v>
      </c>
      <c r="L317" t="s">
        <v>237</v>
      </c>
    </row>
    <row r="318" spans="1:12" x14ac:dyDescent="0.35">
      <c r="A318" s="13">
        <v>45761</v>
      </c>
      <c r="B318" t="s">
        <v>48</v>
      </c>
      <c r="C318" t="s">
        <v>57</v>
      </c>
      <c r="E318">
        <v>1</v>
      </c>
      <c r="F318" s="1">
        <v>1121.73</v>
      </c>
      <c r="H318">
        <v>1.21</v>
      </c>
      <c r="I318">
        <v>0.06</v>
      </c>
      <c r="J318" s="2">
        <f>+DATAIN_COMPRAS__2[[#This Row],[$/ UN NETO]]*DATAIN_COMPRAS__2[[#This Row],[IVA]]</f>
        <v>1357.2933</v>
      </c>
      <c r="K318" s="7">
        <f t="shared" ref="K318:K330" si="3">E318*F318*(1-I318)*(H318)</f>
        <v>1275.8557019999998</v>
      </c>
      <c r="L318" t="s">
        <v>237</v>
      </c>
    </row>
    <row r="319" spans="1:12" x14ac:dyDescent="0.35">
      <c r="A319" s="13">
        <v>45761</v>
      </c>
      <c r="B319" t="s">
        <v>48</v>
      </c>
      <c r="C319" t="s">
        <v>55</v>
      </c>
      <c r="E319">
        <v>2</v>
      </c>
      <c r="F319" s="1">
        <v>874.9633</v>
      </c>
      <c r="H319">
        <v>1.21</v>
      </c>
      <c r="I319">
        <v>0.06</v>
      </c>
      <c r="J319" s="2">
        <f>+DATAIN_COMPRAS__2[[#This Row],[$/ UN NETO]]*DATAIN_COMPRAS__2[[#This Row],[IVA]]</f>
        <v>1058.7055929999999</v>
      </c>
      <c r="K319" s="7">
        <f t="shared" si="3"/>
        <v>1990.3665148399998</v>
      </c>
      <c r="L319" t="s">
        <v>237</v>
      </c>
    </row>
    <row r="320" spans="1:12" x14ac:dyDescent="0.35">
      <c r="A320" s="13">
        <v>45761</v>
      </c>
      <c r="B320" t="s">
        <v>48</v>
      </c>
      <c r="C320" t="s">
        <v>51</v>
      </c>
      <c r="E320">
        <v>7</v>
      </c>
      <c r="F320" s="1">
        <v>9039.8122000000003</v>
      </c>
      <c r="H320">
        <v>1.21</v>
      </c>
      <c r="I320">
        <v>0.06</v>
      </c>
      <c r="J320" s="2">
        <f>+DATAIN_COMPRAS__2[[#This Row],[$/ UN NETO]]*DATAIN_COMPRAS__2[[#This Row],[IVA]]</f>
        <v>10938.172762</v>
      </c>
      <c r="K320" s="7">
        <f t="shared" si="3"/>
        <v>71973.176773960004</v>
      </c>
      <c r="L320" t="s">
        <v>237</v>
      </c>
    </row>
    <row r="321" spans="1:12" x14ac:dyDescent="0.35">
      <c r="A321" s="13">
        <v>45761</v>
      </c>
      <c r="B321" t="s">
        <v>48</v>
      </c>
      <c r="C321" t="s">
        <v>67</v>
      </c>
      <c r="E321">
        <v>1</v>
      </c>
      <c r="F321" s="1">
        <v>3404.8915999999999</v>
      </c>
      <c r="H321">
        <v>1.21</v>
      </c>
      <c r="I321">
        <v>0.06</v>
      </c>
      <c r="J321" s="2">
        <f>+DATAIN_COMPRAS__2[[#This Row],[$/ UN NETO]]*DATAIN_COMPRAS__2[[#This Row],[IVA]]</f>
        <v>4119.9188359999998</v>
      </c>
      <c r="K321" s="7">
        <f t="shared" si="3"/>
        <v>3872.7237058399996</v>
      </c>
      <c r="L321" t="s">
        <v>237</v>
      </c>
    </row>
    <row r="322" spans="1:12" x14ac:dyDescent="0.35">
      <c r="A322" s="13">
        <v>45761</v>
      </c>
      <c r="B322" t="s">
        <v>48</v>
      </c>
      <c r="C322" t="s">
        <v>58</v>
      </c>
      <c r="E322">
        <v>6</v>
      </c>
      <c r="F322" s="1">
        <v>3567.6666666666665</v>
      </c>
      <c r="H322">
        <v>1.21</v>
      </c>
      <c r="I322">
        <v>0.06</v>
      </c>
      <c r="J322" s="2">
        <f>+DATAIN_COMPRAS__2[[#This Row],[$/ UN NETO]]*DATAIN_COMPRAS__2[[#This Row],[IVA]]</f>
        <v>4316.8766666666661</v>
      </c>
      <c r="K322" s="7">
        <f t="shared" si="3"/>
        <v>24347.184399999998</v>
      </c>
      <c r="L322" t="s">
        <v>237</v>
      </c>
    </row>
    <row r="323" spans="1:12" x14ac:dyDescent="0.35">
      <c r="A323" s="13">
        <v>45761</v>
      </c>
      <c r="B323" t="s">
        <v>48</v>
      </c>
      <c r="C323" t="s">
        <v>70</v>
      </c>
      <c r="E323">
        <v>1</v>
      </c>
      <c r="F323" s="1">
        <v>3538.1754999999998</v>
      </c>
      <c r="H323">
        <v>1.21</v>
      </c>
      <c r="J323" s="2">
        <f>+DATAIN_COMPRAS__2[[#This Row],[$/ UN NETO]]*DATAIN_COMPRAS__2[[#This Row],[IVA]]</f>
        <v>4281.1923549999992</v>
      </c>
      <c r="K323" s="7">
        <f t="shared" si="3"/>
        <v>4281.1923549999992</v>
      </c>
      <c r="L323" t="s">
        <v>237</v>
      </c>
    </row>
    <row r="324" spans="1:12" x14ac:dyDescent="0.35">
      <c r="A324" s="13">
        <v>45761</v>
      </c>
      <c r="B324" t="s">
        <v>48</v>
      </c>
      <c r="C324" t="s">
        <v>250</v>
      </c>
      <c r="E324">
        <v>2</v>
      </c>
      <c r="F324" s="1">
        <v>970.2</v>
      </c>
      <c r="H324">
        <v>1.21</v>
      </c>
      <c r="I324">
        <v>0.06</v>
      </c>
      <c r="J324" s="2">
        <f>+DATAIN_COMPRAS__2[[#This Row],[$/ UN NETO]]*DATAIN_COMPRAS__2[[#This Row],[IVA]]</f>
        <v>1173.942</v>
      </c>
      <c r="K324" s="7">
        <f t="shared" si="3"/>
        <v>2207.0109599999996</v>
      </c>
      <c r="L324" t="s">
        <v>237</v>
      </c>
    </row>
    <row r="325" spans="1:12" x14ac:dyDescent="0.35">
      <c r="A325" s="13">
        <v>45761</v>
      </c>
      <c r="B325" t="s">
        <v>48</v>
      </c>
      <c r="C325" t="s">
        <v>52</v>
      </c>
      <c r="E325">
        <v>10.68</v>
      </c>
      <c r="F325" s="1">
        <v>7747.9116000000004</v>
      </c>
      <c r="H325">
        <v>1.21</v>
      </c>
      <c r="J325" s="2">
        <f>+DATAIN_COMPRAS__2[[#This Row],[$/ UN NETO]]*DATAIN_COMPRAS__2[[#This Row],[IVA]]</f>
        <v>9374.9730359999994</v>
      </c>
      <c r="K325" s="7">
        <f t="shared" si="3"/>
        <v>100124.71202448</v>
      </c>
      <c r="L325" t="s">
        <v>237</v>
      </c>
    </row>
    <row r="326" spans="1:12" x14ac:dyDescent="0.35">
      <c r="A326" s="13">
        <v>45761</v>
      </c>
      <c r="B326" t="s">
        <v>48</v>
      </c>
      <c r="C326" t="s">
        <v>833</v>
      </c>
      <c r="E326">
        <v>7</v>
      </c>
      <c r="F326" s="1">
        <v>5223.68</v>
      </c>
      <c r="G326" t="s">
        <v>236</v>
      </c>
      <c r="H326">
        <v>1.21</v>
      </c>
      <c r="I326">
        <v>0.06</v>
      </c>
      <c r="J326" s="2">
        <f>+DATAIN_COMPRAS__2[[#This Row],[$/ UN NETO]]*DATAIN_COMPRAS__2[[#This Row],[IVA]]</f>
        <v>6320.6527999999998</v>
      </c>
      <c r="K326" s="7">
        <f t="shared" si="3"/>
        <v>41589.895424000002</v>
      </c>
      <c r="L326" t="s">
        <v>237</v>
      </c>
    </row>
    <row r="327" spans="1:12" x14ac:dyDescent="0.35">
      <c r="A327" s="13">
        <v>45761</v>
      </c>
      <c r="B327" t="s">
        <v>48</v>
      </c>
      <c r="C327" t="s">
        <v>54</v>
      </c>
      <c r="E327">
        <v>3</v>
      </c>
      <c r="F327" s="1">
        <v>876.11699999999996</v>
      </c>
      <c r="H327">
        <v>1.21</v>
      </c>
      <c r="I327">
        <v>0.06</v>
      </c>
      <c r="J327" s="2">
        <f>+DATAIN_COMPRAS__2[[#This Row],[$/ UN NETO]]*DATAIN_COMPRAS__2[[#This Row],[IVA]]</f>
        <v>1060.1015699999998</v>
      </c>
      <c r="K327" s="7">
        <f t="shared" si="3"/>
        <v>2989.4864273999992</v>
      </c>
      <c r="L327" t="s">
        <v>237</v>
      </c>
    </row>
    <row r="328" spans="1:12" x14ac:dyDescent="0.35">
      <c r="A328" s="13">
        <v>45761</v>
      </c>
      <c r="B328" t="s">
        <v>174</v>
      </c>
      <c r="C328" t="s">
        <v>176</v>
      </c>
      <c r="E328" s="8">
        <v>12</v>
      </c>
      <c r="F328" s="1">
        <f>42347.11/6</f>
        <v>7057.8516666666665</v>
      </c>
      <c r="H328">
        <v>1.21</v>
      </c>
      <c r="J328" s="2">
        <f>+DATAIN_COMPRAS__2[[#This Row],[$/ UN NETO]]*DATAIN_COMPRAS__2[[#This Row],[IVA]]</f>
        <v>8540.000516666667</v>
      </c>
      <c r="K328" s="7">
        <f t="shared" si="3"/>
        <v>102480.0062</v>
      </c>
      <c r="L328" t="s">
        <v>158</v>
      </c>
    </row>
    <row r="329" spans="1:12" x14ac:dyDescent="0.35">
      <c r="A329" s="13">
        <v>45761</v>
      </c>
      <c r="B329" t="s">
        <v>174</v>
      </c>
      <c r="C329" t="s">
        <v>175</v>
      </c>
      <c r="E329">
        <v>12</v>
      </c>
      <c r="F329" s="1">
        <f>42347.11/6</f>
        <v>7057.8516666666665</v>
      </c>
      <c r="H329">
        <v>1.21</v>
      </c>
      <c r="J329" s="2">
        <f>+DATAIN_COMPRAS__2[[#This Row],[$/ UN NETO]]*DATAIN_COMPRAS__2[[#This Row],[IVA]]</f>
        <v>8540.000516666667</v>
      </c>
      <c r="K329" s="7">
        <f t="shared" si="3"/>
        <v>102480.0062</v>
      </c>
      <c r="L329" t="s">
        <v>158</v>
      </c>
    </row>
    <row r="330" spans="1:12" x14ac:dyDescent="0.35">
      <c r="A330" s="13">
        <v>45761</v>
      </c>
      <c r="B330" t="s">
        <v>110</v>
      </c>
      <c r="C330" t="s">
        <v>163</v>
      </c>
      <c r="E330">
        <v>5</v>
      </c>
      <c r="F330" s="1">
        <v>1843.8</v>
      </c>
      <c r="G330" t="s">
        <v>236</v>
      </c>
      <c r="H330">
        <v>1.21</v>
      </c>
      <c r="J330" s="2">
        <f>+DATAIN_COMPRAS__2[[#This Row],[$/ UN NETO]]*DATAIN_COMPRAS__2[[#This Row],[IVA]]</f>
        <v>2230.998</v>
      </c>
      <c r="K330" s="7">
        <f t="shared" si="3"/>
        <v>11154.99</v>
      </c>
      <c r="L330" t="s">
        <v>158</v>
      </c>
    </row>
    <row r="331" spans="1:12" x14ac:dyDescent="0.35">
      <c r="A331" s="13">
        <v>45761</v>
      </c>
      <c r="B331" t="s">
        <v>110</v>
      </c>
      <c r="C331" t="s">
        <v>163</v>
      </c>
      <c r="E331" s="8">
        <v>5</v>
      </c>
      <c r="F331" s="1">
        <v>1843.8</v>
      </c>
      <c r="G331" t="s">
        <v>236</v>
      </c>
      <c r="H331">
        <v>1.21</v>
      </c>
      <c r="J331" s="2">
        <f>+DATAIN_COMPRAS__2[[#This Row],[$/ UN NETO]]*DATAIN_COMPRAS__2[[#This Row],[IVA]]</f>
        <v>2230.998</v>
      </c>
      <c r="K331" s="7">
        <f>(E331*F331)*(1-I331)*(H331)</f>
        <v>11154.99</v>
      </c>
      <c r="L331" t="s">
        <v>158</v>
      </c>
    </row>
    <row r="332" spans="1:12" x14ac:dyDescent="0.35">
      <c r="A332" s="13">
        <v>45761</v>
      </c>
      <c r="B332" t="s">
        <v>110</v>
      </c>
      <c r="C332" t="s">
        <v>170</v>
      </c>
      <c r="E332">
        <v>5</v>
      </c>
      <c r="F332" s="1">
        <f>9297.52/5</f>
        <v>1859.5040000000001</v>
      </c>
      <c r="G332" t="s">
        <v>236</v>
      </c>
      <c r="H332">
        <v>1.21</v>
      </c>
      <c r="J332" s="2">
        <f>+DATAIN_COMPRAS__2[[#This Row],[$/ UN NETO]]*DATAIN_COMPRAS__2[[#This Row],[IVA]]</f>
        <v>2249.9998399999999</v>
      </c>
      <c r="K332" s="7">
        <f>E332*F332*(1-I332)*(H332)</f>
        <v>11249.9992</v>
      </c>
      <c r="L332" t="s">
        <v>158</v>
      </c>
    </row>
    <row r="333" spans="1:12" x14ac:dyDescent="0.35">
      <c r="A333" s="13">
        <v>45761</v>
      </c>
      <c r="B333" t="s">
        <v>110</v>
      </c>
      <c r="C333" t="s">
        <v>170</v>
      </c>
      <c r="E333" s="8">
        <v>5</v>
      </c>
      <c r="F333" s="1">
        <f>9297.52/5</f>
        <v>1859.5040000000001</v>
      </c>
      <c r="G333" t="s">
        <v>236</v>
      </c>
      <c r="H333">
        <v>1.21</v>
      </c>
      <c r="J333" s="2">
        <f>+DATAIN_COMPRAS__2[[#This Row],[$/ UN NETO]]*DATAIN_COMPRAS__2[[#This Row],[IVA]]</f>
        <v>2249.9998399999999</v>
      </c>
      <c r="K333" s="7">
        <f>(E333*F333)*(1-I333)*(H333)</f>
        <v>11249.9992</v>
      </c>
      <c r="L333" t="s">
        <v>158</v>
      </c>
    </row>
    <row r="334" spans="1:12" x14ac:dyDescent="0.35">
      <c r="A334" s="13">
        <v>45761</v>
      </c>
      <c r="B334" t="s">
        <v>110</v>
      </c>
      <c r="C334" t="s">
        <v>168</v>
      </c>
      <c r="E334">
        <v>0.5</v>
      </c>
      <c r="F334" s="1">
        <f>4800*2</f>
        <v>9600</v>
      </c>
      <c r="G334" t="s">
        <v>236</v>
      </c>
      <c r="H334">
        <v>1.21</v>
      </c>
      <c r="J334" s="2">
        <f>+DATAIN_COMPRAS__2[[#This Row],[$/ UN NETO]]*DATAIN_COMPRAS__2[[#This Row],[IVA]]</f>
        <v>11616</v>
      </c>
      <c r="K334" s="7">
        <f>E334*F334*(1-I334)*(H334)</f>
        <v>5808</v>
      </c>
      <c r="L334" t="s">
        <v>158</v>
      </c>
    </row>
    <row r="335" spans="1:12" x14ac:dyDescent="0.35">
      <c r="A335" s="13">
        <v>45761</v>
      </c>
      <c r="B335" t="s">
        <v>110</v>
      </c>
      <c r="C335" t="s">
        <v>168</v>
      </c>
      <c r="E335" s="8">
        <v>0.5</v>
      </c>
      <c r="F335" s="1">
        <f>4800*2</f>
        <v>9600</v>
      </c>
      <c r="G335" t="s">
        <v>236</v>
      </c>
      <c r="H335">
        <v>1.21</v>
      </c>
      <c r="J335" s="2">
        <f>+DATAIN_COMPRAS__2[[#This Row],[$/ UN NETO]]*DATAIN_COMPRAS__2[[#This Row],[IVA]]</f>
        <v>11616</v>
      </c>
      <c r="K335" s="7">
        <f>(E335*F335)*(1-I335)*(H335)</f>
        <v>5808</v>
      </c>
      <c r="L335" t="s">
        <v>158</v>
      </c>
    </row>
    <row r="336" spans="1:12" x14ac:dyDescent="0.35">
      <c r="A336" s="13">
        <v>45761</v>
      </c>
      <c r="B336" t="s">
        <v>102</v>
      </c>
      <c r="C336" s="14" t="s">
        <v>103</v>
      </c>
      <c r="E336">
        <f>12*30</f>
        <v>360</v>
      </c>
      <c r="F336" s="1">
        <f>(76000/DATAIN_COMPRAS__2[[#This Row],[CANT]])/1.21</f>
        <v>174.47199265381084</v>
      </c>
      <c r="H336">
        <v>1.21</v>
      </c>
      <c r="J336" s="2">
        <f>+DATAIN_COMPRAS__2[[#This Row],[$/ UN NETO]]*DATAIN_COMPRAS__2[[#This Row],[IVA]]</f>
        <v>211.11111111111111</v>
      </c>
      <c r="K336" s="7">
        <f t="shared" ref="K336:K342" si="4">E336*F336*(1-I336)*(H336)</f>
        <v>76000</v>
      </c>
      <c r="L336" t="s">
        <v>158</v>
      </c>
    </row>
    <row r="337" spans="1:12" x14ac:dyDescent="0.35">
      <c r="A337" s="13">
        <v>45761</v>
      </c>
      <c r="B337" t="s">
        <v>102</v>
      </c>
      <c r="C337" s="14" t="s">
        <v>103</v>
      </c>
      <c r="E337">
        <v>360</v>
      </c>
      <c r="F337" s="1">
        <f>(76000/DATAIN_COMPRAS__2[[#This Row],[CANT]])/1.21</f>
        <v>174.47199265381084</v>
      </c>
      <c r="H337">
        <v>1.21</v>
      </c>
      <c r="J337" s="2">
        <f>+DATAIN_COMPRAS__2[[#This Row],[$/ UN NETO]]*DATAIN_COMPRAS__2[[#This Row],[IVA]]</f>
        <v>211.11111111111111</v>
      </c>
      <c r="K337" s="7">
        <f t="shared" si="4"/>
        <v>76000</v>
      </c>
      <c r="L337" t="s">
        <v>237</v>
      </c>
    </row>
    <row r="338" spans="1:12" x14ac:dyDescent="0.35">
      <c r="A338" s="13">
        <v>45761</v>
      </c>
      <c r="B338" t="s">
        <v>12</v>
      </c>
      <c r="C338" t="s">
        <v>38</v>
      </c>
      <c r="E338" s="8">
        <v>2</v>
      </c>
      <c r="F338" s="1">
        <f>800/DATAIN_COMPRAS__2[[#This Row],[IVA]]</f>
        <v>723.98190045248873</v>
      </c>
      <c r="H338">
        <v>1.105</v>
      </c>
      <c r="J338" s="2">
        <f>+DATAIN_COMPRAS__2[[#This Row],[$/ UN NETO]]*DATAIN_COMPRAS__2[[#This Row],[IVA]]</f>
        <v>800</v>
      </c>
      <c r="K338" s="7">
        <f t="shared" si="4"/>
        <v>1600</v>
      </c>
      <c r="L338" t="s">
        <v>237</v>
      </c>
    </row>
    <row r="339" spans="1:12" x14ac:dyDescent="0.35">
      <c r="A339" s="13">
        <v>45761</v>
      </c>
      <c r="B339" t="s">
        <v>12</v>
      </c>
      <c r="C339" t="s">
        <v>46</v>
      </c>
      <c r="E339" s="8">
        <v>2</v>
      </c>
      <c r="F339" s="1">
        <f>1300/DATAIN_COMPRAS__2[[#This Row],[IVA]]</f>
        <v>1176.4705882352941</v>
      </c>
      <c r="H339">
        <v>1.105</v>
      </c>
      <c r="J339" s="2">
        <f>+DATAIN_COMPRAS__2[[#This Row],[$/ UN NETO]]*DATAIN_COMPRAS__2[[#This Row],[IVA]]</f>
        <v>1300</v>
      </c>
      <c r="K339" s="7">
        <f t="shared" si="4"/>
        <v>2600</v>
      </c>
      <c r="L339" t="s">
        <v>237</v>
      </c>
    </row>
    <row r="340" spans="1:12" x14ac:dyDescent="0.35">
      <c r="A340" s="13">
        <v>45761</v>
      </c>
      <c r="B340" t="s">
        <v>12</v>
      </c>
      <c r="C340" t="s">
        <v>40</v>
      </c>
      <c r="E340" s="8">
        <v>2.99</v>
      </c>
      <c r="F340" s="1">
        <f>1200/DATAIN_COMPRAS__2[[#This Row],[IVA]]</f>
        <v>1085.972850678733</v>
      </c>
      <c r="H340">
        <v>1.105</v>
      </c>
      <c r="J340" s="2">
        <f>+DATAIN_COMPRAS__2[[#This Row],[$/ UN NETO]]*DATAIN_COMPRAS__2[[#This Row],[IVA]]</f>
        <v>1200</v>
      </c>
      <c r="K340" s="7">
        <f t="shared" si="4"/>
        <v>3588.0000000000005</v>
      </c>
      <c r="L340" t="s">
        <v>237</v>
      </c>
    </row>
    <row r="341" spans="1:12" x14ac:dyDescent="0.35">
      <c r="A341" s="13">
        <v>45761</v>
      </c>
      <c r="B341" t="s">
        <v>12</v>
      </c>
      <c r="C341" t="s">
        <v>37</v>
      </c>
      <c r="E341" s="8">
        <v>2</v>
      </c>
      <c r="F341" s="1">
        <f>800/DATAIN_COMPRAS__2[[#This Row],[IVA]]</f>
        <v>723.98190045248873</v>
      </c>
      <c r="H341">
        <v>1.105</v>
      </c>
      <c r="J341" s="2">
        <f>+DATAIN_COMPRAS__2[[#This Row],[$/ UN NETO]]*DATAIN_COMPRAS__2[[#This Row],[IVA]]</f>
        <v>800</v>
      </c>
      <c r="K341" s="7">
        <f t="shared" si="4"/>
        <v>1600</v>
      </c>
      <c r="L341" t="s">
        <v>237</v>
      </c>
    </row>
    <row r="342" spans="1:12" x14ac:dyDescent="0.35">
      <c r="A342" s="13">
        <v>45761</v>
      </c>
      <c r="B342" t="s">
        <v>12</v>
      </c>
      <c r="C342" t="s">
        <v>44</v>
      </c>
      <c r="E342" s="8">
        <v>1</v>
      </c>
      <c r="F342" s="1">
        <f>3800/DATAIN_COMPRAS__2[[#This Row],[IVA]]</f>
        <v>3438.9140271493211</v>
      </c>
      <c r="H342">
        <v>1.105</v>
      </c>
      <c r="J342" s="2">
        <f>+DATAIN_COMPRAS__2[[#This Row],[$/ UN NETO]]*DATAIN_COMPRAS__2[[#This Row],[IVA]]</f>
        <v>3799.9999999999995</v>
      </c>
      <c r="K342" s="7">
        <f t="shared" si="4"/>
        <v>3799.9999999999995</v>
      </c>
      <c r="L342" t="s">
        <v>158</v>
      </c>
    </row>
    <row r="343" spans="1:12" x14ac:dyDescent="0.35">
      <c r="A343" s="13">
        <v>45761</v>
      </c>
      <c r="B343" t="s">
        <v>12</v>
      </c>
      <c r="C343" t="s">
        <v>44</v>
      </c>
      <c r="E343" s="8">
        <v>1</v>
      </c>
      <c r="F343" s="1">
        <f>3800/DATAIN_COMPRAS__2[[#This Row],[IVA]]</f>
        <v>3438.9140271493211</v>
      </c>
      <c r="G343" t="s">
        <v>236</v>
      </c>
      <c r="H343">
        <v>1.105</v>
      </c>
      <c r="J343" s="2">
        <f>+DATAIN_COMPRAS__2[[#This Row],[$/ UN NETO]]*DATAIN_COMPRAS__2[[#This Row],[IVA]]</f>
        <v>3799.9999999999995</v>
      </c>
      <c r="K343" s="7">
        <f>(E343*F343)*(1-I343)*(H343)</f>
        <v>3799.9999999999995</v>
      </c>
      <c r="L343" t="s">
        <v>158</v>
      </c>
    </row>
    <row r="344" spans="1:12" x14ac:dyDescent="0.35">
      <c r="A344" s="13">
        <v>45761</v>
      </c>
      <c r="B344" t="s">
        <v>12</v>
      </c>
      <c r="C344" t="s">
        <v>24</v>
      </c>
      <c r="E344" s="8">
        <v>1</v>
      </c>
      <c r="F344" s="1">
        <f>2800/DATAIN_COMPRAS__2[[#This Row],[IVA]]</f>
        <v>2533.9366515837105</v>
      </c>
      <c r="H344">
        <v>1.105</v>
      </c>
      <c r="J344" s="2">
        <f>+DATAIN_COMPRAS__2[[#This Row],[$/ UN NETO]]*DATAIN_COMPRAS__2[[#This Row],[IVA]]</f>
        <v>2800</v>
      </c>
      <c r="K344" s="7">
        <f>E344*F344*(1-I344)*(H344)</f>
        <v>2800</v>
      </c>
      <c r="L344" t="s">
        <v>158</v>
      </c>
    </row>
    <row r="345" spans="1:12" x14ac:dyDescent="0.35">
      <c r="A345" s="13">
        <v>45761</v>
      </c>
      <c r="B345" t="s">
        <v>12</v>
      </c>
      <c r="C345" t="s">
        <v>24</v>
      </c>
      <c r="E345" s="8">
        <v>1</v>
      </c>
      <c r="F345" s="1">
        <f>2800/DATAIN_COMPRAS__2[[#This Row],[IVA]]</f>
        <v>2533.9366515837105</v>
      </c>
      <c r="G345" t="s">
        <v>236</v>
      </c>
      <c r="H345">
        <v>1.105</v>
      </c>
      <c r="J345" s="2">
        <f>+DATAIN_COMPRAS__2[[#This Row],[$/ UN NETO]]*DATAIN_COMPRAS__2[[#This Row],[IVA]]</f>
        <v>2800</v>
      </c>
      <c r="K345" s="7">
        <f>(E345*F345)*(1-I345)*(H345)</f>
        <v>2800</v>
      </c>
      <c r="L345" t="s">
        <v>158</v>
      </c>
    </row>
    <row r="346" spans="1:12" x14ac:dyDescent="0.35">
      <c r="A346" s="13">
        <v>45761</v>
      </c>
      <c r="B346" t="s">
        <v>12</v>
      </c>
      <c r="C346" t="s">
        <v>39</v>
      </c>
      <c r="E346" s="8">
        <v>0.72</v>
      </c>
      <c r="F346" s="1">
        <f>3300/DATAIN_COMPRAS__2[[#This Row],[IVA]]</f>
        <v>2986.4253393665158</v>
      </c>
      <c r="H346">
        <v>1.105</v>
      </c>
      <c r="J346" s="2">
        <f>+DATAIN_COMPRAS__2[[#This Row],[$/ UN NETO]]*DATAIN_COMPRAS__2[[#This Row],[IVA]]</f>
        <v>3300</v>
      </c>
      <c r="K346" s="7">
        <f>E346*F346*(1-I346)*(H346)</f>
        <v>2376</v>
      </c>
      <c r="L346" t="s">
        <v>237</v>
      </c>
    </row>
    <row r="347" spans="1:12" x14ac:dyDescent="0.35">
      <c r="A347" s="13">
        <v>45761</v>
      </c>
      <c r="B347" t="s">
        <v>12</v>
      </c>
      <c r="C347" t="s">
        <v>16</v>
      </c>
      <c r="E347" s="8">
        <v>2</v>
      </c>
      <c r="F347" s="1">
        <f>1600/DATAIN_COMPRAS__2[[#This Row],[IVA]]</f>
        <v>1447.9638009049775</v>
      </c>
      <c r="H347">
        <v>1.105</v>
      </c>
      <c r="J347" s="2">
        <f>+DATAIN_COMPRAS__2[[#This Row],[$/ UN NETO]]*DATAIN_COMPRAS__2[[#This Row],[IVA]]</f>
        <v>1600</v>
      </c>
      <c r="K347" s="7">
        <f>E347*F347*(1-I347)*(H347)</f>
        <v>3200</v>
      </c>
      <c r="L347" t="s">
        <v>158</v>
      </c>
    </row>
    <row r="348" spans="1:12" x14ac:dyDescent="0.35">
      <c r="A348" s="13">
        <v>45761</v>
      </c>
      <c r="B348" t="s">
        <v>12</v>
      </c>
      <c r="C348" t="s">
        <v>16</v>
      </c>
      <c r="E348" s="8">
        <v>2</v>
      </c>
      <c r="F348" s="1">
        <f>1600/DATAIN_COMPRAS__2[[#This Row],[IVA]]</f>
        <v>1447.9638009049775</v>
      </c>
      <c r="G348" t="s">
        <v>236</v>
      </c>
      <c r="H348">
        <v>1.105</v>
      </c>
      <c r="J348" s="2">
        <f>+DATAIN_COMPRAS__2[[#This Row],[$/ UN NETO]]*DATAIN_COMPRAS__2[[#This Row],[IVA]]</f>
        <v>1600</v>
      </c>
      <c r="K348" s="7">
        <f>(E348*F348)*(1-I348)*(H348)</f>
        <v>3200</v>
      </c>
      <c r="L348" t="s">
        <v>158</v>
      </c>
    </row>
    <row r="349" spans="1:12" x14ac:dyDescent="0.35">
      <c r="A349" s="13">
        <v>45761</v>
      </c>
      <c r="B349" t="s">
        <v>12</v>
      </c>
      <c r="C349" t="s">
        <v>15</v>
      </c>
      <c r="E349" s="8">
        <v>2</v>
      </c>
      <c r="F349" s="1">
        <f>2200/DATAIN_COMPRAS__2[[#This Row],[IVA]]</f>
        <v>1990.9502262443439</v>
      </c>
      <c r="H349">
        <v>1.105</v>
      </c>
      <c r="J349" s="2">
        <f>+DATAIN_COMPRAS__2[[#This Row],[$/ UN NETO]]*DATAIN_COMPRAS__2[[#This Row],[IVA]]</f>
        <v>2200</v>
      </c>
      <c r="K349" s="7">
        <f>E349*F349*(1-I349)*(H349)</f>
        <v>4400</v>
      </c>
      <c r="L349" t="s">
        <v>158</v>
      </c>
    </row>
    <row r="350" spans="1:12" x14ac:dyDescent="0.35">
      <c r="A350" s="13">
        <v>45761</v>
      </c>
      <c r="B350" t="s">
        <v>12</v>
      </c>
      <c r="C350" t="s">
        <v>15</v>
      </c>
      <c r="E350" s="8">
        <v>2</v>
      </c>
      <c r="F350" s="1">
        <f>2200/DATAIN_COMPRAS__2[[#This Row],[IVA]]</f>
        <v>1990.9502262443439</v>
      </c>
      <c r="G350" t="s">
        <v>236</v>
      </c>
      <c r="H350">
        <v>1.105</v>
      </c>
      <c r="J350" s="2">
        <f>+DATAIN_COMPRAS__2[[#This Row],[$/ UN NETO]]*DATAIN_COMPRAS__2[[#This Row],[IVA]]</f>
        <v>2200</v>
      </c>
      <c r="K350" s="7">
        <f>(E350*F350)*(1-I350)*(H350)</f>
        <v>4400</v>
      </c>
      <c r="L350" t="s">
        <v>158</v>
      </c>
    </row>
    <row r="351" spans="1:12" x14ac:dyDescent="0.35">
      <c r="A351" s="13">
        <v>45761</v>
      </c>
      <c r="B351" t="s">
        <v>12</v>
      </c>
      <c r="C351" t="s">
        <v>32</v>
      </c>
      <c r="E351" s="8">
        <v>6</v>
      </c>
      <c r="F351" s="1">
        <f>1000/DATAIN_COMPRAS__2[[#This Row],[IVA]]</f>
        <v>904.97737556561083</v>
      </c>
      <c r="G351" t="s">
        <v>236</v>
      </c>
      <c r="H351">
        <v>1.105</v>
      </c>
      <c r="J351" s="2">
        <f>+DATAIN_COMPRAS__2[[#This Row],[$/ UN NETO]]*DATAIN_COMPRAS__2[[#This Row],[IVA]]</f>
        <v>1000</v>
      </c>
      <c r="K351" s="7">
        <f>(E351*F351)*(1-I351)*(H351)</f>
        <v>6000</v>
      </c>
      <c r="L351" t="s">
        <v>158</v>
      </c>
    </row>
    <row r="352" spans="1:12" x14ac:dyDescent="0.35">
      <c r="A352" s="13">
        <v>45761</v>
      </c>
      <c r="B352" t="s">
        <v>12</v>
      </c>
      <c r="C352" t="s">
        <v>13</v>
      </c>
      <c r="E352" s="8">
        <v>1</v>
      </c>
      <c r="F352" s="1">
        <f>15000/DATAIN_COMPRAS__2[[#This Row],[IVA]]</f>
        <v>13574.660633484164</v>
      </c>
      <c r="H352">
        <v>1.105</v>
      </c>
      <c r="J352" s="2">
        <f>+DATAIN_COMPRAS__2[[#This Row],[$/ UN NETO]]*DATAIN_COMPRAS__2[[#This Row],[IVA]]</f>
        <v>15000</v>
      </c>
      <c r="K352" s="7">
        <f t="shared" ref="K352:K357" si="5">E352*F352*(1-I352)*(H352)</f>
        <v>15000</v>
      </c>
      <c r="L352" t="s">
        <v>237</v>
      </c>
    </row>
    <row r="353" spans="1:12" x14ac:dyDescent="0.35">
      <c r="A353" s="13">
        <v>45761</v>
      </c>
      <c r="B353" t="s">
        <v>12</v>
      </c>
      <c r="C353" t="s">
        <v>253</v>
      </c>
      <c r="E353" s="8">
        <v>6</v>
      </c>
      <c r="F353" s="1">
        <f>1000/DATAIN_COMPRAS__2[[#This Row],[IVA]]</f>
        <v>904.97737556561083</v>
      </c>
      <c r="H353">
        <v>1.105</v>
      </c>
      <c r="J353" s="2">
        <f>+DATAIN_COMPRAS__2[[#This Row],[$/ UN NETO]]*DATAIN_COMPRAS__2[[#This Row],[IVA]]</f>
        <v>1000</v>
      </c>
      <c r="K353" s="7">
        <f t="shared" si="5"/>
        <v>6000</v>
      </c>
      <c r="L353" t="s">
        <v>158</v>
      </c>
    </row>
    <row r="354" spans="1:12" x14ac:dyDescent="0.35">
      <c r="A354" s="13">
        <v>45761</v>
      </c>
      <c r="B354" t="s">
        <v>12</v>
      </c>
      <c r="C354" t="s">
        <v>19</v>
      </c>
      <c r="E354" s="8">
        <v>3.49</v>
      </c>
      <c r="F354" s="1">
        <f>7800/DATAIN_COMPRAS__2[[#This Row],[IVA]]</f>
        <v>7058.8235294117649</v>
      </c>
      <c r="H354">
        <v>1.105</v>
      </c>
      <c r="I354">
        <v>0.06</v>
      </c>
      <c r="J354" s="2">
        <f>+DATAIN_COMPRAS__2[[#This Row],[$/ UN NETO]]*DATAIN_COMPRAS__2[[#This Row],[IVA]]</f>
        <v>7800</v>
      </c>
      <c r="K354" s="7">
        <f t="shared" si="5"/>
        <v>25588.679999999997</v>
      </c>
      <c r="L354" t="s">
        <v>237</v>
      </c>
    </row>
    <row r="355" spans="1:12" x14ac:dyDescent="0.35">
      <c r="A355" s="13">
        <v>45761</v>
      </c>
      <c r="B355" t="s">
        <v>12</v>
      </c>
      <c r="C355" t="s">
        <v>21</v>
      </c>
      <c r="E355" s="8">
        <v>3</v>
      </c>
      <c r="F355" s="1">
        <f>750/DATAIN_COMPRAS__2[[#This Row],[IVA]]</f>
        <v>678.73303167420818</v>
      </c>
      <c r="H355">
        <v>1.105</v>
      </c>
      <c r="J355" s="2">
        <f>+DATAIN_COMPRAS__2[[#This Row],[$/ UN NETO]]*DATAIN_COMPRAS__2[[#This Row],[IVA]]</f>
        <v>750</v>
      </c>
      <c r="K355" s="7">
        <f t="shared" si="5"/>
        <v>2250</v>
      </c>
      <c r="L355" t="s">
        <v>237</v>
      </c>
    </row>
    <row r="356" spans="1:12" x14ac:dyDescent="0.35">
      <c r="A356" s="13">
        <v>45761</v>
      </c>
      <c r="B356" t="s">
        <v>12</v>
      </c>
      <c r="C356" t="s">
        <v>17</v>
      </c>
      <c r="E356" s="8">
        <v>2</v>
      </c>
      <c r="F356" s="1">
        <f>1600/DATAIN_COMPRAS__2[[#This Row],[IVA]]</f>
        <v>1447.9638009049775</v>
      </c>
      <c r="H356">
        <v>1.105</v>
      </c>
      <c r="J356" s="2">
        <f>+DATAIN_COMPRAS__2[[#This Row],[$/ UN NETO]]*DATAIN_COMPRAS__2[[#This Row],[IVA]]</f>
        <v>1600</v>
      </c>
      <c r="K356" s="7">
        <f t="shared" si="5"/>
        <v>3200</v>
      </c>
      <c r="L356" t="s">
        <v>237</v>
      </c>
    </row>
    <row r="357" spans="1:12" x14ac:dyDescent="0.35">
      <c r="A357" s="13">
        <v>45761</v>
      </c>
      <c r="B357" t="s">
        <v>12</v>
      </c>
      <c r="C357" t="s">
        <v>17</v>
      </c>
      <c r="E357" s="8">
        <v>2</v>
      </c>
      <c r="F357" s="1">
        <f>1600/DATAIN_COMPRAS__2[[#This Row],[IVA]]</f>
        <v>1447.9638009049775</v>
      </c>
      <c r="H357">
        <v>1.105</v>
      </c>
      <c r="J357" s="2">
        <f>+DATAIN_COMPRAS__2[[#This Row],[$/ UN NETO]]*DATAIN_COMPRAS__2[[#This Row],[IVA]]</f>
        <v>1600</v>
      </c>
      <c r="K357" s="7">
        <f t="shared" si="5"/>
        <v>3200</v>
      </c>
      <c r="L357" t="s">
        <v>158</v>
      </c>
    </row>
    <row r="358" spans="1:12" x14ac:dyDescent="0.35">
      <c r="A358" s="13">
        <v>45761</v>
      </c>
      <c r="B358" t="s">
        <v>12</v>
      </c>
      <c r="C358" t="s">
        <v>17</v>
      </c>
      <c r="E358" s="8">
        <v>2</v>
      </c>
      <c r="F358" s="1">
        <f>1600/DATAIN_COMPRAS__2[[#This Row],[IVA]]</f>
        <v>1447.9638009049775</v>
      </c>
      <c r="G358" t="s">
        <v>236</v>
      </c>
      <c r="H358">
        <v>1.105</v>
      </c>
      <c r="J358" s="2">
        <f>+DATAIN_COMPRAS__2[[#This Row],[$/ UN NETO]]*DATAIN_COMPRAS__2[[#This Row],[IVA]]</f>
        <v>1600</v>
      </c>
      <c r="K358" s="7">
        <f>(E358*F358)*(1-I358)*(H358)</f>
        <v>3200</v>
      </c>
      <c r="L358" t="s">
        <v>158</v>
      </c>
    </row>
    <row r="359" spans="1:12" x14ac:dyDescent="0.35">
      <c r="A359" s="13">
        <v>45761</v>
      </c>
      <c r="B359" t="s">
        <v>12</v>
      </c>
      <c r="C359" t="s">
        <v>241</v>
      </c>
      <c r="E359" s="8">
        <v>1</v>
      </c>
      <c r="F359" s="1">
        <f>5800/DATAIN_COMPRAS__2[[#This Row],[IVA]]</f>
        <v>5248.8687782805428</v>
      </c>
      <c r="H359">
        <v>1.105</v>
      </c>
      <c r="J359" s="2">
        <f>+DATAIN_COMPRAS__2[[#This Row],[$/ UN NETO]]*DATAIN_COMPRAS__2[[#This Row],[IVA]]</f>
        <v>5800</v>
      </c>
      <c r="K359" s="7">
        <f t="shared" ref="K359:K365" si="6">E359*F359*(1-I359)*(H359)</f>
        <v>5800</v>
      </c>
      <c r="L359" t="s">
        <v>237</v>
      </c>
    </row>
    <row r="360" spans="1:12" x14ac:dyDescent="0.35">
      <c r="A360" s="13">
        <v>45761</v>
      </c>
      <c r="B360" t="s">
        <v>12</v>
      </c>
      <c r="C360" t="s">
        <v>47</v>
      </c>
      <c r="E360" s="8">
        <v>1</v>
      </c>
      <c r="F360" s="1">
        <f>1800/DATAIN_COMPRAS__2[[#This Row],[IVA]]</f>
        <v>1628.9592760180997</v>
      </c>
      <c r="H360">
        <v>1.105</v>
      </c>
      <c r="J360" s="2">
        <f>+DATAIN_COMPRAS__2[[#This Row],[$/ UN NETO]]*DATAIN_COMPRAS__2[[#This Row],[IVA]]</f>
        <v>1800</v>
      </c>
      <c r="K360" s="7">
        <f t="shared" si="6"/>
        <v>1800</v>
      </c>
      <c r="L360" t="s">
        <v>237</v>
      </c>
    </row>
    <row r="361" spans="1:12" x14ac:dyDescent="0.35">
      <c r="A361" s="13">
        <v>45761</v>
      </c>
      <c r="B361" t="s">
        <v>12</v>
      </c>
      <c r="C361" t="s">
        <v>28</v>
      </c>
      <c r="E361" s="8">
        <v>1</v>
      </c>
      <c r="F361" s="1">
        <f>1800/DATAIN_COMPRAS__2[[#This Row],[IVA]]</f>
        <v>1628.9592760180997</v>
      </c>
      <c r="H361">
        <v>1.105</v>
      </c>
      <c r="J361" s="2">
        <f>+DATAIN_COMPRAS__2[[#This Row],[$/ UN NETO]]*DATAIN_COMPRAS__2[[#This Row],[IVA]]</f>
        <v>1800</v>
      </c>
      <c r="K361" s="7">
        <f t="shared" si="6"/>
        <v>1800</v>
      </c>
      <c r="L361" t="s">
        <v>237</v>
      </c>
    </row>
    <row r="362" spans="1:12" x14ac:dyDescent="0.35">
      <c r="A362" s="13">
        <v>45761</v>
      </c>
      <c r="B362" t="s">
        <v>12</v>
      </c>
      <c r="C362" t="s">
        <v>18</v>
      </c>
      <c r="E362" s="8">
        <v>2</v>
      </c>
      <c r="F362" s="1">
        <f>6800/DATAIN_COMPRAS__2[[#This Row],[IVA]]</f>
        <v>6153.8461538461543</v>
      </c>
      <c r="H362">
        <v>1.105</v>
      </c>
      <c r="J362" s="2">
        <f>+DATAIN_COMPRAS__2[[#This Row],[$/ UN NETO]]*DATAIN_COMPRAS__2[[#This Row],[IVA]]</f>
        <v>6800</v>
      </c>
      <c r="K362" s="7">
        <f t="shared" si="6"/>
        <v>13600</v>
      </c>
      <c r="L362" t="s">
        <v>237</v>
      </c>
    </row>
    <row r="363" spans="1:12" x14ac:dyDescent="0.35">
      <c r="A363" s="13">
        <v>45761</v>
      </c>
      <c r="B363" t="s">
        <v>12</v>
      </c>
      <c r="C363" t="s">
        <v>20</v>
      </c>
      <c r="E363" s="8">
        <v>2</v>
      </c>
      <c r="F363" s="1">
        <f>1600/DATAIN_COMPRAS__2[[#This Row],[IVA]]</f>
        <v>1447.9638009049775</v>
      </c>
      <c r="H363">
        <v>1.105</v>
      </c>
      <c r="J363" s="2">
        <f>+DATAIN_COMPRAS__2[[#This Row],[$/ UN NETO]]*DATAIN_COMPRAS__2[[#This Row],[IVA]]</f>
        <v>1600</v>
      </c>
      <c r="K363" s="7">
        <f t="shared" si="6"/>
        <v>3200</v>
      </c>
      <c r="L363" t="s">
        <v>237</v>
      </c>
    </row>
    <row r="364" spans="1:12" x14ac:dyDescent="0.35">
      <c r="A364" s="13">
        <v>45761</v>
      </c>
      <c r="B364" t="s">
        <v>12</v>
      </c>
      <c r="C364" t="s">
        <v>30</v>
      </c>
      <c r="E364" s="8">
        <v>2</v>
      </c>
      <c r="F364" s="1">
        <f>1300/DATAIN_COMPRAS__2[[#This Row],[IVA]]</f>
        <v>1176.4705882352941</v>
      </c>
      <c r="H364">
        <v>1.105</v>
      </c>
      <c r="J364" s="2">
        <f>+DATAIN_COMPRAS__2[[#This Row],[$/ UN NETO]]*DATAIN_COMPRAS__2[[#This Row],[IVA]]</f>
        <v>1300</v>
      </c>
      <c r="K364" s="7">
        <f t="shared" si="6"/>
        <v>2600</v>
      </c>
      <c r="L364" t="s">
        <v>237</v>
      </c>
    </row>
    <row r="365" spans="1:12" x14ac:dyDescent="0.35">
      <c r="A365" s="13">
        <v>45761</v>
      </c>
      <c r="B365" t="s">
        <v>12</v>
      </c>
      <c r="C365" t="s">
        <v>30</v>
      </c>
      <c r="E365" s="8">
        <v>2</v>
      </c>
      <c r="F365" s="1">
        <f>1300/DATAIN_COMPRAS__2[[#This Row],[IVA]]</f>
        <v>1176.4705882352941</v>
      </c>
      <c r="H365">
        <v>1.105</v>
      </c>
      <c r="J365" s="2">
        <f>+DATAIN_COMPRAS__2[[#This Row],[$/ UN NETO]]*DATAIN_COMPRAS__2[[#This Row],[IVA]]</f>
        <v>1300</v>
      </c>
      <c r="K365" s="7">
        <f t="shared" si="6"/>
        <v>2600</v>
      </c>
      <c r="L365" t="s">
        <v>158</v>
      </c>
    </row>
    <row r="366" spans="1:12" x14ac:dyDescent="0.35">
      <c r="A366" s="13">
        <v>45761</v>
      </c>
      <c r="B366" t="s">
        <v>12</v>
      </c>
      <c r="C366" t="s">
        <v>30</v>
      </c>
      <c r="E366" s="8">
        <v>2</v>
      </c>
      <c r="F366" s="1">
        <f>1300/DATAIN_COMPRAS__2[[#This Row],[IVA]]</f>
        <v>1176.4705882352941</v>
      </c>
      <c r="G366" t="s">
        <v>236</v>
      </c>
      <c r="H366">
        <v>1.105</v>
      </c>
      <c r="J366" s="2">
        <f>+DATAIN_COMPRAS__2[[#This Row],[$/ UN NETO]]*DATAIN_COMPRAS__2[[#This Row],[IVA]]</f>
        <v>1300</v>
      </c>
      <c r="K366" s="7">
        <f>(E366*F366)*(1-I366)*(H366)</f>
        <v>2600</v>
      </c>
      <c r="L366" t="s">
        <v>158</v>
      </c>
    </row>
    <row r="367" spans="1:12" x14ac:dyDescent="0.35">
      <c r="A367" s="13">
        <v>45761</v>
      </c>
      <c r="B367" t="s">
        <v>12</v>
      </c>
      <c r="C367" t="s">
        <v>22</v>
      </c>
      <c r="E367" s="8">
        <v>2</v>
      </c>
      <c r="F367" s="1">
        <f>2100/DATAIN_COMPRAS__2[[#This Row],[IVA]]</f>
        <v>1900.4524886877828</v>
      </c>
      <c r="H367">
        <v>1.105</v>
      </c>
      <c r="J367" s="2">
        <f>+DATAIN_COMPRAS__2[[#This Row],[$/ UN NETO]]*DATAIN_COMPRAS__2[[#This Row],[IVA]]</f>
        <v>2100</v>
      </c>
      <c r="K367" s="7">
        <f>E367*F367*(1-I367)*(H367)</f>
        <v>4200</v>
      </c>
      <c r="L367" t="s">
        <v>237</v>
      </c>
    </row>
    <row r="368" spans="1:12" x14ac:dyDescent="0.35">
      <c r="A368" s="13">
        <v>45762</v>
      </c>
      <c r="B368" t="s">
        <v>75</v>
      </c>
      <c r="C368" t="s">
        <v>76</v>
      </c>
      <c r="E368" s="8">
        <v>120</v>
      </c>
      <c r="F368" s="1">
        <v>1101.4100000000001</v>
      </c>
      <c r="G368" t="s">
        <v>236</v>
      </c>
      <c r="H368">
        <v>1.21</v>
      </c>
      <c r="J368" s="2">
        <f>+DATAIN_COMPRAS__2[[#This Row],[$/ UN NETO]]*DATAIN_COMPRAS__2[[#This Row],[IVA]]</f>
        <v>1332.7061000000001</v>
      </c>
      <c r="K368" s="7">
        <f>E368*F368*(1-I368)*(H368)</f>
        <v>159924.73200000002</v>
      </c>
      <c r="L368" t="s">
        <v>237</v>
      </c>
    </row>
    <row r="369" spans="1:12" x14ac:dyDescent="0.35">
      <c r="A369" s="13">
        <v>45763</v>
      </c>
      <c r="B369" t="s">
        <v>48</v>
      </c>
      <c r="C369" t="s">
        <v>254</v>
      </c>
      <c r="E369" s="8">
        <v>3.21</v>
      </c>
      <c r="F369" s="1">
        <v>10438.9</v>
      </c>
      <c r="G369" t="s">
        <v>236</v>
      </c>
      <c r="H369">
        <v>1.21</v>
      </c>
      <c r="I369">
        <v>0.06</v>
      </c>
      <c r="J369" s="2">
        <f>+DATAIN_COMPRAS__2[[#This Row],[$/ UN NETO]]*DATAIN_COMPRAS__2[[#This Row],[IVA]]</f>
        <v>12631.069</v>
      </c>
      <c r="K369" s="7">
        <f>(E369*F369)*(1-I369)*(H369)</f>
        <v>38112.98760059999</v>
      </c>
      <c r="L369" t="s">
        <v>158</v>
      </c>
    </row>
    <row r="370" spans="1:12" x14ac:dyDescent="0.35">
      <c r="A370" s="13">
        <v>45764</v>
      </c>
      <c r="B370" t="s">
        <v>48</v>
      </c>
      <c r="C370" t="s">
        <v>79</v>
      </c>
      <c r="E370" s="8">
        <v>3</v>
      </c>
      <c r="F370" s="1">
        <v>5052.4771000000001</v>
      </c>
      <c r="G370" t="s">
        <v>236</v>
      </c>
      <c r="H370">
        <v>1.21</v>
      </c>
      <c r="I370">
        <v>0.06</v>
      </c>
      <c r="J370" s="2">
        <f>+DATAIN_COMPRAS__2[[#This Row],[$/ UN NETO]]*DATAIN_COMPRAS__2[[#This Row],[IVA]]</f>
        <v>6113.4972909999997</v>
      </c>
      <c r="K370" s="7">
        <f>(E370*F370)*(1-I370)*(H370)</f>
        <v>17240.062360619999</v>
      </c>
      <c r="L370" t="s">
        <v>237</v>
      </c>
    </row>
    <row r="371" spans="1:12" x14ac:dyDescent="0.35">
      <c r="A371" s="13">
        <v>45765</v>
      </c>
      <c r="B371" t="s">
        <v>12</v>
      </c>
      <c r="C371" t="s">
        <v>26</v>
      </c>
      <c r="E371" s="8">
        <v>2</v>
      </c>
      <c r="F371" s="1">
        <f>1800/DATAIN_COMPRAS__2[[#This Row],[IVA]]</f>
        <v>1628.9592760180997</v>
      </c>
      <c r="H371">
        <v>1.105</v>
      </c>
      <c r="J371" s="2">
        <f>+DATAIN_COMPRAS__2[[#This Row],[$/ UN NETO]]*DATAIN_COMPRAS__2[[#This Row],[IVA]]</f>
        <v>1800</v>
      </c>
      <c r="K371" s="7">
        <f t="shared" ref="K371:K393" si="7">E371*F371*(1-I371)*(H371)</f>
        <v>3600</v>
      </c>
      <c r="L371" t="s">
        <v>237</v>
      </c>
    </row>
    <row r="372" spans="1:12" x14ac:dyDescent="0.35">
      <c r="A372" s="13">
        <v>45765</v>
      </c>
      <c r="B372" t="s">
        <v>12</v>
      </c>
      <c r="C372" t="s">
        <v>44</v>
      </c>
      <c r="E372" s="8">
        <v>0.5</v>
      </c>
      <c r="F372" s="1">
        <f>3800/DATAIN_COMPRAS__2[[#This Row],[IVA]]</f>
        <v>3438.9140271493211</v>
      </c>
      <c r="H372">
        <v>1.105</v>
      </c>
      <c r="J372" s="2">
        <f>+DATAIN_COMPRAS__2[[#This Row],[$/ UN NETO]]*DATAIN_COMPRAS__2[[#This Row],[IVA]]</f>
        <v>3799.9999999999995</v>
      </c>
      <c r="K372" s="7">
        <f t="shared" si="7"/>
        <v>1899.9999999999998</v>
      </c>
      <c r="L372" t="s">
        <v>237</v>
      </c>
    </row>
    <row r="373" spans="1:12" x14ac:dyDescent="0.35">
      <c r="A373" s="13">
        <v>45765</v>
      </c>
      <c r="B373" t="s">
        <v>12</v>
      </c>
      <c r="C373" t="s">
        <v>25</v>
      </c>
      <c r="E373" s="8">
        <v>0.5</v>
      </c>
      <c r="F373" s="1">
        <f>5800/DATAIN_COMPRAS__2[[#This Row],[IVA]]</f>
        <v>5248.8687782805428</v>
      </c>
      <c r="H373">
        <v>1.105</v>
      </c>
      <c r="J373" s="2">
        <f>+DATAIN_COMPRAS__2[[#This Row],[$/ UN NETO]]*DATAIN_COMPRAS__2[[#This Row],[IVA]]</f>
        <v>5800</v>
      </c>
      <c r="K373" s="7">
        <f t="shared" si="7"/>
        <v>2900</v>
      </c>
      <c r="L373" t="s">
        <v>237</v>
      </c>
    </row>
    <row r="374" spans="1:12" x14ac:dyDescent="0.35">
      <c r="A374" s="13">
        <v>45765</v>
      </c>
      <c r="B374" t="s">
        <v>12</v>
      </c>
      <c r="C374" t="s">
        <v>16</v>
      </c>
      <c r="E374" s="8">
        <v>1</v>
      </c>
      <c r="F374" s="1">
        <f>1600/DATAIN_COMPRAS__2[[#This Row],[IVA]]</f>
        <v>1447.9638009049775</v>
      </c>
      <c r="H374">
        <v>1.105</v>
      </c>
      <c r="J374" s="2">
        <f>+DATAIN_COMPRAS__2[[#This Row],[$/ UN NETO]]*DATAIN_COMPRAS__2[[#This Row],[IVA]]</f>
        <v>1600</v>
      </c>
      <c r="K374" s="7">
        <f t="shared" si="7"/>
        <v>1600</v>
      </c>
      <c r="L374" t="s">
        <v>237</v>
      </c>
    </row>
    <row r="375" spans="1:12" x14ac:dyDescent="0.35">
      <c r="A375" s="13">
        <v>45765</v>
      </c>
      <c r="B375" t="s">
        <v>12</v>
      </c>
      <c r="C375" t="s">
        <v>15</v>
      </c>
      <c r="E375" s="8">
        <v>1</v>
      </c>
      <c r="F375" s="1">
        <f>2200/DATAIN_COMPRAS__2[[#This Row],[IVA]]</f>
        <v>1990.9502262443439</v>
      </c>
      <c r="H375">
        <v>1.105</v>
      </c>
      <c r="J375" s="2">
        <f>+DATAIN_COMPRAS__2[[#This Row],[$/ UN NETO]]*DATAIN_COMPRAS__2[[#This Row],[IVA]]</f>
        <v>2200</v>
      </c>
      <c r="K375" s="7">
        <f t="shared" si="7"/>
        <v>2200</v>
      </c>
      <c r="L375" t="s">
        <v>237</v>
      </c>
    </row>
    <row r="376" spans="1:12" x14ac:dyDescent="0.35">
      <c r="A376" s="13">
        <v>45765</v>
      </c>
      <c r="B376" t="s">
        <v>12</v>
      </c>
      <c r="C376" t="s">
        <v>13</v>
      </c>
      <c r="E376" s="8">
        <v>1</v>
      </c>
      <c r="F376" s="1">
        <f>15000/DATAIN_COMPRAS__2[[#This Row],[IVA]]</f>
        <v>13574.660633484164</v>
      </c>
      <c r="H376">
        <v>1.105</v>
      </c>
      <c r="J376" s="2">
        <f>+DATAIN_COMPRAS__2[[#This Row],[$/ UN NETO]]*DATAIN_COMPRAS__2[[#This Row],[IVA]]</f>
        <v>15000</v>
      </c>
      <c r="K376" s="7">
        <f t="shared" si="7"/>
        <v>15000</v>
      </c>
      <c r="L376" t="s">
        <v>237</v>
      </c>
    </row>
    <row r="377" spans="1:12" x14ac:dyDescent="0.35">
      <c r="A377" s="13">
        <v>45765</v>
      </c>
      <c r="B377" t="s">
        <v>12</v>
      </c>
      <c r="C377" t="s">
        <v>19</v>
      </c>
      <c r="E377" s="8">
        <v>3.7</v>
      </c>
      <c r="F377" s="1">
        <f>7800/DATAIN_COMPRAS__2[[#This Row],[IVA]]</f>
        <v>7058.8235294117649</v>
      </c>
      <c r="H377">
        <v>1.105</v>
      </c>
      <c r="J377" s="2">
        <f>+DATAIN_COMPRAS__2[[#This Row],[$/ UN NETO]]*DATAIN_COMPRAS__2[[#This Row],[IVA]]</f>
        <v>7800</v>
      </c>
      <c r="K377" s="7">
        <f t="shared" si="7"/>
        <v>28860.000000000004</v>
      </c>
      <c r="L377" t="s">
        <v>237</v>
      </c>
    </row>
    <row r="378" spans="1:12" x14ac:dyDescent="0.35">
      <c r="A378" s="13">
        <v>45765</v>
      </c>
      <c r="B378" t="s">
        <v>12</v>
      </c>
      <c r="C378" t="s">
        <v>28</v>
      </c>
      <c r="E378" s="8">
        <v>2</v>
      </c>
      <c r="F378" s="1">
        <f>1800/DATAIN_COMPRAS__2[[#This Row],[IVA]]</f>
        <v>1628.9592760180997</v>
      </c>
      <c r="H378">
        <v>1.105</v>
      </c>
      <c r="J378" s="2">
        <f>+DATAIN_COMPRAS__2[[#This Row],[$/ UN NETO]]*DATAIN_COMPRAS__2[[#This Row],[IVA]]</f>
        <v>1800</v>
      </c>
      <c r="K378" s="7">
        <f t="shared" si="7"/>
        <v>3600</v>
      </c>
      <c r="L378" t="s">
        <v>237</v>
      </c>
    </row>
    <row r="379" spans="1:12" x14ac:dyDescent="0.35">
      <c r="A379" s="13">
        <v>45767</v>
      </c>
      <c r="B379" t="s">
        <v>185</v>
      </c>
      <c r="C379" t="s">
        <v>187</v>
      </c>
      <c r="E379" s="8">
        <v>25</v>
      </c>
      <c r="F379" s="1">
        <f>(18442/25)/DATAIN_COMPRAS__2[[#This Row],[IVA]]</f>
        <v>609.65289256198344</v>
      </c>
      <c r="H379">
        <v>1.21</v>
      </c>
      <c r="J379" s="2">
        <f>+DATAIN_COMPRAS__2[[#This Row],[$/ UN NETO]]*DATAIN_COMPRAS__2[[#This Row],[IVA]]</f>
        <v>737.68</v>
      </c>
      <c r="K379" s="7">
        <f t="shared" si="7"/>
        <v>18442</v>
      </c>
      <c r="L379" t="s">
        <v>255</v>
      </c>
    </row>
    <row r="380" spans="1:12" x14ac:dyDescent="0.35">
      <c r="A380" s="13">
        <v>45767</v>
      </c>
      <c r="B380" t="s">
        <v>185</v>
      </c>
      <c r="C380" t="s">
        <v>186</v>
      </c>
      <c r="E380" s="8">
        <v>25</v>
      </c>
      <c r="F380" s="1">
        <f>+(24486/25)/DATAIN_COMPRAS__2[[#This Row],[IVA]]</f>
        <v>809.4545454545455</v>
      </c>
      <c r="H380">
        <v>1.21</v>
      </c>
      <c r="J380" s="2">
        <f>+DATAIN_COMPRAS__2[[#This Row],[$/ UN NETO]]*DATAIN_COMPRAS__2[[#This Row],[IVA]]</f>
        <v>979.44</v>
      </c>
      <c r="K380" s="7">
        <f t="shared" si="7"/>
        <v>24486</v>
      </c>
      <c r="L380" t="s">
        <v>255</v>
      </c>
    </row>
    <row r="381" spans="1:12" x14ac:dyDescent="0.35">
      <c r="A381" s="13">
        <v>45767</v>
      </c>
      <c r="B381" t="s">
        <v>185</v>
      </c>
      <c r="C381" t="s">
        <v>188</v>
      </c>
      <c r="E381" s="8">
        <v>25</v>
      </c>
      <c r="F381" s="1">
        <f>+(32291/25)/DATAIN_COMPRAS__2[[#This Row],[IVA]]</f>
        <v>1067.4710743801654</v>
      </c>
      <c r="H381">
        <v>1.21</v>
      </c>
      <c r="J381" s="2">
        <f>+DATAIN_COMPRAS__2[[#This Row],[$/ UN NETO]]*DATAIN_COMPRAS__2[[#This Row],[IVA]]</f>
        <v>1291.6400000000001</v>
      </c>
      <c r="K381" s="7">
        <f t="shared" si="7"/>
        <v>32291</v>
      </c>
      <c r="L381" t="s">
        <v>255</v>
      </c>
    </row>
    <row r="382" spans="1:12" x14ac:dyDescent="0.35">
      <c r="A382" s="13">
        <v>45767</v>
      </c>
      <c r="B382" t="s">
        <v>255</v>
      </c>
      <c r="C382" t="s">
        <v>261</v>
      </c>
      <c r="E382" s="8">
        <v>20</v>
      </c>
      <c r="F382" s="1">
        <f>(38500/DATAIN_COMPRAS__2[[#This Row],[IVA]])/20</f>
        <v>1590.909090909091</v>
      </c>
      <c r="H382">
        <v>1.21</v>
      </c>
      <c r="J382" s="2">
        <f>+DATAIN_COMPRAS__2[[#This Row],[$/ UN NETO]]*DATAIN_COMPRAS__2[[#This Row],[IVA]]</f>
        <v>1925</v>
      </c>
      <c r="K382" s="7">
        <f t="shared" si="7"/>
        <v>38500</v>
      </c>
      <c r="L382" t="s">
        <v>255</v>
      </c>
    </row>
    <row r="383" spans="1:12" x14ac:dyDescent="0.35">
      <c r="A383" s="13">
        <v>45767</v>
      </c>
      <c r="B383" t="s">
        <v>48</v>
      </c>
      <c r="C383" t="s">
        <v>260</v>
      </c>
      <c r="E383" s="8">
        <v>20</v>
      </c>
      <c r="F383" s="1">
        <f>(43960.04/1.21)/20</f>
        <v>1816.5305785123969</v>
      </c>
      <c r="H383">
        <v>1.21</v>
      </c>
      <c r="J383" s="2">
        <f>+DATAIN_COMPRAS__2[[#This Row],[$/ UN NETO]]*DATAIN_COMPRAS__2[[#This Row],[IVA]]</f>
        <v>2198.0020000000004</v>
      </c>
      <c r="K383" s="7">
        <f t="shared" si="7"/>
        <v>43960.04</v>
      </c>
      <c r="L383" t="s">
        <v>255</v>
      </c>
    </row>
    <row r="384" spans="1:12" x14ac:dyDescent="0.35">
      <c r="A384" s="13">
        <v>45767</v>
      </c>
      <c r="B384" t="s">
        <v>48</v>
      </c>
      <c r="C384" t="str">
        <f>+UPPER("Crema Balde x 5Lt 44% MILKAUT")</f>
        <v>CREMA BALDE X 5LT 44% MILKAUT</v>
      </c>
      <c r="E384" s="8">
        <v>5</v>
      </c>
      <c r="F384" s="1">
        <f>(41648/5)/1.21</f>
        <v>6883.9669421487606</v>
      </c>
      <c r="H384">
        <v>1.21</v>
      </c>
      <c r="J384" s="2">
        <f>+DATAIN_COMPRAS__2[[#This Row],[$/ UN NETO]]*DATAIN_COMPRAS__2[[#This Row],[IVA]]</f>
        <v>8329.6</v>
      </c>
      <c r="K384" s="7">
        <f t="shared" si="7"/>
        <v>41648</v>
      </c>
      <c r="L384" t="s">
        <v>255</v>
      </c>
    </row>
    <row r="385" spans="1:12" x14ac:dyDescent="0.35">
      <c r="A385" s="13">
        <v>45767</v>
      </c>
      <c r="B385" t="s">
        <v>181</v>
      </c>
      <c r="C385" t="s">
        <v>183</v>
      </c>
      <c r="E385" s="8">
        <v>5</v>
      </c>
      <c r="F385" s="1">
        <f>(60000/5)/1.21</f>
        <v>9917.3553719008269</v>
      </c>
      <c r="H385">
        <v>1.21</v>
      </c>
      <c r="J385" s="2">
        <f>+DATAIN_COMPRAS__2[[#This Row],[$/ UN NETO]]*DATAIN_COMPRAS__2[[#This Row],[IVA]]</f>
        <v>12000</v>
      </c>
      <c r="K385" s="7">
        <f t="shared" si="7"/>
        <v>60000</v>
      </c>
      <c r="L385" t="s">
        <v>255</v>
      </c>
    </row>
    <row r="386" spans="1:12" x14ac:dyDescent="0.35">
      <c r="A386" s="13">
        <v>45767</v>
      </c>
      <c r="B386" t="s">
        <v>181</v>
      </c>
      <c r="C386" t="s">
        <v>182</v>
      </c>
      <c r="E386" s="8">
        <v>5</v>
      </c>
      <c r="F386" s="1">
        <f>(66115/5)/1.21</f>
        <v>10928.099173553719</v>
      </c>
      <c r="H386">
        <v>1.21</v>
      </c>
      <c r="J386" s="2">
        <f>+DATAIN_COMPRAS__2[[#This Row],[$/ UN NETO]]*DATAIN_COMPRAS__2[[#This Row],[IVA]]</f>
        <v>13223</v>
      </c>
      <c r="K386" s="7">
        <f t="shared" si="7"/>
        <v>66115</v>
      </c>
      <c r="L386" t="s">
        <v>255</v>
      </c>
    </row>
    <row r="387" spans="1:12" x14ac:dyDescent="0.35">
      <c r="A387" s="13">
        <v>45767</v>
      </c>
      <c r="B387" t="s">
        <v>256</v>
      </c>
      <c r="C387" t="str">
        <f>+UPPER("Crema Balde x 5Lt 44% MILKAUT")</f>
        <v>CREMA BALDE X 5LT 44% MILKAUT</v>
      </c>
      <c r="E387" s="8">
        <v>5</v>
      </c>
      <c r="F387" s="1">
        <f>(40386/5)/1.21</f>
        <v>6675.3719008264461</v>
      </c>
      <c r="H387">
        <v>1.21</v>
      </c>
      <c r="J387" s="2">
        <f>+DATAIN_COMPRAS__2[[#This Row],[$/ UN NETO]]*DATAIN_COMPRAS__2[[#This Row],[IVA]]</f>
        <v>8077.2</v>
      </c>
      <c r="K387" s="7">
        <f t="shared" si="7"/>
        <v>40386</v>
      </c>
      <c r="L387" t="s">
        <v>255</v>
      </c>
    </row>
    <row r="388" spans="1:12" x14ac:dyDescent="0.35">
      <c r="A388" s="13">
        <v>45767</v>
      </c>
      <c r="B388" t="s">
        <v>256</v>
      </c>
      <c r="C388" t="str">
        <f>+UPPER("Manteca Pilon 5kg MILKAUT")</f>
        <v>MANTECA PILON 5KG MILKAUT</v>
      </c>
      <c r="E388" s="8">
        <v>5</v>
      </c>
      <c r="F388" s="1">
        <f>(59691.87/5)/1.21</f>
        <v>9866.4247933884308</v>
      </c>
      <c r="H388">
        <v>1.21</v>
      </c>
      <c r="J388" s="2">
        <f>+DATAIN_COMPRAS__2[[#This Row],[$/ UN NETO]]*DATAIN_COMPRAS__2[[#This Row],[IVA]]</f>
        <v>11938.374000000002</v>
      </c>
      <c r="K388" s="7">
        <f t="shared" si="7"/>
        <v>59691.87000000001</v>
      </c>
      <c r="L388" t="s">
        <v>255</v>
      </c>
    </row>
    <row r="389" spans="1:12" x14ac:dyDescent="0.35">
      <c r="A389" s="13">
        <v>45767</v>
      </c>
      <c r="B389" t="s">
        <v>179</v>
      </c>
      <c r="C389" t="s">
        <v>180</v>
      </c>
      <c r="E389" s="8">
        <v>10</v>
      </c>
      <c r="F389" s="1">
        <f>+(33062.84/10)/1.21</f>
        <v>2732.4661157024793</v>
      </c>
      <c r="H389">
        <v>1.21</v>
      </c>
      <c r="J389" s="2">
        <f>+DATAIN_COMPRAS__2[[#This Row],[$/ UN NETO]]*DATAIN_COMPRAS__2[[#This Row],[IVA]]</f>
        <v>3306.2840000000001</v>
      </c>
      <c r="K389" s="7">
        <f t="shared" si="7"/>
        <v>33062.839999999997</v>
      </c>
      <c r="L389" t="s">
        <v>255</v>
      </c>
    </row>
    <row r="390" spans="1:12" x14ac:dyDescent="0.35">
      <c r="A390" s="13">
        <v>45767</v>
      </c>
      <c r="B390" t="s">
        <v>257</v>
      </c>
      <c r="C390" t="s">
        <v>261</v>
      </c>
      <c r="E390" s="8">
        <v>20</v>
      </c>
      <c r="F390" s="1">
        <f>(38500/20)/1.21</f>
        <v>1590.909090909091</v>
      </c>
      <c r="H390">
        <v>1.21</v>
      </c>
      <c r="J390" s="2">
        <f>+DATAIN_COMPRAS__2[[#This Row],[$/ UN NETO]]*DATAIN_COMPRAS__2[[#This Row],[IVA]]</f>
        <v>1925</v>
      </c>
      <c r="K390" s="7">
        <f t="shared" si="7"/>
        <v>38500</v>
      </c>
      <c r="L390" t="s">
        <v>255</v>
      </c>
    </row>
    <row r="391" spans="1:12" x14ac:dyDescent="0.35">
      <c r="A391" s="13">
        <v>45767</v>
      </c>
      <c r="B391" t="s">
        <v>257</v>
      </c>
      <c r="C391" t="s">
        <v>258</v>
      </c>
      <c r="E391" s="8">
        <v>1</v>
      </c>
      <c r="F391" s="1">
        <f>7722.12/DATAIN_COMPRAS__2[[#This Row],[IVA]]</f>
        <v>6381.9173553719011</v>
      </c>
      <c r="H391">
        <v>1.21</v>
      </c>
      <c r="J391" s="2">
        <f>+DATAIN_COMPRAS__2[[#This Row],[$/ UN NETO]]*DATAIN_COMPRAS__2[[#This Row],[IVA]]</f>
        <v>7722.12</v>
      </c>
      <c r="K391" s="7">
        <f t="shared" si="7"/>
        <v>7722.12</v>
      </c>
      <c r="L391" t="s">
        <v>255</v>
      </c>
    </row>
    <row r="392" spans="1:12" x14ac:dyDescent="0.35">
      <c r="A392" s="13">
        <v>45767</v>
      </c>
      <c r="B392" t="s">
        <v>257</v>
      </c>
      <c r="C392" t="s">
        <v>254</v>
      </c>
      <c r="E392" s="8">
        <v>1</v>
      </c>
      <c r="F392" s="1">
        <f>8100/DATAIN_COMPRAS__2[[#This Row],[IVA]]</f>
        <v>6694.2148760330583</v>
      </c>
      <c r="H392">
        <v>1.21</v>
      </c>
      <c r="J392" s="2">
        <f>+DATAIN_COMPRAS__2[[#This Row],[$/ UN NETO]]*DATAIN_COMPRAS__2[[#This Row],[IVA]]</f>
        <v>8100</v>
      </c>
      <c r="K392" s="7">
        <f t="shared" si="7"/>
        <v>8100</v>
      </c>
      <c r="L392" t="s">
        <v>255</v>
      </c>
    </row>
    <row r="393" spans="1:12" x14ac:dyDescent="0.35">
      <c r="A393" s="13">
        <v>45767</v>
      </c>
      <c r="B393" t="s">
        <v>257</v>
      </c>
      <c r="C393" t="s">
        <v>259</v>
      </c>
      <c r="E393" s="8">
        <v>1</v>
      </c>
      <c r="F393" s="1">
        <f>9790/DATAIN_COMPRAS__2[[#This Row],[IVA]]</f>
        <v>8090.909090909091</v>
      </c>
      <c r="H393">
        <v>1.21</v>
      </c>
      <c r="J393" s="2">
        <f>+DATAIN_COMPRAS__2[[#This Row],[$/ UN NETO]]*DATAIN_COMPRAS__2[[#This Row],[IVA]]</f>
        <v>9790</v>
      </c>
      <c r="K393" s="7">
        <f t="shared" si="7"/>
        <v>9790</v>
      </c>
      <c r="L393" t="s">
        <v>255</v>
      </c>
    </row>
    <row r="394" spans="1:12" x14ac:dyDescent="0.35">
      <c r="A394" s="13">
        <v>45769</v>
      </c>
      <c r="B394" t="s">
        <v>48</v>
      </c>
      <c r="C394" t="s">
        <v>61</v>
      </c>
      <c r="E394" s="8">
        <v>2</v>
      </c>
      <c r="F394" s="1">
        <v>910.79750000000001</v>
      </c>
      <c r="G394" t="s">
        <v>236</v>
      </c>
      <c r="H394">
        <v>1.21</v>
      </c>
      <c r="I394">
        <v>0.06</v>
      </c>
      <c r="J394" s="2">
        <f>+DATAIN_COMPRAS__2[[#This Row],[$/ UN NETO]]*DATAIN_COMPRAS__2[[#This Row],[IVA]]</f>
        <v>1102.064975</v>
      </c>
      <c r="K394" s="7">
        <f t="shared" ref="K394:K413" si="8">(E394*F394)*(1-I394)*(H394)</f>
        <v>2071.882153</v>
      </c>
      <c r="L394" t="s">
        <v>237</v>
      </c>
    </row>
    <row r="395" spans="1:12" x14ac:dyDescent="0.35">
      <c r="A395" s="13">
        <v>45769</v>
      </c>
      <c r="B395" t="s">
        <v>48</v>
      </c>
      <c r="C395" t="s">
        <v>224</v>
      </c>
      <c r="E395" s="8">
        <v>2</v>
      </c>
      <c r="F395" s="1">
        <v>6365.0941000000003</v>
      </c>
      <c r="G395" t="s">
        <v>236</v>
      </c>
      <c r="H395">
        <v>1.21</v>
      </c>
      <c r="J395" s="2">
        <f>+DATAIN_COMPRAS__2[[#This Row],[$/ UN NETO]]*DATAIN_COMPRAS__2[[#This Row],[IVA]]</f>
        <v>7701.7638610000004</v>
      </c>
      <c r="K395" s="7">
        <f t="shared" si="8"/>
        <v>15403.527722000001</v>
      </c>
      <c r="L395" t="s">
        <v>237</v>
      </c>
    </row>
    <row r="396" spans="1:12" x14ac:dyDescent="0.35">
      <c r="A396" s="13">
        <v>45769</v>
      </c>
      <c r="B396" t="s">
        <v>48</v>
      </c>
      <c r="C396" t="s">
        <v>250</v>
      </c>
      <c r="E396" s="8">
        <v>2</v>
      </c>
      <c r="F396" s="1">
        <v>970.2</v>
      </c>
      <c r="G396" t="s">
        <v>236</v>
      </c>
      <c r="H396">
        <v>1.21</v>
      </c>
      <c r="J396" s="2">
        <f>+DATAIN_COMPRAS__2[[#This Row],[$/ UN NETO]]*DATAIN_COMPRAS__2[[#This Row],[IVA]]</f>
        <v>1173.942</v>
      </c>
      <c r="K396" s="7">
        <f t="shared" si="8"/>
        <v>2347.884</v>
      </c>
      <c r="L396" t="s">
        <v>237</v>
      </c>
    </row>
    <row r="397" spans="1:12" x14ac:dyDescent="0.35">
      <c r="A397" s="13">
        <v>45769</v>
      </c>
      <c r="B397" t="s">
        <v>48</v>
      </c>
      <c r="C397" t="s">
        <v>833</v>
      </c>
      <c r="E397" s="8">
        <v>3.5</v>
      </c>
      <c r="F397" s="1">
        <f>18282.8834/3.5</f>
        <v>5223.680971428571</v>
      </c>
      <c r="G397" t="s">
        <v>236</v>
      </c>
      <c r="H397">
        <v>1.21</v>
      </c>
      <c r="I397">
        <v>0.06</v>
      </c>
      <c r="J397" s="2">
        <f>+DATAIN_COMPRAS__2[[#This Row],[$/ UN NETO]]*DATAIN_COMPRAS__2[[#This Row],[IVA]]</f>
        <v>6320.6539754285704</v>
      </c>
      <c r="K397" s="7">
        <f t="shared" si="8"/>
        <v>20794.951579159999</v>
      </c>
      <c r="L397" t="s">
        <v>158</v>
      </c>
    </row>
    <row r="398" spans="1:12" x14ac:dyDescent="0.35">
      <c r="A398" s="13">
        <v>45769</v>
      </c>
      <c r="B398" t="s">
        <v>48</v>
      </c>
      <c r="C398" t="s">
        <v>54</v>
      </c>
      <c r="E398" s="8">
        <v>3</v>
      </c>
      <c r="F398" s="1">
        <v>714.15419999999995</v>
      </c>
      <c r="G398" t="s">
        <v>236</v>
      </c>
      <c r="H398">
        <v>1.21</v>
      </c>
      <c r="I398">
        <v>0.06</v>
      </c>
      <c r="J398" s="2">
        <f>+DATAIN_COMPRAS__2[[#This Row],[$/ UN NETO]]*DATAIN_COMPRAS__2[[#This Row],[IVA]]</f>
        <v>864.12658199999987</v>
      </c>
      <c r="K398" s="7">
        <f t="shared" si="8"/>
        <v>2436.8369612399997</v>
      </c>
      <c r="L398" t="s">
        <v>237</v>
      </c>
    </row>
    <row r="399" spans="1:12" x14ac:dyDescent="0.35">
      <c r="A399" s="13">
        <v>45769</v>
      </c>
      <c r="B399" t="s">
        <v>110</v>
      </c>
      <c r="C399" t="s">
        <v>163</v>
      </c>
      <c r="E399" s="8">
        <v>5</v>
      </c>
      <c r="F399" s="1">
        <v>1843.8</v>
      </c>
      <c r="G399" t="s">
        <v>236</v>
      </c>
      <c r="H399">
        <v>1.21</v>
      </c>
      <c r="J399" s="2">
        <f>+DATAIN_COMPRAS__2[[#This Row],[$/ UN NETO]]*DATAIN_COMPRAS__2[[#This Row],[IVA]]</f>
        <v>2230.998</v>
      </c>
      <c r="K399" s="7">
        <f t="shared" si="8"/>
        <v>11154.99</v>
      </c>
      <c r="L399" t="s">
        <v>158</v>
      </c>
    </row>
    <row r="400" spans="1:12" x14ac:dyDescent="0.35">
      <c r="A400" s="13">
        <v>45769</v>
      </c>
      <c r="B400" t="s">
        <v>110</v>
      </c>
      <c r="C400" t="s">
        <v>165</v>
      </c>
      <c r="E400" s="8">
        <v>10</v>
      </c>
      <c r="F400" s="1">
        <f>11647.7/10</f>
        <v>1164.77</v>
      </c>
      <c r="G400" t="s">
        <v>236</v>
      </c>
      <c r="H400">
        <v>1.21</v>
      </c>
      <c r="J400" s="2">
        <f>+DATAIN_COMPRAS__2[[#This Row],[$/ UN NETO]]*DATAIN_COMPRAS__2[[#This Row],[IVA]]</f>
        <v>1409.3716999999999</v>
      </c>
      <c r="K400" s="7">
        <f t="shared" si="8"/>
        <v>14093.717000000001</v>
      </c>
      <c r="L400" t="s">
        <v>237</v>
      </c>
    </row>
    <row r="401" spans="1:12" x14ac:dyDescent="0.35">
      <c r="A401" s="13">
        <v>45769</v>
      </c>
      <c r="B401" t="s">
        <v>110</v>
      </c>
      <c r="C401" t="s">
        <v>144</v>
      </c>
      <c r="E401" s="8">
        <v>1</v>
      </c>
      <c r="F401" s="1">
        <v>4874.33</v>
      </c>
      <c r="G401" t="s">
        <v>236</v>
      </c>
      <c r="H401">
        <v>1.21</v>
      </c>
      <c r="J401" s="2">
        <f>+DATAIN_COMPRAS__2[[#This Row],[$/ UN NETO]]*DATAIN_COMPRAS__2[[#This Row],[IVA]]</f>
        <v>5897.9393</v>
      </c>
      <c r="K401" s="7">
        <f t="shared" si="8"/>
        <v>5897.9393</v>
      </c>
      <c r="L401" t="s">
        <v>237</v>
      </c>
    </row>
    <row r="402" spans="1:12" x14ac:dyDescent="0.35">
      <c r="A402" s="13">
        <v>45769</v>
      </c>
      <c r="B402" t="s">
        <v>110</v>
      </c>
      <c r="C402" t="s">
        <v>164</v>
      </c>
      <c r="E402" s="8">
        <v>1</v>
      </c>
      <c r="F402" s="1">
        <v>9175</v>
      </c>
      <c r="G402" t="s">
        <v>236</v>
      </c>
      <c r="H402">
        <v>1.21</v>
      </c>
      <c r="J402" s="2">
        <f>+DATAIN_COMPRAS__2[[#This Row],[$/ UN NETO]]*DATAIN_COMPRAS__2[[#This Row],[IVA]]</f>
        <v>11101.75</v>
      </c>
      <c r="K402" s="7">
        <f t="shared" si="8"/>
        <v>11101.75</v>
      </c>
      <c r="L402" t="s">
        <v>237</v>
      </c>
    </row>
    <row r="403" spans="1:12" x14ac:dyDescent="0.35">
      <c r="A403" s="13">
        <v>45769</v>
      </c>
      <c r="B403" t="s">
        <v>12</v>
      </c>
      <c r="C403" t="s">
        <v>31</v>
      </c>
      <c r="E403" s="8">
        <v>2</v>
      </c>
      <c r="F403" s="1">
        <f>1300/DATAIN_COMPRAS__2[[#This Row],[IVA]]</f>
        <v>1176.4705882352941</v>
      </c>
      <c r="G403" t="s">
        <v>236</v>
      </c>
      <c r="H403">
        <v>1.105</v>
      </c>
      <c r="J403" s="2">
        <f>+DATAIN_COMPRAS__2[[#This Row],[$/ UN NETO]]*DATAIN_COMPRAS__2[[#This Row],[IVA]]</f>
        <v>1300</v>
      </c>
      <c r="K403" s="7">
        <f t="shared" si="8"/>
        <v>2600</v>
      </c>
      <c r="L403" t="s">
        <v>237</v>
      </c>
    </row>
    <row r="404" spans="1:12" x14ac:dyDescent="0.35">
      <c r="A404" s="13">
        <v>45769</v>
      </c>
      <c r="B404" t="s">
        <v>12</v>
      </c>
      <c r="C404" t="s">
        <v>37</v>
      </c>
      <c r="E404" s="8">
        <v>2</v>
      </c>
      <c r="F404" s="1">
        <f>800/DATAIN_COMPRAS__2[[#This Row],[IVA]]</f>
        <v>723.98190045248873</v>
      </c>
      <c r="G404" t="s">
        <v>236</v>
      </c>
      <c r="H404">
        <v>1.105</v>
      </c>
      <c r="J404" s="2">
        <f>+DATAIN_COMPRAS__2[[#This Row],[$/ UN NETO]]*DATAIN_COMPRAS__2[[#This Row],[IVA]]</f>
        <v>800</v>
      </c>
      <c r="K404" s="7">
        <f t="shared" si="8"/>
        <v>1600</v>
      </c>
      <c r="L404" t="s">
        <v>237</v>
      </c>
    </row>
    <row r="405" spans="1:12" x14ac:dyDescent="0.35">
      <c r="A405" s="13">
        <v>45769</v>
      </c>
      <c r="B405" t="s">
        <v>12</v>
      </c>
      <c r="C405" t="s">
        <v>41</v>
      </c>
      <c r="E405" s="8">
        <v>2</v>
      </c>
      <c r="F405" s="1">
        <f>2300/DATAIN_COMPRAS__2[[#This Row],[IVA]]</f>
        <v>2081.4479638009052</v>
      </c>
      <c r="G405" t="s">
        <v>236</v>
      </c>
      <c r="H405">
        <v>1.105</v>
      </c>
      <c r="J405" s="2">
        <f>+DATAIN_COMPRAS__2[[#This Row],[$/ UN NETO]]*DATAIN_COMPRAS__2[[#This Row],[IVA]]</f>
        <v>2300</v>
      </c>
      <c r="K405" s="7">
        <f t="shared" si="8"/>
        <v>4600</v>
      </c>
      <c r="L405" t="s">
        <v>237</v>
      </c>
    </row>
    <row r="406" spans="1:12" x14ac:dyDescent="0.35">
      <c r="A406" s="13">
        <v>45769</v>
      </c>
      <c r="B406" t="s">
        <v>12</v>
      </c>
      <c r="C406" t="s">
        <v>39</v>
      </c>
      <c r="E406" s="8">
        <v>1.19</v>
      </c>
      <c r="F406" s="1">
        <f>3300/DATAIN_COMPRAS__2[[#This Row],[IVA]]</f>
        <v>2986.4253393665158</v>
      </c>
      <c r="G406" t="s">
        <v>236</v>
      </c>
      <c r="H406">
        <v>1.105</v>
      </c>
      <c r="J406" s="2">
        <f>+DATAIN_COMPRAS__2[[#This Row],[$/ UN NETO]]*DATAIN_COMPRAS__2[[#This Row],[IVA]]</f>
        <v>3300</v>
      </c>
      <c r="K406" s="7">
        <f t="shared" si="8"/>
        <v>3927</v>
      </c>
      <c r="L406" t="s">
        <v>237</v>
      </c>
    </row>
    <row r="407" spans="1:12" x14ac:dyDescent="0.35">
      <c r="A407" s="13">
        <v>45769</v>
      </c>
      <c r="B407" t="s">
        <v>12</v>
      </c>
      <c r="C407" t="s">
        <v>13</v>
      </c>
      <c r="E407" s="8">
        <v>16</v>
      </c>
      <c r="F407" s="1">
        <f>(15000/DATAIN_COMPRAS__2[[#This Row],[CANT]])/DATAIN_COMPRAS__2[[#This Row],[IVA]]</f>
        <v>848.41628959276022</v>
      </c>
      <c r="G407" t="s">
        <v>236</v>
      </c>
      <c r="H407">
        <v>1.105</v>
      </c>
      <c r="J407" s="2">
        <f>+DATAIN_COMPRAS__2[[#This Row],[$/ UN NETO]]*DATAIN_COMPRAS__2[[#This Row],[IVA]]</f>
        <v>937.5</v>
      </c>
      <c r="K407" s="7">
        <f t="shared" si="8"/>
        <v>15000</v>
      </c>
      <c r="L407" t="s">
        <v>237</v>
      </c>
    </row>
    <row r="408" spans="1:12" x14ac:dyDescent="0.35">
      <c r="A408" s="13">
        <v>45769</v>
      </c>
      <c r="B408" t="s">
        <v>12</v>
      </c>
      <c r="C408" t="s">
        <v>21</v>
      </c>
      <c r="E408" s="8">
        <v>2</v>
      </c>
      <c r="F408" s="1">
        <f>750/DATAIN_COMPRAS__2[[#This Row],[IVA]]</f>
        <v>678.73303167420818</v>
      </c>
      <c r="G408" t="s">
        <v>236</v>
      </c>
      <c r="H408">
        <v>1.105</v>
      </c>
      <c r="J408" s="2">
        <f>+DATAIN_COMPRAS__2[[#This Row],[$/ UN NETO]]*DATAIN_COMPRAS__2[[#This Row],[IVA]]</f>
        <v>750</v>
      </c>
      <c r="K408" s="7">
        <f t="shared" si="8"/>
        <v>1500</v>
      </c>
      <c r="L408" t="s">
        <v>237</v>
      </c>
    </row>
    <row r="409" spans="1:12" x14ac:dyDescent="0.35">
      <c r="A409" s="13">
        <v>45769</v>
      </c>
      <c r="B409" t="s">
        <v>12</v>
      </c>
      <c r="C409" t="s">
        <v>20</v>
      </c>
      <c r="E409" s="8">
        <v>4</v>
      </c>
      <c r="F409" s="1">
        <f>1600/DATAIN_COMPRAS__2[[#This Row],[IVA]]</f>
        <v>1447.9638009049775</v>
      </c>
      <c r="G409" t="s">
        <v>236</v>
      </c>
      <c r="H409">
        <v>1.105</v>
      </c>
      <c r="J409" s="2">
        <f>+DATAIN_COMPRAS__2[[#This Row],[$/ UN NETO]]*DATAIN_COMPRAS__2[[#This Row],[IVA]]</f>
        <v>1600</v>
      </c>
      <c r="K409" s="7">
        <f t="shared" si="8"/>
        <v>6400</v>
      </c>
      <c r="L409" t="s">
        <v>237</v>
      </c>
    </row>
    <row r="410" spans="1:12" x14ac:dyDescent="0.35">
      <c r="A410" s="13">
        <v>45769</v>
      </c>
      <c r="B410" t="s">
        <v>179</v>
      </c>
      <c r="C410" t="s">
        <v>220</v>
      </c>
      <c r="E410" s="8">
        <v>50</v>
      </c>
      <c r="F410" s="1">
        <f>27324.66/10</f>
        <v>2732.4659999999999</v>
      </c>
      <c r="G410" t="s">
        <v>236</v>
      </c>
      <c r="H410">
        <v>1.21</v>
      </c>
      <c r="J410" s="2">
        <f>+DATAIN_COMPRAS__2[[#This Row],[$/ UN NETO]]*DATAIN_COMPRAS__2[[#This Row],[IVA]]</f>
        <v>3306.2838599999995</v>
      </c>
      <c r="K410" s="7">
        <f t="shared" si="8"/>
        <v>165314.19299999997</v>
      </c>
      <c r="L410" t="s">
        <v>158</v>
      </c>
    </row>
    <row r="411" spans="1:12" x14ac:dyDescent="0.35">
      <c r="A411" s="13">
        <v>45769</v>
      </c>
      <c r="B411" t="s">
        <v>257</v>
      </c>
      <c r="C411" t="s">
        <v>261</v>
      </c>
      <c r="E411" s="8">
        <v>20</v>
      </c>
      <c r="F411" s="1">
        <f>38500/20/DATAIN_COMPRAS__2[[#This Row],[IVA]]</f>
        <v>1590.909090909091</v>
      </c>
      <c r="G411" t="s">
        <v>244</v>
      </c>
      <c r="H411">
        <v>1.21</v>
      </c>
      <c r="J411" s="2">
        <f>+DATAIN_COMPRAS__2[[#This Row],[$/ UN NETO]]*DATAIN_COMPRAS__2[[#This Row],[IVA]]</f>
        <v>1925</v>
      </c>
      <c r="K411" s="7">
        <f t="shared" si="8"/>
        <v>38500</v>
      </c>
      <c r="L411" t="s">
        <v>237</v>
      </c>
    </row>
    <row r="412" spans="1:12" x14ac:dyDescent="0.35">
      <c r="A412" s="13">
        <v>45769</v>
      </c>
      <c r="B412" t="s">
        <v>257</v>
      </c>
      <c r="C412" t="s">
        <v>258</v>
      </c>
      <c r="E412" s="8">
        <v>5</v>
      </c>
      <c r="F412" s="1">
        <f>7722.12/DATAIN_COMPRAS__2[[#This Row],[IVA]]</f>
        <v>6381.9173553719011</v>
      </c>
      <c r="G412" t="s">
        <v>244</v>
      </c>
      <c r="H412">
        <v>1.21</v>
      </c>
      <c r="J412" s="2">
        <f>+DATAIN_COMPRAS__2[[#This Row],[$/ UN NETO]]*DATAIN_COMPRAS__2[[#This Row],[IVA]]</f>
        <v>7722.12</v>
      </c>
      <c r="K412" s="7">
        <f t="shared" si="8"/>
        <v>38610.6</v>
      </c>
      <c r="L412" t="s">
        <v>237</v>
      </c>
    </row>
    <row r="413" spans="1:12" x14ac:dyDescent="0.35">
      <c r="A413" s="13">
        <v>45769</v>
      </c>
      <c r="B413" t="s">
        <v>257</v>
      </c>
      <c r="C413" t="s">
        <v>259</v>
      </c>
      <c r="E413" s="8">
        <v>4</v>
      </c>
      <c r="F413" s="1">
        <f>9790/DATAIN_COMPRAS__2[[#This Row],[IVA]]</f>
        <v>8090.909090909091</v>
      </c>
      <c r="G413" t="s">
        <v>244</v>
      </c>
      <c r="H413">
        <v>1.21</v>
      </c>
      <c r="J413" s="2">
        <f>+DATAIN_COMPRAS__2[[#This Row],[$/ UN NETO]]*DATAIN_COMPRAS__2[[#This Row],[IVA]]</f>
        <v>9790</v>
      </c>
      <c r="K413" s="7">
        <f t="shared" si="8"/>
        <v>39160</v>
      </c>
      <c r="L413" t="s">
        <v>237</v>
      </c>
    </row>
    <row r="414" spans="1:12" x14ac:dyDescent="0.35">
      <c r="A414" s="13">
        <v>45769</v>
      </c>
      <c r="B414" t="s">
        <v>257</v>
      </c>
      <c r="C414" t="s">
        <v>262</v>
      </c>
      <c r="E414" s="8">
        <v>8</v>
      </c>
      <c r="F414" s="1">
        <f>(9630.5/8)/1.21</f>
        <v>994.88636363636363</v>
      </c>
      <c r="H414">
        <v>1.21</v>
      </c>
      <c r="J414" s="2">
        <f>+DATAIN_COMPRAS__2[[#This Row],[$/ UN NETO]]*DATAIN_COMPRAS__2[[#This Row],[IVA]]</f>
        <v>1203.8125</v>
      </c>
      <c r="K414" s="7">
        <f>E414*F414*(1-I414)*(H414)</f>
        <v>9630.5</v>
      </c>
      <c r="L414" t="s">
        <v>255</v>
      </c>
    </row>
    <row r="415" spans="1:12" x14ac:dyDescent="0.35">
      <c r="A415" s="13">
        <v>45769</v>
      </c>
      <c r="B415" t="s">
        <v>257</v>
      </c>
      <c r="C415" t="s">
        <v>263</v>
      </c>
      <c r="E415" s="8">
        <v>5</v>
      </c>
      <c r="F415" s="1">
        <f>+(1060)/1.21</f>
        <v>876.03305785123973</v>
      </c>
      <c r="H415">
        <v>1.21</v>
      </c>
      <c r="J415" s="2">
        <f>+DATAIN_COMPRAS__2[[#This Row],[$/ UN NETO]]*DATAIN_COMPRAS__2[[#This Row],[IVA]]</f>
        <v>1060</v>
      </c>
      <c r="K415" s="7">
        <f>E415*F415*(1-I415)*(H415)</f>
        <v>5300</v>
      </c>
      <c r="L415" t="s">
        <v>255</v>
      </c>
    </row>
    <row r="416" spans="1:12" x14ac:dyDescent="0.35">
      <c r="A416" s="13">
        <v>45769</v>
      </c>
      <c r="B416" t="s">
        <v>257</v>
      </c>
      <c r="C416" t="s">
        <v>263</v>
      </c>
      <c r="E416" s="8">
        <v>5</v>
      </c>
      <c r="F416" s="1">
        <f>1060/DATAIN_COMPRAS__2[[#This Row],[IVA]]</f>
        <v>876.03305785123973</v>
      </c>
      <c r="G416" t="s">
        <v>244</v>
      </c>
      <c r="H416">
        <v>1.21</v>
      </c>
      <c r="J416" s="2">
        <f>+DATAIN_COMPRAS__2[[#This Row],[$/ UN NETO]]*DATAIN_COMPRAS__2[[#This Row],[IVA]]</f>
        <v>1060</v>
      </c>
      <c r="K416" s="7">
        <f t="shared" ref="K416:K440" si="9">(E416*F416)*(1-I416)*(H416)</f>
        <v>5300</v>
      </c>
      <c r="L416" t="s">
        <v>237</v>
      </c>
    </row>
    <row r="417" spans="1:12" x14ac:dyDescent="0.35">
      <c r="A417" s="13">
        <v>45769</v>
      </c>
      <c r="B417" t="s">
        <v>75</v>
      </c>
      <c r="C417" t="s">
        <v>77</v>
      </c>
      <c r="E417" s="8">
        <v>12</v>
      </c>
      <c r="F417" s="1">
        <v>1101.4100000000001</v>
      </c>
      <c r="G417" t="s">
        <v>236</v>
      </c>
      <c r="H417">
        <v>1.21</v>
      </c>
      <c r="J417" s="2">
        <f>+DATAIN_COMPRAS__2[[#This Row],[$/ UN NETO]]*DATAIN_COMPRAS__2[[#This Row],[IVA]]</f>
        <v>1332.7061000000001</v>
      </c>
      <c r="K417" s="7">
        <f t="shared" si="9"/>
        <v>15992.473200000002</v>
      </c>
      <c r="L417" t="s">
        <v>237</v>
      </c>
    </row>
    <row r="418" spans="1:12" x14ac:dyDescent="0.35">
      <c r="A418" s="13">
        <v>45769</v>
      </c>
      <c r="B418" t="s">
        <v>75</v>
      </c>
      <c r="C418" t="s">
        <v>78</v>
      </c>
      <c r="E418" s="8">
        <v>12</v>
      </c>
      <c r="F418" s="1">
        <v>1182.56</v>
      </c>
      <c r="G418" t="s">
        <v>236</v>
      </c>
      <c r="H418">
        <v>1.21</v>
      </c>
      <c r="J418" s="2">
        <f>+DATAIN_COMPRAS__2[[#This Row],[$/ UN NETO]]*DATAIN_COMPRAS__2[[#This Row],[IVA]]</f>
        <v>1430.8975999999998</v>
      </c>
      <c r="K418" s="7">
        <f t="shared" si="9"/>
        <v>17170.771199999999</v>
      </c>
      <c r="L418" t="s">
        <v>237</v>
      </c>
    </row>
    <row r="419" spans="1:12" x14ac:dyDescent="0.35">
      <c r="A419" s="13">
        <v>45769</v>
      </c>
      <c r="B419" t="s">
        <v>75</v>
      </c>
      <c r="C419" t="s">
        <v>76</v>
      </c>
      <c r="E419" s="8">
        <v>84</v>
      </c>
      <c r="F419" s="1">
        <v>1101.4100000000001</v>
      </c>
      <c r="G419" t="s">
        <v>236</v>
      </c>
      <c r="H419">
        <v>1.21</v>
      </c>
      <c r="J419" s="2">
        <f>+DATAIN_COMPRAS__2[[#This Row],[$/ UN NETO]]*DATAIN_COMPRAS__2[[#This Row],[IVA]]</f>
        <v>1332.7061000000001</v>
      </c>
      <c r="K419" s="7">
        <f t="shared" si="9"/>
        <v>111947.3124</v>
      </c>
      <c r="L419" t="s">
        <v>237</v>
      </c>
    </row>
    <row r="420" spans="1:12" x14ac:dyDescent="0.35">
      <c r="A420" s="13">
        <v>45770</v>
      </c>
      <c r="B420" t="s">
        <v>102</v>
      </c>
      <c r="C420" s="14" t="s">
        <v>103</v>
      </c>
      <c r="E420" s="8">
        <v>360</v>
      </c>
      <c r="F420" s="1">
        <f>76000/360/DATAIN_COMPRAS__2[[#This Row],[IVA]]</f>
        <v>174.47199265381084</v>
      </c>
      <c r="H420">
        <v>1.21</v>
      </c>
      <c r="J420" s="2">
        <f>+DATAIN_COMPRAS__2[[#This Row],[$/ UN NETO]]*DATAIN_COMPRAS__2[[#This Row],[IVA]]</f>
        <v>211.11111111111111</v>
      </c>
      <c r="K420" s="7">
        <f t="shared" si="9"/>
        <v>76000</v>
      </c>
      <c r="L420" t="s">
        <v>158</v>
      </c>
    </row>
    <row r="421" spans="1:12" x14ac:dyDescent="0.35">
      <c r="A421" s="13">
        <v>45770</v>
      </c>
      <c r="B421" t="s">
        <v>12</v>
      </c>
      <c r="C421" t="s">
        <v>267</v>
      </c>
      <c r="E421" s="8">
        <v>1</v>
      </c>
      <c r="F421" s="1">
        <f>1800/DATAIN_COMPRAS__2[[#This Row],[IVA]]</f>
        <v>1628.9592760180997</v>
      </c>
      <c r="G421" t="s">
        <v>236</v>
      </c>
      <c r="H421">
        <v>1.105</v>
      </c>
      <c r="J421" s="2">
        <f>+DATAIN_COMPRAS__2[[#This Row],[$/ UN NETO]]*DATAIN_COMPRAS__2[[#This Row],[IVA]]</f>
        <v>1800</v>
      </c>
      <c r="K421" s="7">
        <f t="shared" si="9"/>
        <v>1800</v>
      </c>
      <c r="L421" t="s">
        <v>158</v>
      </c>
    </row>
    <row r="422" spans="1:12" x14ac:dyDescent="0.35">
      <c r="A422" s="13">
        <v>45770</v>
      </c>
      <c r="B422" t="s">
        <v>12</v>
      </c>
      <c r="C422" t="s">
        <v>14</v>
      </c>
      <c r="E422" s="8">
        <v>0.5</v>
      </c>
      <c r="F422" s="1">
        <f>15000/DATAIN_COMPRAS__2[[#This Row],[IVA]]</f>
        <v>13574.660633484164</v>
      </c>
      <c r="G422" t="s">
        <v>236</v>
      </c>
      <c r="H422">
        <v>1.105</v>
      </c>
      <c r="J422" s="2">
        <f>+DATAIN_COMPRAS__2[[#This Row],[$/ UN NETO]]*DATAIN_COMPRAS__2[[#This Row],[IVA]]</f>
        <v>15000</v>
      </c>
      <c r="K422" s="7">
        <f t="shared" si="9"/>
        <v>7500</v>
      </c>
      <c r="L422" t="s">
        <v>158</v>
      </c>
    </row>
    <row r="423" spans="1:12" x14ac:dyDescent="0.35">
      <c r="A423" s="13">
        <v>45770</v>
      </c>
      <c r="B423" t="s">
        <v>12</v>
      </c>
      <c r="C423" t="s">
        <v>16</v>
      </c>
      <c r="E423" s="8">
        <v>1</v>
      </c>
      <c r="F423" s="1">
        <f>1600/DATAIN_COMPRAS__2[[#This Row],[IVA]]</f>
        <v>1447.9638009049775</v>
      </c>
      <c r="G423" t="s">
        <v>236</v>
      </c>
      <c r="H423">
        <v>1.105</v>
      </c>
      <c r="J423" s="2">
        <f>+DATAIN_COMPRAS__2[[#This Row],[$/ UN NETO]]*DATAIN_COMPRAS__2[[#This Row],[IVA]]</f>
        <v>1600</v>
      </c>
      <c r="K423" s="7">
        <f t="shared" si="9"/>
        <v>1600</v>
      </c>
      <c r="L423" t="s">
        <v>158</v>
      </c>
    </row>
    <row r="424" spans="1:12" x14ac:dyDescent="0.35">
      <c r="A424" s="13">
        <v>45770</v>
      </c>
      <c r="B424" t="s">
        <v>12</v>
      </c>
      <c r="C424" t="s">
        <v>268</v>
      </c>
      <c r="E424" s="8">
        <v>1</v>
      </c>
      <c r="F424" s="1">
        <f>5300/DATAIN_COMPRAS__2[[#This Row],[IVA]]</f>
        <v>4796.3800904977379</v>
      </c>
      <c r="G424" t="s">
        <v>236</v>
      </c>
      <c r="H424">
        <v>1.105</v>
      </c>
      <c r="J424" s="2">
        <f>+DATAIN_COMPRAS__2[[#This Row],[$/ UN NETO]]*DATAIN_COMPRAS__2[[#This Row],[IVA]]</f>
        <v>5300</v>
      </c>
      <c r="K424" s="7">
        <f t="shared" si="9"/>
        <v>5300</v>
      </c>
      <c r="L424" t="s">
        <v>158</v>
      </c>
    </row>
    <row r="425" spans="1:12" x14ac:dyDescent="0.35">
      <c r="A425" s="13">
        <v>45770</v>
      </c>
      <c r="B425" t="s">
        <v>12</v>
      </c>
      <c r="C425" t="s">
        <v>30</v>
      </c>
      <c r="E425" s="8">
        <v>5</v>
      </c>
      <c r="F425" s="1">
        <f>1300/DATAIN_COMPRAS__2[[#This Row],[IVA]]</f>
        <v>1176.4705882352941</v>
      </c>
      <c r="G425" t="s">
        <v>236</v>
      </c>
      <c r="H425">
        <v>1.105</v>
      </c>
      <c r="J425" s="2">
        <f>+DATAIN_COMPRAS__2[[#This Row],[$/ UN NETO]]*DATAIN_COMPRAS__2[[#This Row],[IVA]]</f>
        <v>1300</v>
      </c>
      <c r="K425" s="7">
        <f t="shared" si="9"/>
        <v>6499.9999999999991</v>
      </c>
      <c r="L425" t="s">
        <v>158</v>
      </c>
    </row>
    <row r="426" spans="1:12" x14ac:dyDescent="0.35">
      <c r="A426" s="13">
        <v>45770</v>
      </c>
      <c r="B426" t="s">
        <v>264</v>
      </c>
      <c r="C426" t="str">
        <f>+UPPER("Crema Balde x 5Lt 44% MILKAUT")</f>
        <v>CREMA BALDE X 5LT 44% MILKAUT</v>
      </c>
      <c r="E426" s="8">
        <v>5</v>
      </c>
      <c r="F426" s="1">
        <f>33376.856/5</f>
        <v>6675.3711999999996</v>
      </c>
      <c r="G426" t="s">
        <v>236</v>
      </c>
      <c r="H426">
        <v>1.21</v>
      </c>
      <c r="J426" s="2">
        <f>+DATAIN_COMPRAS__2[[#This Row],[$/ UN NETO]]*DATAIN_COMPRAS__2[[#This Row],[IVA]]</f>
        <v>8077.1991519999992</v>
      </c>
      <c r="K426" s="7">
        <f t="shared" si="9"/>
        <v>40385.995759999998</v>
      </c>
      <c r="L426" t="s">
        <v>237</v>
      </c>
    </row>
    <row r="427" spans="1:12" x14ac:dyDescent="0.35">
      <c r="A427" s="13">
        <v>45770</v>
      </c>
      <c r="B427" t="s">
        <v>264</v>
      </c>
      <c r="C427" t="s">
        <v>266</v>
      </c>
      <c r="E427" s="8">
        <v>15</v>
      </c>
      <c r="F427" s="1">
        <f>49332.122/5</f>
        <v>9866.4243999999999</v>
      </c>
      <c r="G427" t="s">
        <v>236</v>
      </c>
      <c r="H427">
        <v>1.21</v>
      </c>
      <c r="J427" s="2">
        <f>+DATAIN_COMPRAS__2[[#This Row],[$/ UN NETO]]*DATAIN_COMPRAS__2[[#This Row],[IVA]]</f>
        <v>11938.373523999999</v>
      </c>
      <c r="K427" s="7">
        <f t="shared" si="9"/>
        <v>179075.60286000001</v>
      </c>
      <c r="L427" t="s">
        <v>237</v>
      </c>
    </row>
    <row r="428" spans="1:12" x14ac:dyDescent="0.35">
      <c r="A428" s="13">
        <v>45770</v>
      </c>
      <c r="B428" t="s">
        <v>264</v>
      </c>
      <c r="C428" t="s">
        <v>265</v>
      </c>
      <c r="E428" s="8">
        <v>3.44</v>
      </c>
      <c r="F428" s="1">
        <v>4148.7640000000001</v>
      </c>
      <c r="G428" t="s">
        <v>236</v>
      </c>
      <c r="H428">
        <v>1.21</v>
      </c>
      <c r="J428" s="2">
        <f>+DATAIN_COMPRAS__2[[#This Row],[$/ UN NETO]]*DATAIN_COMPRAS__2[[#This Row],[IVA]]</f>
        <v>5020.0044399999997</v>
      </c>
      <c r="K428" s="7">
        <f t="shared" si="9"/>
        <v>17268.815273600001</v>
      </c>
      <c r="L428" t="s">
        <v>237</v>
      </c>
    </row>
    <row r="429" spans="1:12" x14ac:dyDescent="0.35">
      <c r="A429" s="13">
        <v>45770</v>
      </c>
      <c r="B429" t="s">
        <v>199</v>
      </c>
      <c r="C429" t="s">
        <v>135</v>
      </c>
      <c r="E429" s="8">
        <v>5</v>
      </c>
      <c r="F429" s="1">
        <v>6958.5950000000003</v>
      </c>
      <c r="G429" t="s">
        <v>236</v>
      </c>
      <c r="H429">
        <v>1.21</v>
      </c>
      <c r="J429" s="2">
        <f>+DATAIN_COMPRAS__2[[#This Row],[$/ UN NETO]]*DATAIN_COMPRAS__2[[#This Row],[IVA]]</f>
        <v>8419.8999500000009</v>
      </c>
      <c r="K429" s="7">
        <f t="shared" si="9"/>
        <v>42099.499749999995</v>
      </c>
      <c r="L429" t="s">
        <v>237</v>
      </c>
    </row>
    <row r="430" spans="1:12" x14ac:dyDescent="0.35">
      <c r="A430" s="13">
        <v>45770</v>
      </c>
      <c r="B430" t="s">
        <v>199</v>
      </c>
      <c r="C430" t="s">
        <v>205</v>
      </c>
      <c r="E430" s="8">
        <v>8</v>
      </c>
      <c r="F430" s="1">
        <v>5784.3</v>
      </c>
      <c r="G430" t="s">
        <v>236</v>
      </c>
      <c r="H430">
        <v>1.21</v>
      </c>
      <c r="J430" s="2">
        <f>+DATAIN_COMPRAS__2[[#This Row],[$/ UN NETO]]*DATAIN_COMPRAS__2[[#This Row],[IVA]]</f>
        <v>6999.0029999999997</v>
      </c>
      <c r="K430" s="7">
        <f t="shared" si="9"/>
        <v>55992.023999999998</v>
      </c>
      <c r="L430" t="s">
        <v>237</v>
      </c>
    </row>
    <row r="431" spans="1:12" x14ac:dyDescent="0.35">
      <c r="A431" s="13">
        <v>45770</v>
      </c>
      <c r="B431" t="s">
        <v>199</v>
      </c>
      <c r="C431" t="s">
        <v>223</v>
      </c>
      <c r="E431" s="8">
        <v>10</v>
      </c>
      <c r="F431" s="2">
        <f>47409.92/10</f>
        <v>4740.9920000000002</v>
      </c>
      <c r="G431" t="s">
        <v>236</v>
      </c>
      <c r="H431">
        <v>1.21</v>
      </c>
      <c r="J431" s="2">
        <f>+DATAIN_COMPRAS__2[[#This Row],[$/ UN NETO]]*DATAIN_COMPRAS__2[[#This Row],[IVA]]</f>
        <v>5736.6003200000005</v>
      </c>
      <c r="K431" s="7">
        <f t="shared" si="9"/>
        <v>57366.003199999999</v>
      </c>
      <c r="L431" t="s">
        <v>237</v>
      </c>
    </row>
    <row r="432" spans="1:12" x14ac:dyDescent="0.35">
      <c r="A432" s="13">
        <v>45771</v>
      </c>
      <c r="B432" t="s">
        <v>124</v>
      </c>
      <c r="C432" s="14" t="s">
        <v>125</v>
      </c>
      <c r="E432" s="8">
        <f>9+6</f>
        <v>15</v>
      </c>
      <c r="F432" s="1">
        <f>38000/1.21</f>
        <v>31404.958677685951</v>
      </c>
      <c r="G432" t="s">
        <v>236</v>
      </c>
      <c r="H432">
        <v>1.21</v>
      </c>
      <c r="J432" s="2">
        <f>+DATAIN_COMPRAS__2[[#This Row],[$/ UN NETO]]*DATAIN_COMPRAS__2[[#This Row],[IVA]]</f>
        <v>38000</v>
      </c>
      <c r="K432" s="7">
        <f t="shared" si="9"/>
        <v>570000</v>
      </c>
      <c r="L432" t="s">
        <v>237</v>
      </c>
    </row>
    <row r="433" spans="1:12" x14ac:dyDescent="0.35">
      <c r="A433" s="13">
        <v>45771</v>
      </c>
      <c r="B433" t="s">
        <v>124</v>
      </c>
      <c r="C433" s="14" t="s">
        <v>126</v>
      </c>
      <c r="E433" s="8">
        <v>4</v>
      </c>
      <c r="F433" s="1">
        <f>(16000+16000+17000+17000)/4/1.21</f>
        <v>13636.363636363636</v>
      </c>
      <c r="G433" t="s">
        <v>236</v>
      </c>
      <c r="H433">
        <v>1.21</v>
      </c>
      <c r="J433" s="2">
        <f>+DATAIN_COMPRAS__2[[#This Row],[$/ UN NETO]]*DATAIN_COMPRAS__2[[#This Row],[IVA]]</f>
        <v>16500</v>
      </c>
      <c r="K433" s="7">
        <f t="shared" si="9"/>
        <v>66000</v>
      </c>
      <c r="L433" t="s">
        <v>237</v>
      </c>
    </row>
    <row r="434" spans="1:12" x14ac:dyDescent="0.35">
      <c r="A434" s="13">
        <v>45771</v>
      </c>
      <c r="B434" t="s">
        <v>48</v>
      </c>
      <c r="C434" s="14" t="s">
        <v>198</v>
      </c>
      <c r="E434" s="8">
        <v>1</v>
      </c>
      <c r="F434" s="1">
        <v>1527.8513</v>
      </c>
      <c r="G434" t="s">
        <v>236</v>
      </c>
      <c r="H434">
        <v>1.21</v>
      </c>
      <c r="I434">
        <v>0.06</v>
      </c>
      <c r="J434" s="2">
        <f>+DATAIN_COMPRAS__2[[#This Row],[$/ UN NETO]]*DATAIN_COMPRAS__2[[#This Row],[IVA]]</f>
        <v>1848.700073</v>
      </c>
      <c r="K434" s="7">
        <f t="shared" si="9"/>
        <v>1737.7780686199999</v>
      </c>
      <c r="L434" t="s">
        <v>158</v>
      </c>
    </row>
    <row r="435" spans="1:12" x14ac:dyDescent="0.35">
      <c r="A435" s="13">
        <v>45771</v>
      </c>
      <c r="B435" t="s">
        <v>102</v>
      </c>
      <c r="C435" s="14" t="s">
        <v>103</v>
      </c>
      <c r="E435" s="8">
        <v>360</v>
      </c>
      <c r="F435" s="1">
        <f>76000/360/DATAIN_COMPRAS__2[[#This Row],[IVA]]</f>
        <v>174.47199265381084</v>
      </c>
      <c r="H435">
        <v>1.21</v>
      </c>
      <c r="J435" s="2">
        <f>+DATAIN_COMPRAS__2[[#This Row],[$/ UN NETO]]*DATAIN_COMPRAS__2[[#This Row],[IVA]]</f>
        <v>211.11111111111111</v>
      </c>
      <c r="K435" s="7">
        <f t="shared" si="9"/>
        <v>76000</v>
      </c>
      <c r="L435" t="s">
        <v>237</v>
      </c>
    </row>
    <row r="436" spans="1:12" x14ac:dyDescent="0.35">
      <c r="A436" s="13">
        <v>45771</v>
      </c>
      <c r="B436" t="s">
        <v>129</v>
      </c>
      <c r="C436" t="s">
        <v>270</v>
      </c>
      <c r="E436" s="8">
        <v>3</v>
      </c>
      <c r="F436" s="1">
        <v>4000</v>
      </c>
      <c r="G436" t="s">
        <v>269</v>
      </c>
      <c r="H436">
        <v>1</v>
      </c>
      <c r="J436" s="2">
        <f>+DATAIN_COMPRAS__2[[#This Row],[$/ UN NETO]]*DATAIN_COMPRAS__2[[#This Row],[IVA]]</f>
        <v>4000</v>
      </c>
      <c r="K436" s="7">
        <f t="shared" si="9"/>
        <v>12000</v>
      </c>
      <c r="L436" t="s">
        <v>237</v>
      </c>
    </row>
    <row r="437" spans="1:12" x14ac:dyDescent="0.35">
      <c r="A437" s="13">
        <v>45771</v>
      </c>
      <c r="B437" t="s">
        <v>129</v>
      </c>
      <c r="C437" t="s">
        <v>130</v>
      </c>
      <c r="E437" s="8">
        <v>54</v>
      </c>
      <c r="F437" s="1">
        <v>600</v>
      </c>
      <c r="G437" t="s">
        <v>269</v>
      </c>
      <c r="H437">
        <v>1</v>
      </c>
      <c r="J437" s="2">
        <f>+DATAIN_COMPRAS__2[[#This Row],[$/ UN NETO]]*DATAIN_COMPRAS__2[[#This Row],[IVA]]</f>
        <v>600</v>
      </c>
      <c r="K437" s="7">
        <f t="shared" si="9"/>
        <v>32400</v>
      </c>
      <c r="L437" t="s">
        <v>237</v>
      </c>
    </row>
    <row r="438" spans="1:12" x14ac:dyDescent="0.35">
      <c r="A438" s="13">
        <v>45772</v>
      </c>
      <c r="B438" t="s">
        <v>199</v>
      </c>
      <c r="C438" t="s">
        <v>206</v>
      </c>
      <c r="E438" s="8">
        <v>5</v>
      </c>
      <c r="F438" s="1">
        <f>90760.33/5</f>
        <v>18152.065999999999</v>
      </c>
      <c r="G438" t="s">
        <v>236</v>
      </c>
      <c r="H438">
        <v>1.21</v>
      </c>
      <c r="J438" s="2">
        <f>+DATAIN_COMPRAS__2[[#This Row],[$/ UN NETO]]*DATAIN_COMPRAS__2[[#This Row],[IVA]]</f>
        <v>21963.999859999996</v>
      </c>
      <c r="K438" s="7">
        <f t="shared" si="9"/>
        <v>109819.99929999998</v>
      </c>
      <c r="L438" t="s">
        <v>237</v>
      </c>
    </row>
    <row r="439" spans="1:12" x14ac:dyDescent="0.35">
      <c r="A439" s="13">
        <v>45772</v>
      </c>
      <c r="B439" t="s">
        <v>199</v>
      </c>
      <c r="C439" t="s">
        <v>136</v>
      </c>
      <c r="E439" s="8">
        <v>16</v>
      </c>
      <c r="F439" s="1">
        <f>22479.34/8</f>
        <v>2809.9175</v>
      </c>
      <c r="G439" t="s">
        <v>236</v>
      </c>
      <c r="H439">
        <v>1.21</v>
      </c>
      <c r="J439" s="2">
        <f>+DATAIN_COMPRAS__2[[#This Row],[$/ UN NETO]]*DATAIN_COMPRAS__2[[#This Row],[IVA]]</f>
        <v>3400.0001750000001</v>
      </c>
      <c r="K439" s="7">
        <f t="shared" si="9"/>
        <v>54400.002800000002</v>
      </c>
      <c r="L439" t="s">
        <v>237</v>
      </c>
    </row>
    <row r="440" spans="1:12" x14ac:dyDescent="0.35">
      <c r="A440" s="13">
        <v>45773</v>
      </c>
      <c r="B440" t="s">
        <v>199</v>
      </c>
      <c r="C440" t="s">
        <v>136</v>
      </c>
      <c r="E440" s="8">
        <v>16</v>
      </c>
      <c r="F440" s="1">
        <f>22479.34/8</f>
        <v>2809.9175</v>
      </c>
      <c r="G440" t="s">
        <v>236</v>
      </c>
      <c r="H440">
        <v>1.21</v>
      </c>
      <c r="J440" s="2">
        <f>+DATAIN_COMPRAS__2[[#This Row],[$/ UN NETO]]*DATAIN_COMPRAS__2[[#This Row],[IVA]]</f>
        <v>3400.0001750000001</v>
      </c>
      <c r="K440" s="7">
        <f t="shared" si="9"/>
        <v>54400.002800000002</v>
      </c>
      <c r="L440" t="s">
        <v>237</v>
      </c>
    </row>
    <row r="441" spans="1:12" x14ac:dyDescent="0.35">
      <c r="A441" s="13">
        <v>45774</v>
      </c>
      <c r="B441" t="s">
        <v>199</v>
      </c>
      <c r="C441" t="s">
        <v>271</v>
      </c>
      <c r="E441" s="8"/>
      <c r="F441" s="1"/>
      <c r="J441" s="2"/>
      <c r="K441" s="7"/>
      <c r="L441" t="s">
        <v>255</v>
      </c>
    </row>
    <row r="442" spans="1:12" x14ac:dyDescent="0.35">
      <c r="A442" s="13">
        <v>45774</v>
      </c>
      <c r="B442" t="s">
        <v>199</v>
      </c>
      <c r="C442" t="s">
        <v>272</v>
      </c>
      <c r="E442" s="8"/>
      <c r="F442" s="1"/>
      <c r="J442" s="2"/>
      <c r="K442" s="7"/>
      <c r="L442" t="s">
        <v>255</v>
      </c>
    </row>
    <row r="443" spans="1:12" x14ac:dyDescent="0.35">
      <c r="A443" s="13">
        <v>45775</v>
      </c>
      <c r="B443" t="s">
        <v>185</v>
      </c>
      <c r="C443" s="14" t="s">
        <v>189</v>
      </c>
      <c r="E443" s="8">
        <v>1</v>
      </c>
      <c r="F443" s="1">
        <f>(22923/25)/DATAIN_COMPRAS__2[[#This Row],[IVA]]</f>
        <v>757.78512396694214</v>
      </c>
      <c r="H443">
        <v>1.21</v>
      </c>
      <c r="J443" s="2">
        <f>+DATAIN_COMPRAS__2[[#This Row],[$/ UN NETO]]*DATAIN_COMPRAS__2[[#This Row],[IVA]]</f>
        <v>916.92</v>
      </c>
      <c r="K443" s="7">
        <f t="shared" ref="K443:K456" si="10">(E443*F443)*(1-I443)*(H443)</f>
        <v>916.92</v>
      </c>
      <c r="L443" t="s">
        <v>255</v>
      </c>
    </row>
    <row r="444" spans="1:12" x14ac:dyDescent="0.35">
      <c r="A444" s="13">
        <v>45775</v>
      </c>
      <c r="B444" t="s">
        <v>48</v>
      </c>
      <c r="C444" t="s">
        <v>50</v>
      </c>
      <c r="E444" s="8">
        <v>1</v>
      </c>
      <c r="F444" s="1">
        <f>65468.18/5/DATAIN_COMPRAS__2[[#This Row],[IVA]]</f>
        <v>10821.186776859506</v>
      </c>
      <c r="H444">
        <v>1.21</v>
      </c>
      <c r="J444" s="2">
        <f>+DATAIN_COMPRAS__2[[#This Row],[$/ UN NETO]]*DATAIN_COMPRAS__2[[#This Row],[IVA]]</f>
        <v>13093.636000000002</v>
      </c>
      <c r="K444" s="7">
        <f t="shared" si="10"/>
        <v>13093.636000000002</v>
      </c>
      <c r="L444" t="s">
        <v>255</v>
      </c>
    </row>
    <row r="445" spans="1:12" x14ac:dyDescent="0.35">
      <c r="A445" s="13">
        <v>45775</v>
      </c>
      <c r="B445" t="s">
        <v>80</v>
      </c>
      <c r="C445" t="s">
        <v>284</v>
      </c>
      <c r="E445" s="8"/>
      <c r="F445" s="1"/>
      <c r="J445" s="2">
        <f>+DATAIN_COMPRAS__2[[#This Row],[$/ UN NETO]]*DATAIN_COMPRAS__2[[#This Row],[IVA]]</f>
        <v>0</v>
      </c>
      <c r="K445" s="7">
        <f t="shared" si="10"/>
        <v>0</v>
      </c>
      <c r="L445" t="s">
        <v>255</v>
      </c>
    </row>
    <row r="446" spans="1:12" x14ac:dyDescent="0.35">
      <c r="A446" s="13">
        <v>45775</v>
      </c>
      <c r="B446" t="s">
        <v>80</v>
      </c>
      <c r="C446" t="s">
        <v>285</v>
      </c>
      <c r="E446" s="8"/>
      <c r="F446" s="1"/>
      <c r="J446" s="2">
        <f>+DATAIN_COMPRAS__2[[#This Row],[$/ UN NETO]]*DATAIN_COMPRAS__2[[#This Row],[IVA]]</f>
        <v>0</v>
      </c>
      <c r="K446" s="7">
        <f t="shared" si="10"/>
        <v>0</v>
      </c>
      <c r="L446" t="s">
        <v>255</v>
      </c>
    </row>
    <row r="447" spans="1:12" x14ac:dyDescent="0.35">
      <c r="A447" s="13">
        <v>45775</v>
      </c>
      <c r="B447" t="s">
        <v>80</v>
      </c>
      <c r="C447" t="s">
        <v>278</v>
      </c>
      <c r="E447" s="8"/>
      <c r="F447" s="1"/>
      <c r="J447" s="2">
        <f>+DATAIN_COMPRAS__2[[#This Row],[$/ UN NETO]]*DATAIN_COMPRAS__2[[#This Row],[IVA]]</f>
        <v>0</v>
      </c>
      <c r="K447" s="7">
        <f t="shared" si="10"/>
        <v>0</v>
      </c>
      <c r="L447" t="s">
        <v>255</v>
      </c>
    </row>
    <row r="448" spans="1:12" x14ac:dyDescent="0.35">
      <c r="A448" s="13">
        <v>45775</v>
      </c>
      <c r="B448" t="s">
        <v>80</v>
      </c>
      <c r="C448" t="s">
        <v>277</v>
      </c>
      <c r="E448" s="8"/>
      <c r="F448" s="1"/>
      <c r="J448" s="2">
        <f>+DATAIN_COMPRAS__2[[#This Row],[$/ UN NETO]]*DATAIN_COMPRAS__2[[#This Row],[IVA]]</f>
        <v>0</v>
      </c>
      <c r="K448" s="7">
        <f t="shared" si="10"/>
        <v>0</v>
      </c>
      <c r="L448" t="s">
        <v>255</v>
      </c>
    </row>
    <row r="449" spans="1:12" x14ac:dyDescent="0.35">
      <c r="A449" s="13">
        <v>45775</v>
      </c>
      <c r="B449" t="s">
        <v>80</v>
      </c>
      <c r="C449" t="s">
        <v>282</v>
      </c>
      <c r="E449" s="8"/>
      <c r="F449" s="1"/>
      <c r="J449" s="2">
        <f>+DATAIN_COMPRAS__2[[#This Row],[$/ UN NETO]]*DATAIN_COMPRAS__2[[#This Row],[IVA]]</f>
        <v>0</v>
      </c>
      <c r="K449" s="7">
        <f t="shared" si="10"/>
        <v>0</v>
      </c>
      <c r="L449" t="s">
        <v>255</v>
      </c>
    </row>
    <row r="450" spans="1:12" x14ac:dyDescent="0.35">
      <c r="A450" s="13">
        <v>45775</v>
      </c>
      <c r="B450" t="s">
        <v>80</v>
      </c>
      <c r="C450" t="s">
        <v>280</v>
      </c>
      <c r="E450" s="8"/>
      <c r="F450" s="1"/>
      <c r="J450" s="2">
        <f>+DATAIN_COMPRAS__2[[#This Row],[$/ UN NETO]]*DATAIN_COMPRAS__2[[#This Row],[IVA]]</f>
        <v>0</v>
      </c>
      <c r="K450" s="7">
        <f t="shared" si="10"/>
        <v>0</v>
      </c>
      <c r="L450" t="s">
        <v>255</v>
      </c>
    </row>
    <row r="451" spans="1:12" x14ac:dyDescent="0.35">
      <c r="A451" s="13">
        <v>45775</v>
      </c>
      <c r="B451" t="s">
        <v>80</v>
      </c>
      <c r="C451" t="s">
        <v>279</v>
      </c>
      <c r="E451" s="8"/>
      <c r="F451" s="1"/>
      <c r="J451" s="2">
        <f>+DATAIN_COMPRAS__2[[#This Row],[$/ UN NETO]]*DATAIN_COMPRAS__2[[#This Row],[IVA]]</f>
        <v>0</v>
      </c>
      <c r="K451" s="7">
        <f t="shared" si="10"/>
        <v>0</v>
      </c>
      <c r="L451" t="s">
        <v>255</v>
      </c>
    </row>
    <row r="452" spans="1:12" x14ac:dyDescent="0.35">
      <c r="A452" s="13">
        <v>45775</v>
      </c>
      <c r="B452" t="s">
        <v>80</v>
      </c>
      <c r="C452" t="s">
        <v>283</v>
      </c>
      <c r="E452" s="8"/>
      <c r="F452" s="1"/>
      <c r="J452" s="2">
        <f>+DATAIN_COMPRAS__2[[#This Row],[$/ UN NETO]]*DATAIN_COMPRAS__2[[#This Row],[IVA]]</f>
        <v>0</v>
      </c>
      <c r="K452" s="7">
        <f t="shared" si="10"/>
        <v>0</v>
      </c>
      <c r="L452" t="s">
        <v>255</v>
      </c>
    </row>
    <row r="453" spans="1:12" x14ac:dyDescent="0.35">
      <c r="A453" s="13">
        <v>45775</v>
      </c>
      <c r="B453" t="s">
        <v>80</v>
      </c>
      <c r="C453" t="s">
        <v>281</v>
      </c>
      <c r="E453" s="8"/>
      <c r="F453" s="1"/>
      <c r="J453" s="2">
        <f>+DATAIN_COMPRAS__2[[#This Row],[$/ UN NETO]]*DATAIN_COMPRAS__2[[#This Row],[IVA]]</f>
        <v>0</v>
      </c>
      <c r="K453" s="7">
        <f t="shared" si="10"/>
        <v>0</v>
      </c>
      <c r="L453" t="s">
        <v>255</v>
      </c>
    </row>
    <row r="454" spans="1:12" x14ac:dyDescent="0.35">
      <c r="A454" s="13">
        <v>45775</v>
      </c>
      <c r="B454" t="s">
        <v>80</v>
      </c>
      <c r="C454" t="s">
        <v>842</v>
      </c>
      <c r="E454" s="8"/>
      <c r="F454" s="1"/>
      <c r="J454" s="2">
        <f>+DATAIN_COMPRAS__2[[#This Row],[$/ UN NETO]]*DATAIN_COMPRAS__2[[#This Row],[IVA]]</f>
        <v>0</v>
      </c>
      <c r="K454" s="7">
        <f t="shared" si="10"/>
        <v>0</v>
      </c>
      <c r="L454" t="s">
        <v>255</v>
      </c>
    </row>
    <row r="455" spans="1:12" x14ac:dyDescent="0.35">
      <c r="A455" s="13">
        <v>45775</v>
      </c>
      <c r="B455" t="s">
        <v>104</v>
      </c>
      <c r="C455" s="14" t="s">
        <v>108</v>
      </c>
      <c r="E455" s="8">
        <v>1</v>
      </c>
      <c r="F455" s="4">
        <f>9300/DATAIN_COMPRAS__2[[#This Row],[IVA]]</f>
        <v>7685.9504132231405</v>
      </c>
      <c r="H455">
        <v>1.21</v>
      </c>
      <c r="J455" s="2">
        <f>+DATAIN_COMPRAS__2[[#This Row],[$/ UN NETO]]*DATAIN_COMPRAS__2[[#This Row],[IVA]]</f>
        <v>9300</v>
      </c>
      <c r="K455" s="7">
        <f t="shared" si="10"/>
        <v>9300</v>
      </c>
      <c r="L455" t="s">
        <v>255</v>
      </c>
    </row>
    <row r="456" spans="1:12" x14ac:dyDescent="0.35">
      <c r="A456" s="13">
        <v>45775</v>
      </c>
      <c r="B456" t="s">
        <v>104</v>
      </c>
      <c r="C456" s="14" t="s">
        <v>105</v>
      </c>
      <c r="E456" s="8">
        <v>1</v>
      </c>
      <c r="F456" s="1">
        <f>9040/DATAIN_COMPRAS__2[[#This Row],[IVA]]</f>
        <v>7471.0743801652898</v>
      </c>
      <c r="H456">
        <v>1.21</v>
      </c>
      <c r="J456" s="2">
        <f>+DATAIN_COMPRAS__2[[#This Row],[$/ UN NETO]]*DATAIN_COMPRAS__2[[#This Row],[IVA]]</f>
        <v>9040</v>
      </c>
      <c r="K456" s="7">
        <f t="shared" si="10"/>
        <v>9040</v>
      </c>
      <c r="L456" t="s">
        <v>255</v>
      </c>
    </row>
    <row r="457" spans="1:12" x14ac:dyDescent="0.35">
      <c r="A457" s="13">
        <v>45775</v>
      </c>
      <c r="B457" t="s">
        <v>154</v>
      </c>
      <c r="C457" t="s">
        <v>274</v>
      </c>
      <c r="E457" s="8"/>
      <c r="F457" s="1"/>
      <c r="J457" s="2"/>
      <c r="K457" s="7"/>
      <c r="L457" t="s">
        <v>255</v>
      </c>
    </row>
    <row r="458" spans="1:12" x14ac:dyDescent="0.35">
      <c r="A458" s="13">
        <v>45775</v>
      </c>
      <c r="B458" t="s">
        <v>110</v>
      </c>
      <c r="C458" s="14" t="s">
        <v>111</v>
      </c>
      <c r="E458" s="8">
        <v>1</v>
      </c>
      <c r="F458" s="1">
        <f>1603.12/DATAIN_COMPRAS__2[[#This Row],[IVA]]</f>
        <v>1324.8925619834711</v>
      </c>
      <c r="H458">
        <v>1.21</v>
      </c>
      <c r="J458" s="2">
        <f>+DATAIN_COMPRAS__2[[#This Row],[$/ UN NETO]]*DATAIN_COMPRAS__2[[#This Row],[IVA]]</f>
        <v>1603.12</v>
      </c>
      <c r="K458" s="7">
        <f t="shared" ref="K458:K463" si="11">(E458*F458)*(1-I458)*(H458)</f>
        <v>1603.12</v>
      </c>
      <c r="L458" t="s">
        <v>255</v>
      </c>
    </row>
    <row r="459" spans="1:12" x14ac:dyDescent="0.35">
      <c r="A459" s="13">
        <v>45775</v>
      </c>
      <c r="B459" t="s">
        <v>110</v>
      </c>
      <c r="C459" s="14" t="s">
        <v>103</v>
      </c>
      <c r="E459" s="8">
        <v>1</v>
      </c>
      <c r="F459" s="1">
        <v>170.70936639118457</v>
      </c>
      <c r="H459">
        <v>1.21</v>
      </c>
      <c r="J459" s="2">
        <f>+DATAIN_COMPRAS__2[[#This Row],[$/ UN NETO]]*DATAIN_COMPRAS__2[[#This Row],[IVA]]</f>
        <v>206.55833333333334</v>
      </c>
      <c r="K459" s="7">
        <f t="shared" si="11"/>
        <v>206.55833333333334</v>
      </c>
      <c r="L459" t="s">
        <v>255</v>
      </c>
    </row>
    <row r="460" spans="1:12" x14ac:dyDescent="0.35">
      <c r="A460" s="13">
        <v>45775</v>
      </c>
      <c r="B460" t="s">
        <v>110</v>
      </c>
      <c r="C460" t="s">
        <v>165</v>
      </c>
      <c r="E460" s="8">
        <v>1</v>
      </c>
      <c r="F460" s="1">
        <f>14093.75/10/DATAIN_COMPRAS__2[[#This Row],[IVA]]</f>
        <v>1164.7727272727273</v>
      </c>
      <c r="H460">
        <v>1.21</v>
      </c>
      <c r="J460" s="2">
        <f>+DATAIN_COMPRAS__2[[#This Row],[$/ UN NETO]]*DATAIN_COMPRAS__2[[#This Row],[IVA]]</f>
        <v>1409.375</v>
      </c>
      <c r="K460" s="7">
        <f t="shared" si="11"/>
        <v>1409.375</v>
      </c>
      <c r="L460" t="s">
        <v>255</v>
      </c>
    </row>
    <row r="461" spans="1:12" x14ac:dyDescent="0.35">
      <c r="A461" s="13">
        <v>45775</v>
      </c>
      <c r="B461" t="s">
        <v>110</v>
      </c>
      <c r="C461" t="s">
        <v>167</v>
      </c>
      <c r="E461" s="8">
        <v>1</v>
      </c>
      <c r="F461" s="1">
        <f>39999.95/25/DATAIN_COMPRAS__2[[#This Row],[IVA]]</f>
        <v>1322.3123966942148</v>
      </c>
      <c r="H461">
        <v>1.21</v>
      </c>
      <c r="J461" s="2">
        <f>+DATAIN_COMPRAS__2[[#This Row],[$/ UN NETO]]*DATAIN_COMPRAS__2[[#This Row],[IVA]]</f>
        <v>1599.9979999999998</v>
      </c>
      <c r="K461" s="7">
        <f t="shared" si="11"/>
        <v>1599.9979999999998</v>
      </c>
      <c r="L461" t="s">
        <v>255</v>
      </c>
    </row>
    <row r="462" spans="1:12" x14ac:dyDescent="0.35">
      <c r="A462" s="13">
        <v>45775</v>
      </c>
      <c r="B462" t="s">
        <v>110</v>
      </c>
      <c r="C462" t="s">
        <v>168</v>
      </c>
      <c r="E462" s="8">
        <v>1</v>
      </c>
      <c r="F462" s="16">
        <f>5808.26*2/DATAIN_COMPRAS__2[[#This Row],[IVA]]</f>
        <v>9600.4297520661166</v>
      </c>
      <c r="H462">
        <v>1.21</v>
      </c>
      <c r="J462" s="2">
        <f>+DATAIN_COMPRAS__2[[#This Row],[$/ UN NETO]]*DATAIN_COMPRAS__2[[#This Row],[IVA]]</f>
        <v>11616.52</v>
      </c>
      <c r="K462" s="7">
        <f t="shared" si="11"/>
        <v>11616.52</v>
      </c>
      <c r="L462" t="s">
        <v>255</v>
      </c>
    </row>
    <row r="463" spans="1:12" x14ac:dyDescent="0.35">
      <c r="A463" s="13">
        <v>45775</v>
      </c>
      <c r="B463" t="s">
        <v>12</v>
      </c>
      <c r="C463" s="14" t="s">
        <v>23</v>
      </c>
      <c r="E463" s="8">
        <v>1</v>
      </c>
      <c r="F463" s="1">
        <f>8999.9/DATAIN_COMPRAS__2[[#This Row],[IVA]]</f>
        <v>8144.7058823529405</v>
      </c>
      <c r="H463">
        <v>1.105</v>
      </c>
      <c r="J463" s="2">
        <f>+DATAIN_COMPRAS__2[[#This Row],[$/ UN NETO]]*DATAIN_COMPRAS__2[[#This Row],[IVA]]</f>
        <v>8999.9</v>
      </c>
      <c r="K463" s="7">
        <f t="shared" si="11"/>
        <v>8999.9</v>
      </c>
      <c r="L463" t="s">
        <v>255</v>
      </c>
    </row>
    <row r="464" spans="1:12" x14ac:dyDescent="0.35">
      <c r="A464" s="13">
        <v>45775</v>
      </c>
      <c r="B464" t="s">
        <v>275</v>
      </c>
      <c r="C464" t="s">
        <v>843</v>
      </c>
      <c r="E464" s="8"/>
      <c r="F464" s="1"/>
      <c r="J464" s="2"/>
      <c r="K464" s="7"/>
      <c r="L464" t="s">
        <v>255</v>
      </c>
    </row>
    <row r="465" spans="1:12" x14ac:dyDescent="0.35">
      <c r="A465" s="13">
        <v>45775</v>
      </c>
      <c r="B465" t="s">
        <v>257</v>
      </c>
      <c r="C465" t="s">
        <v>273</v>
      </c>
      <c r="E465" s="8">
        <v>1</v>
      </c>
      <c r="F465" s="1">
        <f>16445/DATAIN_COMPRAS__2[[#This Row],[IVA]]</f>
        <v>13590.909090909092</v>
      </c>
      <c r="H465">
        <v>1.21</v>
      </c>
      <c r="J465" s="2">
        <f>+DATAIN_COMPRAS__2[[#This Row],[$/ UN NETO]]*DATAIN_COMPRAS__2[[#This Row],[IVA]]</f>
        <v>16445</v>
      </c>
      <c r="K465" s="7">
        <f>(E465*F465)*(1-I465)*(H465)</f>
        <v>16445</v>
      </c>
      <c r="L465" t="s">
        <v>255</v>
      </c>
    </row>
    <row r="466" spans="1:12" x14ac:dyDescent="0.35">
      <c r="A466" s="13">
        <v>45775</v>
      </c>
      <c r="B466" t="s">
        <v>199</v>
      </c>
      <c r="C466" t="s">
        <v>290</v>
      </c>
      <c r="E466" s="8"/>
      <c r="F466" s="1"/>
      <c r="J466" s="2">
        <f>+DATAIN_COMPRAS__2[[#This Row],[$/ UN NETO]]*DATAIN_COMPRAS__2[[#This Row],[IVA]]</f>
        <v>0</v>
      </c>
      <c r="K466" s="7">
        <f>(E466*F466)*(1-I466)*(H466)</f>
        <v>0</v>
      </c>
      <c r="L466" t="s">
        <v>255</v>
      </c>
    </row>
    <row r="467" spans="1:12" x14ac:dyDescent="0.35">
      <c r="A467" s="13">
        <v>45775</v>
      </c>
      <c r="B467" t="s">
        <v>199</v>
      </c>
      <c r="C467" t="s">
        <v>287</v>
      </c>
      <c r="E467" s="8"/>
      <c r="F467" s="1"/>
      <c r="J467" s="2">
        <f>+DATAIN_COMPRAS__2[[#This Row],[$/ UN NETO]]*DATAIN_COMPRAS__2[[#This Row],[IVA]]</f>
        <v>0</v>
      </c>
      <c r="K467" s="7">
        <f>(E467*F467)*(1-I467)*(H467)</f>
        <v>0</v>
      </c>
      <c r="L467" t="s">
        <v>255</v>
      </c>
    </row>
    <row r="468" spans="1:12" x14ac:dyDescent="0.35">
      <c r="A468" s="13">
        <v>45775</v>
      </c>
      <c r="B468" t="s">
        <v>199</v>
      </c>
      <c r="C468" t="s">
        <v>286</v>
      </c>
      <c r="E468" s="8"/>
      <c r="F468" s="1"/>
      <c r="J468" s="2">
        <f>+DATAIN_COMPRAS__2[[#This Row],[$/ UN NETO]]*DATAIN_COMPRAS__2[[#This Row],[IVA]]</f>
        <v>0</v>
      </c>
      <c r="K468" s="7">
        <f>(E468*F468)*(1-I468)*(H468)</f>
        <v>0</v>
      </c>
      <c r="L468" t="s">
        <v>255</v>
      </c>
    </row>
    <row r="469" spans="1:12" x14ac:dyDescent="0.35">
      <c r="A469" s="13">
        <v>45775</v>
      </c>
      <c r="B469" t="s">
        <v>199</v>
      </c>
      <c r="C469" t="s">
        <v>292</v>
      </c>
      <c r="E469" s="8"/>
      <c r="F469" s="1"/>
      <c r="J469" s="2">
        <f>+DATAIN_COMPRAS__2[[#This Row],[$/ UN NETO]]*DATAIN_COMPRAS__2[[#This Row],[IVA]]</f>
        <v>0</v>
      </c>
      <c r="K469" s="7">
        <f>(E469*F469)*(1-I469)*(H469)</f>
        <v>0</v>
      </c>
      <c r="L469" t="s">
        <v>255</v>
      </c>
    </row>
    <row r="470" spans="1:12" x14ac:dyDescent="0.35">
      <c r="A470" s="13">
        <v>45775</v>
      </c>
      <c r="B470" t="s">
        <v>199</v>
      </c>
      <c r="C470" t="s">
        <v>276</v>
      </c>
      <c r="E470" s="8"/>
      <c r="F470" s="1"/>
      <c r="J470" s="2"/>
      <c r="K470" s="7"/>
      <c r="L470" t="s">
        <v>255</v>
      </c>
    </row>
    <row r="471" spans="1:12" x14ac:dyDescent="0.35">
      <c r="A471" s="13">
        <v>45775</v>
      </c>
      <c r="B471" t="s">
        <v>199</v>
      </c>
      <c r="C471" t="s">
        <v>291</v>
      </c>
      <c r="E471" s="8"/>
      <c r="F471" s="1"/>
      <c r="J471" s="2">
        <f>+DATAIN_COMPRAS__2[[#This Row],[$/ UN NETO]]*DATAIN_COMPRAS__2[[#This Row],[IVA]]</f>
        <v>0</v>
      </c>
      <c r="K471" s="7">
        <f t="shared" ref="K471:K534" si="12">(E471*F471)*(1-I471)*(H471)</f>
        <v>0</v>
      </c>
      <c r="L471" t="s">
        <v>255</v>
      </c>
    </row>
    <row r="472" spans="1:12" x14ac:dyDescent="0.35">
      <c r="A472" s="13">
        <v>45775</v>
      </c>
      <c r="B472" t="s">
        <v>199</v>
      </c>
      <c r="C472" t="s">
        <v>289</v>
      </c>
      <c r="E472" s="8"/>
      <c r="F472" s="1"/>
      <c r="J472" s="2">
        <f>+DATAIN_COMPRAS__2[[#This Row],[$/ UN NETO]]*DATAIN_COMPRAS__2[[#This Row],[IVA]]</f>
        <v>0</v>
      </c>
      <c r="K472" s="7">
        <f t="shared" si="12"/>
        <v>0</v>
      </c>
      <c r="L472" t="s">
        <v>255</v>
      </c>
    </row>
    <row r="473" spans="1:12" x14ac:dyDescent="0.35">
      <c r="A473" s="13">
        <v>45775</v>
      </c>
      <c r="B473" t="s">
        <v>199</v>
      </c>
      <c r="C473" t="s">
        <v>288</v>
      </c>
      <c r="E473" s="8"/>
      <c r="F473" s="1"/>
      <c r="J473" s="2">
        <f>+DATAIN_COMPRAS__2[[#This Row],[$/ UN NETO]]*DATAIN_COMPRAS__2[[#This Row],[IVA]]</f>
        <v>0</v>
      </c>
      <c r="K473" s="7">
        <f t="shared" si="12"/>
        <v>0</v>
      </c>
      <c r="L473" t="s">
        <v>255</v>
      </c>
    </row>
    <row r="474" spans="1:12" x14ac:dyDescent="0.35">
      <c r="A474" s="13">
        <v>45776</v>
      </c>
      <c r="B474" t="s">
        <v>104</v>
      </c>
      <c r="C474" t="s">
        <v>108</v>
      </c>
      <c r="E474" s="8">
        <v>1</v>
      </c>
      <c r="F474" s="1">
        <f>9300/DATAIN_COMPRAS__2[[#This Row],[IVA]]</f>
        <v>7685.9504132231405</v>
      </c>
      <c r="G474" t="s">
        <v>236</v>
      </c>
      <c r="H474">
        <v>1.21</v>
      </c>
      <c r="J474" s="2">
        <f>+DATAIN_COMPRAS__2[[#This Row],[$/ UN NETO]]*DATAIN_COMPRAS__2[[#This Row],[IVA]]</f>
        <v>9300</v>
      </c>
      <c r="K474" s="7">
        <f t="shared" si="12"/>
        <v>9300</v>
      </c>
      <c r="L474" t="s">
        <v>158</v>
      </c>
    </row>
    <row r="475" spans="1:12" x14ac:dyDescent="0.35">
      <c r="A475" s="13">
        <v>45776</v>
      </c>
      <c r="B475" t="s">
        <v>104</v>
      </c>
      <c r="C475" t="s">
        <v>105</v>
      </c>
      <c r="E475" s="8">
        <v>4</v>
      </c>
      <c r="F475" s="1">
        <f>10130/DATAIN_COMPRAS__2[[#This Row],[IVA]]</f>
        <v>8371.9008264462809</v>
      </c>
      <c r="G475" t="s">
        <v>236</v>
      </c>
      <c r="H475">
        <v>1.21</v>
      </c>
      <c r="J475" s="2">
        <f>+DATAIN_COMPRAS__2[[#This Row],[$/ UN NETO]]*DATAIN_COMPRAS__2[[#This Row],[IVA]]</f>
        <v>10130</v>
      </c>
      <c r="K475" s="7">
        <f t="shared" si="12"/>
        <v>40520</v>
      </c>
      <c r="L475" t="s">
        <v>158</v>
      </c>
    </row>
    <row r="476" spans="1:12" x14ac:dyDescent="0.35">
      <c r="A476" s="13">
        <v>45776</v>
      </c>
      <c r="B476" t="s">
        <v>104</v>
      </c>
      <c r="C476" t="s">
        <v>105</v>
      </c>
      <c r="E476" s="8">
        <v>4</v>
      </c>
      <c r="F476" s="1">
        <f>10130/DATAIN_COMPRAS__2[[#This Row],[IVA]]</f>
        <v>8371.9008264462809</v>
      </c>
      <c r="G476" t="s">
        <v>236</v>
      </c>
      <c r="H476">
        <v>1.21</v>
      </c>
      <c r="J476" s="2">
        <f>+DATAIN_COMPRAS__2[[#This Row],[$/ UN NETO]]*DATAIN_COMPRAS__2[[#This Row],[IVA]]</f>
        <v>10130</v>
      </c>
      <c r="K476" s="7">
        <f t="shared" si="12"/>
        <v>40520</v>
      </c>
      <c r="L476" t="s">
        <v>237</v>
      </c>
    </row>
    <row r="477" spans="1:12" x14ac:dyDescent="0.35">
      <c r="A477" s="13">
        <v>45776</v>
      </c>
      <c r="B477" t="s">
        <v>154</v>
      </c>
      <c r="C477" s="14" t="s">
        <v>274</v>
      </c>
      <c r="E477" s="8">
        <v>12</v>
      </c>
      <c r="F477" s="1">
        <v>674.38019999999995</v>
      </c>
      <c r="G477" t="s">
        <v>236</v>
      </c>
      <c r="H477">
        <v>1.21</v>
      </c>
      <c r="J477" s="2">
        <f>+DATAIN_COMPRAS__2[[#This Row],[$/ UN NETO]]*DATAIN_COMPRAS__2[[#This Row],[IVA]]</f>
        <v>816.00004199999989</v>
      </c>
      <c r="K477" s="7">
        <f t="shared" si="12"/>
        <v>9792.0005039999978</v>
      </c>
      <c r="L477" t="s">
        <v>237</v>
      </c>
    </row>
    <row r="478" spans="1:12" x14ac:dyDescent="0.35">
      <c r="A478" s="13">
        <v>45776</v>
      </c>
      <c r="B478" t="s">
        <v>110</v>
      </c>
      <c r="C478" t="s">
        <v>111</v>
      </c>
      <c r="E478" s="8">
        <v>2</v>
      </c>
      <c r="F478" s="1">
        <v>1324.89</v>
      </c>
      <c r="G478" t="s">
        <v>236</v>
      </c>
      <c r="H478">
        <v>1.21</v>
      </c>
      <c r="J478" s="2">
        <f>+DATAIN_COMPRAS__2[[#This Row],[$/ UN NETO]]*DATAIN_COMPRAS__2[[#This Row],[IVA]]</f>
        <v>1603.1169</v>
      </c>
      <c r="K478" s="7">
        <f t="shared" si="12"/>
        <v>3206.2338</v>
      </c>
      <c r="L478" t="s">
        <v>158</v>
      </c>
    </row>
    <row r="479" spans="1:12" x14ac:dyDescent="0.35">
      <c r="A479" s="13">
        <v>45776</v>
      </c>
      <c r="B479" t="s">
        <v>110</v>
      </c>
      <c r="C479" t="s">
        <v>165</v>
      </c>
      <c r="E479" s="8">
        <v>10</v>
      </c>
      <c r="F479" s="1">
        <f>11647.7/10</f>
        <v>1164.77</v>
      </c>
      <c r="G479" t="s">
        <v>236</v>
      </c>
      <c r="H479">
        <v>1.21</v>
      </c>
      <c r="J479" s="2">
        <f>+DATAIN_COMPRAS__2[[#This Row],[$/ UN NETO]]*DATAIN_COMPRAS__2[[#This Row],[IVA]]</f>
        <v>1409.3716999999999</v>
      </c>
      <c r="K479" s="7">
        <f t="shared" si="12"/>
        <v>14093.717000000001</v>
      </c>
      <c r="L479" t="s">
        <v>237</v>
      </c>
    </row>
    <row r="480" spans="1:12" x14ac:dyDescent="0.35">
      <c r="A480" s="13">
        <v>45776</v>
      </c>
      <c r="B480" t="s">
        <v>110</v>
      </c>
      <c r="C480" t="s">
        <v>165</v>
      </c>
      <c r="E480" s="8">
        <v>10</v>
      </c>
      <c r="F480" s="1">
        <f>11647.7/10</f>
        <v>1164.77</v>
      </c>
      <c r="G480" t="s">
        <v>236</v>
      </c>
      <c r="H480">
        <v>1.21</v>
      </c>
      <c r="J480" s="2">
        <f>+DATAIN_COMPRAS__2[[#This Row],[$/ UN NETO]]*DATAIN_COMPRAS__2[[#This Row],[IVA]]</f>
        <v>1409.3716999999999</v>
      </c>
      <c r="K480" s="7">
        <f t="shared" si="12"/>
        <v>14093.717000000001</v>
      </c>
      <c r="L480" t="s">
        <v>158</v>
      </c>
    </row>
    <row r="481" spans="1:12" x14ac:dyDescent="0.35">
      <c r="A481" s="13">
        <v>45776</v>
      </c>
      <c r="B481" t="s">
        <v>110</v>
      </c>
      <c r="C481" t="s">
        <v>167</v>
      </c>
      <c r="E481" s="8">
        <v>25</v>
      </c>
      <c r="F481" s="1">
        <f>33057.8/25</f>
        <v>1322.3120000000001</v>
      </c>
      <c r="G481" t="s">
        <v>236</v>
      </c>
      <c r="H481">
        <v>1.21</v>
      </c>
      <c r="J481" s="2">
        <f>+DATAIN_COMPRAS__2[[#This Row],[$/ UN NETO]]*DATAIN_COMPRAS__2[[#This Row],[IVA]]</f>
        <v>1599.9975200000001</v>
      </c>
      <c r="K481" s="7">
        <f t="shared" si="12"/>
        <v>39999.938000000002</v>
      </c>
      <c r="L481" t="s">
        <v>158</v>
      </c>
    </row>
    <row r="482" spans="1:12" x14ac:dyDescent="0.35">
      <c r="A482" s="13">
        <v>45776</v>
      </c>
      <c r="B482" t="s">
        <v>110</v>
      </c>
      <c r="C482" t="s">
        <v>112</v>
      </c>
      <c r="E482" s="8">
        <v>1</v>
      </c>
      <c r="F482" s="1">
        <v>9600.43</v>
      </c>
      <c r="G482" t="s">
        <v>236</v>
      </c>
      <c r="H482">
        <v>1.21</v>
      </c>
      <c r="J482" s="2">
        <f>+DATAIN_COMPRAS__2[[#This Row],[$/ UN NETO]]*DATAIN_COMPRAS__2[[#This Row],[IVA]]</f>
        <v>11616.5203</v>
      </c>
      <c r="K482" s="7">
        <f t="shared" si="12"/>
        <v>11616.5203</v>
      </c>
      <c r="L482" t="s">
        <v>158</v>
      </c>
    </row>
    <row r="483" spans="1:12" x14ac:dyDescent="0.35">
      <c r="A483" s="13">
        <v>45776</v>
      </c>
      <c r="B483" t="s">
        <v>110</v>
      </c>
      <c r="C483" t="s">
        <v>144</v>
      </c>
      <c r="E483" s="8">
        <v>5</v>
      </c>
      <c r="F483" s="1">
        <v>4874.33</v>
      </c>
      <c r="G483" t="s">
        <v>236</v>
      </c>
      <c r="H483">
        <v>1.21</v>
      </c>
      <c r="J483" s="2">
        <f>+DATAIN_COMPRAS__2[[#This Row],[$/ UN NETO]]*DATAIN_COMPRAS__2[[#This Row],[IVA]]</f>
        <v>5897.9393</v>
      </c>
      <c r="K483" s="7">
        <f t="shared" si="12"/>
        <v>29489.696500000002</v>
      </c>
      <c r="L483" t="s">
        <v>158</v>
      </c>
    </row>
    <row r="484" spans="1:12" x14ac:dyDescent="0.35">
      <c r="A484" s="13">
        <v>45776</v>
      </c>
      <c r="B484" t="s">
        <v>110</v>
      </c>
      <c r="C484" t="s">
        <v>196</v>
      </c>
      <c r="E484" s="8">
        <v>4.6500000000000004</v>
      </c>
      <c r="F484" s="1">
        <f>16375.1/DATAIN_COMPRAS__2[[#This Row],[CANT]]</f>
        <v>3521.5268817204301</v>
      </c>
      <c r="G484" t="s">
        <v>236</v>
      </c>
      <c r="H484">
        <v>1.21</v>
      </c>
      <c r="J484" s="2">
        <f>+DATAIN_COMPRAS__2[[#This Row],[$/ UN NETO]]*DATAIN_COMPRAS__2[[#This Row],[IVA]]</f>
        <v>4261.0475268817199</v>
      </c>
      <c r="K484" s="7">
        <f t="shared" si="12"/>
        <v>19813.870999999999</v>
      </c>
      <c r="L484" t="s">
        <v>237</v>
      </c>
    </row>
    <row r="485" spans="1:12" x14ac:dyDescent="0.35">
      <c r="A485" s="13">
        <v>45776</v>
      </c>
      <c r="B485" t="s">
        <v>12</v>
      </c>
      <c r="C485" t="s">
        <v>27</v>
      </c>
      <c r="E485" s="8">
        <v>2</v>
      </c>
      <c r="F485" s="1">
        <f>2300/DATAIN_COMPRAS__2[[#This Row],[IVA]]</f>
        <v>2081.4479638009052</v>
      </c>
      <c r="G485" t="s">
        <v>236</v>
      </c>
      <c r="H485">
        <v>1.105</v>
      </c>
      <c r="J485" s="2">
        <f>+DATAIN_COMPRAS__2[[#This Row],[$/ UN NETO]]*DATAIN_COMPRAS__2[[#This Row],[IVA]]</f>
        <v>2300</v>
      </c>
      <c r="K485" s="7">
        <f t="shared" si="12"/>
        <v>4600</v>
      </c>
      <c r="L485" t="s">
        <v>237</v>
      </c>
    </row>
    <row r="486" spans="1:12" x14ac:dyDescent="0.35">
      <c r="A486" s="13">
        <v>45776</v>
      </c>
      <c r="B486" t="s">
        <v>12</v>
      </c>
      <c r="C486" t="s">
        <v>26</v>
      </c>
      <c r="E486" s="8">
        <v>1.1499999999999999</v>
      </c>
      <c r="F486" s="1">
        <f>2200/DATAIN_COMPRAS__2[[#This Row],[IVA]]</f>
        <v>1990.9502262443439</v>
      </c>
      <c r="G486" t="s">
        <v>236</v>
      </c>
      <c r="H486">
        <v>1.105</v>
      </c>
      <c r="J486" s="2">
        <f>+DATAIN_COMPRAS__2[[#This Row],[$/ UN NETO]]*DATAIN_COMPRAS__2[[#This Row],[IVA]]</f>
        <v>2200</v>
      </c>
      <c r="K486" s="7">
        <f t="shared" si="12"/>
        <v>2530</v>
      </c>
      <c r="L486" t="s">
        <v>237</v>
      </c>
    </row>
    <row r="487" spans="1:12" x14ac:dyDescent="0.35">
      <c r="A487" s="13">
        <v>45776</v>
      </c>
      <c r="B487" t="s">
        <v>12</v>
      </c>
      <c r="C487" t="s">
        <v>46</v>
      </c>
      <c r="E487" s="8">
        <v>1</v>
      </c>
      <c r="F487" s="1">
        <f>1250/DATAIN_COMPRAS__2[[#This Row],[IVA]]</f>
        <v>1131.2217194570137</v>
      </c>
      <c r="G487" t="s">
        <v>236</v>
      </c>
      <c r="H487">
        <v>1.105</v>
      </c>
      <c r="J487" s="2">
        <f>+DATAIN_COMPRAS__2[[#This Row],[$/ UN NETO]]*DATAIN_COMPRAS__2[[#This Row],[IVA]]</f>
        <v>1250.0000000000002</v>
      </c>
      <c r="K487" s="7">
        <f t="shared" si="12"/>
        <v>1250.0000000000002</v>
      </c>
      <c r="L487" t="s">
        <v>237</v>
      </c>
    </row>
    <row r="488" spans="1:12" x14ac:dyDescent="0.35">
      <c r="A488" s="13">
        <v>45776</v>
      </c>
      <c r="B488" t="s">
        <v>12</v>
      </c>
      <c r="C488" t="s">
        <v>45</v>
      </c>
      <c r="E488" s="8">
        <v>1</v>
      </c>
      <c r="F488" s="1">
        <f>1200/DATAIN_COMPRAS__2[[#This Row],[IVA]]</f>
        <v>1085.972850678733</v>
      </c>
      <c r="G488" t="s">
        <v>236</v>
      </c>
      <c r="H488">
        <v>1.105</v>
      </c>
      <c r="J488" s="2">
        <f>+DATAIN_COMPRAS__2[[#This Row],[$/ UN NETO]]*DATAIN_COMPRAS__2[[#This Row],[IVA]]</f>
        <v>1200</v>
      </c>
      <c r="K488" s="7">
        <f t="shared" si="12"/>
        <v>1200</v>
      </c>
      <c r="L488" t="s">
        <v>237</v>
      </c>
    </row>
    <row r="489" spans="1:12" x14ac:dyDescent="0.35">
      <c r="A489" s="13">
        <v>45776</v>
      </c>
      <c r="B489" t="s">
        <v>12</v>
      </c>
      <c r="C489" t="s">
        <v>40</v>
      </c>
      <c r="E489" s="8">
        <v>1.1399999999999999</v>
      </c>
      <c r="F489" s="1">
        <f>900/DATAIN_COMPRAS__2[[#This Row],[IVA]]</f>
        <v>814.47963800904984</v>
      </c>
      <c r="G489" t="s">
        <v>236</v>
      </c>
      <c r="H489">
        <v>1.105</v>
      </c>
      <c r="J489" s="2">
        <f>+DATAIN_COMPRAS__2[[#This Row],[$/ UN NETO]]*DATAIN_COMPRAS__2[[#This Row],[IVA]]</f>
        <v>900</v>
      </c>
      <c r="K489" s="7">
        <f t="shared" si="12"/>
        <v>1026</v>
      </c>
      <c r="L489" t="s">
        <v>237</v>
      </c>
    </row>
    <row r="490" spans="1:12" x14ac:dyDescent="0.35">
      <c r="A490" s="13">
        <v>45776</v>
      </c>
      <c r="B490" t="s">
        <v>12</v>
      </c>
      <c r="C490" t="s">
        <v>23</v>
      </c>
      <c r="E490" s="8">
        <v>0.5</v>
      </c>
      <c r="F490" s="1">
        <f>8800/DATAIN_COMPRAS__2[[#This Row],[IVA]]</f>
        <v>7963.8009049773755</v>
      </c>
      <c r="G490" t="s">
        <v>236</v>
      </c>
      <c r="H490">
        <v>1.105</v>
      </c>
      <c r="J490" s="2">
        <f>+DATAIN_COMPRAS__2[[#This Row],[$/ UN NETO]]*DATAIN_COMPRAS__2[[#This Row],[IVA]]</f>
        <v>8800</v>
      </c>
      <c r="K490" s="7">
        <f t="shared" si="12"/>
        <v>4400</v>
      </c>
      <c r="L490" t="s">
        <v>158</v>
      </c>
    </row>
    <row r="491" spans="1:12" x14ac:dyDescent="0.35">
      <c r="A491" s="13">
        <v>45776</v>
      </c>
      <c r="B491" t="s">
        <v>12</v>
      </c>
      <c r="C491" t="s">
        <v>23</v>
      </c>
      <c r="E491" s="8">
        <v>0.5</v>
      </c>
      <c r="F491" s="1">
        <f>8800/DATAIN_COMPRAS__2[[#This Row],[IVA]]</f>
        <v>7963.8009049773755</v>
      </c>
      <c r="G491" t="s">
        <v>236</v>
      </c>
      <c r="H491">
        <v>1.105</v>
      </c>
      <c r="J491" s="2">
        <f>+DATAIN_COMPRAS__2[[#This Row],[$/ UN NETO]]*DATAIN_COMPRAS__2[[#This Row],[IVA]]</f>
        <v>8800</v>
      </c>
      <c r="K491" s="7">
        <f t="shared" si="12"/>
        <v>4400</v>
      </c>
      <c r="L491" t="s">
        <v>158</v>
      </c>
    </row>
    <row r="492" spans="1:12" x14ac:dyDescent="0.35">
      <c r="A492" s="13">
        <v>45776</v>
      </c>
      <c r="B492" t="s">
        <v>12</v>
      </c>
      <c r="C492" t="s">
        <v>14</v>
      </c>
      <c r="E492" s="8">
        <v>5</v>
      </c>
      <c r="F492" s="1">
        <f>1300/DATAIN_COMPRAS__2[[#This Row],[IVA]]</f>
        <v>1176.4705882352941</v>
      </c>
      <c r="G492" t="s">
        <v>236</v>
      </c>
      <c r="H492">
        <v>1.105</v>
      </c>
      <c r="J492" s="2">
        <f>+DATAIN_COMPRAS__2[[#This Row],[$/ UN NETO]]*DATAIN_COMPRAS__2[[#This Row],[IVA]]</f>
        <v>1300</v>
      </c>
      <c r="K492" s="7">
        <f t="shared" si="12"/>
        <v>6499.9999999999991</v>
      </c>
      <c r="L492" t="s">
        <v>158</v>
      </c>
    </row>
    <row r="493" spans="1:12" x14ac:dyDescent="0.35">
      <c r="A493" s="13">
        <v>45776</v>
      </c>
      <c r="B493" t="s">
        <v>12</v>
      </c>
      <c r="C493" t="s">
        <v>16</v>
      </c>
      <c r="E493" s="8">
        <v>1</v>
      </c>
      <c r="F493" s="1">
        <f>1600/DATAIN_COMPRAS__2[[#This Row],[IVA]]</f>
        <v>1447.9638009049775</v>
      </c>
      <c r="G493" t="s">
        <v>236</v>
      </c>
      <c r="H493">
        <v>1.105</v>
      </c>
      <c r="J493" s="2">
        <f>+DATAIN_COMPRAS__2[[#This Row],[$/ UN NETO]]*DATAIN_COMPRAS__2[[#This Row],[IVA]]</f>
        <v>1600</v>
      </c>
      <c r="K493" s="7">
        <f t="shared" si="12"/>
        <v>1600</v>
      </c>
      <c r="L493" t="s">
        <v>158</v>
      </c>
    </row>
    <row r="494" spans="1:12" x14ac:dyDescent="0.35">
      <c r="A494" s="13">
        <v>45776</v>
      </c>
      <c r="B494" t="s">
        <v>12</v>
      </c>
      <c r="C494" t="s">
        <v>15</v>
      </c>
      <c r="E494" s="8">
        <v>3</v>
      </c>
      <c r="F494" s="1">
        <f>2200/DATAIN_COMPRAS__2[[#This Row],[IVA]]</f>
        <v>1990.9502262443439</v>
      </c>
      <c r="G494" t="s">
        <v>236</v>
      </c>
      <c r="H494">
        <v>1.105</v>
      </c>
      <c r="J494" s="2">
        <f>+DATAIN_COMPRAS__2[[#This Row],[$/ UN NETO]]*DATAIN_COMPRAS__2[[#This Row],[IVA]]</f>
        <v>2200</v>
      </c>
      <c r="K494" s="7">
        <f t="shared" si="12"/>
        <v>6600</v>
      </c>
      <c r="L494" t="s">
        <v>158</v>
      </c>
    </row>
    <row r="495" spans="1:12" x14ac:dyDescent="0.35">
      <c r="A495" s="13">
        <v>45776</v>
      </c>
      <c r="B495" t="s">
        <v>12</v>
      </c>
      <c r="C495" t="s">
        <v>43</v>
      </c>
      <c r="E495" s="8">
        <v>0.55000000000000004</v>
      </c>
      <c r="F495" s="1">
        <f>7800/DATAIN_COMPRAS__2[[#This Row],[IVA]]</f>
        <v>7058.8235294117649</v>
      </c>
      <c r="G495" t="s">
        <v>236</v>
      </c>
      <c r="H495">
        <v>1.105</v>
      </c>
      <c r="J495" s="2">
        <f>+DATAIN_COMPRAS__2[[#This Row],[$/ UN NETO]]*DATAIN_COMPRAS__2[[#This Row],[IVA]]</f>
        <v>7800</v>
      </c>
      <c r="K495" s="7">
        <f t="shared" si="12"/>
        <v>4290.0000000000009</v>
      </c>
      <c r="L495" t="s">
        <v>237</v>
      </c>
    </row>
    <row r="496" spans="1:12" x14ac:dyDescent="0.35">
      <c r="A496" s="13">
        <v>45776</v>
      </c>
      <c r="B496" t="s">
        <v>12</v>
      </c>
      <c r="C496" t="s">
        <v>13</v>
      </c>
      <c r="E496" s="8">
        <v>16</v>
      </c>
      <c r="F496" s="1">
        <f>937.5/DATAIN_COMPRAS__2[[#This Row],[IVA]]</f>
        <v>848.41628959276022</v>
      </c>
      <c r="G496" t="s">
        <v>236</v>
      </c>
      <c r="H496">
        <v>1.105</v>
      </c>
      <c r="J496" s="2">
        <f>+DATAIN_COMPRAS__2[[#This Row],[$/ UN NETO]]*DATAIN_COMPRAS__2[[#This Row],[IVA]]</f>
        <v>937.5</v>
      </c>
      <c r="K496" s="7">
        <f t="shared" si="12"/>
        <v>15000</v>
      </c>
      <c r="L496" t="s">
        <v>237</v>
      </c>
    </row>
    <row r="497" spans="1:12" x14ac:dyDescent="0.35">
      <c r="A497" s="13">
        <v>45776</v>
      </c>
      <c r="B497" t="s">
        <v>12</v>
      </c>
      <c r="C497" t="s">
        <v>253</v>
      </c>
      <c r="E497" s="8">
        <v>5</v>
      </c>
      <c r="F497" s="1">
        <f>1000/DATAIN_COMPRAS__2[[#This Row],[IVA]]</f>
        <v>904.97737556561083</v>
      </c>
      <c r="G497" t="s">
        <v>236</v>
      </c>
      <c r="H497">
        <v>1.105</v>
      </c>
      <c r="J497" s="2">
        <f>+DATAIN_COMPRAS__2[[#This Row],[$/ UN NETO]]*DATAIN_COMPRAS__2[[#This Row],[IVA]]</f>
        <v>1000</v>
      </c>
      <c r="K497" s="7">
        <f t="shared" si="12"/>
        <v>4999.9999999999991</v>
      </c>
      <c r="L497" t="s">
        <v>158</v>
      </c>
    </row>
    <row r="498" spans="1:12" x14ac:dyDescent="0.35">
      <c r="A498" s="13">
        <v>45776</v>
      </c>
      <c r="B498" t="s">
        <v>12</v>
      </c>
      <c r="C498" t="s">
        <v>21</v>
      </c>
      <c r="E498" s="8">
        <v>2.14</v>
      </c>
      <c r="F498" s="1">
        <f>750/DATAIN_COMPRAS__2[[#This Row],[IVA]]</f>
        <v>678.73303167420818</v>
      </c>
      <c r="G498" t="s">
        <v>236</v>
      </c>
      <c r="H498">
        <v>1.105</v>
      </c>
      <c r="J498" s="2">
        <f>+DATAIN_COMPRAS__2[[#This Row],[$/ UN NETO]]*DATAIN_COMPRAS__2[[#This Row],[IVA]]</f>
        <v>750</v>
      </c>
      <c r="K498" s="7">
        <f t="shared" si="12"/>
        <v>1605</v>
      </c>
      <c r="L498" t="s">
        <v>237</v>
      </c>
    </row>
    <row r="499" spans="1:12" x14ac:dyDescent="0.35">
      <c r="A499" s="13">
        <v>45776</v>
      </c>
      <c r="B499" t="s">
        <v>12</v>
      </c>
      <c r="C499" t="s">
        <v>17</v>
      </c>
      <c r="E499" s="8">
        <v>3.2</v>
      </c>
      <c r="F499" s="1">
        <f>1600/DATAIN_COMPRAS__2[[#This Row],[IVA]]</f>
        <v>1447.9638009049775</v>
      </c>
      <c r="G499" t="s">
        <v>236</v>
      </c>
      <c r="H499">
        <v>1.105</v>
      </c>
      <c r="J499" s="2">
        <f>+DATAIN_COMPRAS__2[[#This Row],[$/ UN NETO]]*DATAIN_COMPRAS__2[[#This Row],[IVA]]</f>
        <v>1600</v>
      </c>
      <c r="K499" s="7">
        <f t="shared" si="12"/>
        <v>5120.0000000000009</v>
      </c>
      <c r="L499" t="s">
        <v>237</v>
      </c>
    </row>
    <row r="500" spans="1:12" x14ac:dyDescent="0.35">
      <c r="A500" s="13">
        <v>45776</v>
      </c>
      <c r="B500" t="s">
        <v>12</v>
      </c>
      <c r="C500" t="s">
        <v>17</v>
      </c>
      <c r="E500" s="8">
        <v>1</v>
      </c>
      <c r="F500" s="1">
        <f>1600/DATAIN_COMPRAS__2[[#This Row],[IVA]]</f>
        <v>1447.9638009049775</v>
      </c>
      <c r="G500" t="s">
        <v>236</v>
      </c>
      <c r="H500">
        <v>1.105</v>
      </c>
      <c r="J500" s="2">
        <f>+DATAIN_COMPRAS__2[[#This Row],[$/ UN NETO]]*DATAIN_COMPRAS__2[[#This Row],[IVA]]</f>
        <v>1600</v>
      </c>
      <c r="K500" s="7">
        <f t="shared" si="12"/>
        <v>1600</v>
      </c>
      <c r="L500" t="s">
        <v>158</v>
      </c>
    </row>
    <row r="501" spans="1:12" x14ac:dyDescent="0.35">
      <c r="A501" s="13">
        <v>45776</v>
      </c>
      <c r="B501" t="s">
        <v>12</v>
      </c>
      <c r="C501" t="s">
        <v>18</v>
      </c>
      <c r="E501" s="8">
        <v>2</v>
      </c>
      <c r="F501" s="1">
        <f>6800/DATAIN_COMPRAS__2[[#This Row],[IVA]]</f>
        <v>6153.8461538461543</v>
      </c>
      <c r="G501" t="s">
        <v>236</v>
      </c>
      <c r="H501">
        <v>1.105</v>
      </c>
      <c r="J501" s="2">
        <f>+DATAIN_COMPRAS__2[[#This Row],[$/ UN NETO]]*DATAIN_COMPRAS__2[[#This Row],[IVA]]</f>
        <v>6800</v>
      </c>
      <c r="K501" s="7">
        <f t="shared" si="12"/>
        <v>13600</v>
      </c>
      <c r="L501" t="s">
        <v>237</v>
      </c>
    </row>
    <row r="502" spans="1:12" x14ac:dyDescent="0.35">
      <c r="A502" s="13">
        <v>45776</v>
      </c>
      <c r="B502" t="s">
        <v>12</v>
      </c>
      <c r="C502" t="s">
        <v>20</v>
      </c>
      <c r="E502" s="8">
        <v>3</v>
      </c>
      <c r="F502" s="1">
        <f>1400/DATAIN_COMPRAS__2[[#This Row],[IVA]]</f>
        <v>1266.9683257918552</v>
      </c>
      <c r="G502" t="s">
        <v>236</v>
      </c>
      <c r="H502">
        <v>1.105</v>
      </c>
      <c r="J502" s="2">
        <f>+DATAIN_COMPRAS__2[[#This Row],[$/ UN NETO]]*DATAIN_COMPRAS__2[[#This Row],[IVA]]</f>
        <v>1400</v>
      </c>
      <c r="K502" s="7">
        <f t="shared" si="12"/>
        <v>4200</v>
      </c>
      <c r="L502" t="s">
        <v>237</v>
      </c>
    </row>
    <row r="503" spans="1:12" x14ac:dyDescent="0.35">
      <c r="A503" s="13">
        <v>45776</v>
      </c>
      <c r="B503" t="s">
        <v>12</v>
      </c>
      <c r="C503" t="s">
        <v>30</v>
      </c>
      <c r="E503" s="8">
        <v>2</v>
      </c>
      <c r="F503" s="1">
        <f>1300/DATAIN_COMPRAS__2[[#This Row],[IVA]]</f>
        <v>1176.4705882352941</v>
      </c>
      <c r="G503" t="s">
        <v>236</v>
      </c>
      <c r="H503">
        <v>1.105</v>
      </c>
      <c r="J503" s="2">
        <f>+DATAIN_COMPRAS__2[[#This Row],[$/ UN NETO]]*DATAIN_COMPRAS__2[[#This Row],[IVA]]</f>
        <v>1300</v>
      </c>
      <c r="K503" s="7">
        <f t="shared" si="12"/>
        <v>2600</v>
      </c>
      <c r="L503" t="s">
        <v>237</v>
      </c>
    </row>
    <row r="504" spans="1:12" x14ac:dyDescent="0.35">
      <c r="A504" s="13">
        <v>45776</v>
      </c>
      <c r="B504" t="s">
        <v>12</v>
      </c>
      <c r="C504" t="s">
        <v>22</v>
      </c>
      <c r="E504" s="8">
        <v>3.08</v>
      </c>
      <c r="F504" s="1">
        <f>1300/DATAIN_COMPRAS__2[[#This Row],[IVA]]</f>
        <v>1176.4705882352941</v>
      </c>
      <c r="G504" t="s">
        <v>236</v>
      </c>
      <c r="H504">
        <v>1.105</v>
      </c>
      <c r="J504" s="2">
        <f>+DATAIN_COMPRAS__2[[#This Row],[$/ UN NETO]]*DATAIN_COMPRAS__2[[#This Row],[IVA]]</f>
        <v>1300</v>
      </c>
      <c r="K504" s="7">
        <f t="shared" si="12"/>
        <v>4004</v>
      </c>
      <c r="L504" t="s">
        <v>237</v>
      </c>
    </row>
    <row r="505" spans="1:12" x14ac:dyDescent="0.35">
      <c r="A505" s="13">
        <v>45777</v>
      </c>
      <c r="B505" t="s">
        <v>185</v>
      </c>
      <c r="C505" t="s">
        <v>189</v>
      </c>
      <c r="E505" s="8">
        <v>25</v>
      </c>
      <c r="F505" s="1">
        <f>916.92/DATAIN_COMPRAS__2[[#This Row],[IVA]]</f>
        <v>757.78512396694214</v>
      </c>
      <c r="G505" t="s">
        <v>236</v>
      </c>
      <c r="H505">
        <v>1.21</v>
      </c>
      <c r="J505" s="2">
        <f>+DATAIN_COMPRAS__2[[#This Row],[$/ UN NETO]]*DATAIN_COMPRAS__2[[#This Row],[IVA]]</f>
        <v>916.92</v>
      </c>
      <c r="K505" s="7">
        <f t="shared" si="12"/>
        <v>22923</v>
      </c>
      <c r="L505" t="s">
        <v>158</v>
      </c>
    </row>
    <row r="506" spans="1:12" x14ac:dyDescent="0.35">
      <c r="A506" s="13">
        <v>45777</v>
      </c>
      <c r="B506" t="s">
        <v>185</v>
      </c>
      <c r="C506" t="s">
        <v>187</v>
      </c>
      <c r="E506" s="8">
        <f>8*25</f>
        <v>200</v>
      </c>
      <c r="F506" s="1">
        <f>979.44/DATAIN_COMPRAS__2[[#This Row],[IVA]]</f>
        <v>809.4545454545455</v>
      </c>
      <c r="G506" t="s">
        <v>236</v>
      </c>
      <c r="H506">
        <v>1.21</v>
      </c>
      <c r="J506" s="2">
        <f>+DATAIN_COMPRAS__2[[#This Row],[$/ UN NETO]]*DATAIN_COMPRAS__2[[#This Row],[IVA]]</f>
        <v>979.44</v>
      </c>
      <c r="K506" s="7">
        <f t="shared" si="12"/>
        <v>195888</v>
      </c>
      <c r="L506" t="s">
        <v>158</v>
      </c>
    </row>
    <row r="507" spans="1:12" x14ac:dyDescent="0.35">
      <c r="A507" s="13">
        <v>45777</v>
      </c>
      <c r="B507" t="s">
        <v>185</v>
      </c>
      <c r="C507" t="s">
        <v>186</v>
      </c>
      <c r="E507" s="8">
        <f>2*25</f>
        <v>50</v>
      </c>
      <c r="F507" s="1">
        <f>1034.64/DATAIN_COMPRAS__2[[#This Row],[IVA]]</f>
        <v>855.07438016528931</v>
      </c>
      <c r="G507" t="s">
        <v>236</v>
      </c>
      <c r="H507">
        <v>1.21</v>
      </c>
      <c r="J507" s="2">
        <f>+DATAIN_COMPRAS__2[[#This Row],[$/ UN NETO]]*DATAIN_COMPRAS__2[[#This Row],[IVA]]</f>
        <v>1034.6400000000001</v>
      </c>
      <c r="K507" s="7">
        <f t="shared" si="12"/>
        <v>51732</v>
      </c>
      <c r="L507" t="s">
        <v>158</v>
      </c>
    </row>
    <row r="508" spans="1:12" x14ac:dyDescent="0.35">
      <c r="A508" s="13">
        <v>45777</v>
      </c>
      <c r="B508" t="s">
        <v>80</v>
      </c>
      <c r="C508" t="s">
        <v>86</v>
      </c>
      <c r="E508" s="8">
        <v>50</v>
      </c>
      <c r="F508" s="1">
        <v>140.26</v>
      </c>
      <c r="G508" t="s">
        <v>236</v>
      </c>
      <c r="H508">
        <v>1.21</v>
      </c>
      <c r="J508" s="2">
        <f>+DATAIN_COMPRAS__2[[#This Row],[$/ UN NETO]]*DATAIN_COMPRAS__2[[#This Row],[IVA]]</f>
        <v>169.71459999999999</v>
      </c>
      <c r="K508" s="7">
        <f t="shared" si="12"/>
        <v>8485.73</v>
      </c>
      <c r="L508" t="s">
        <v>237</v>
      </c>
    </row>
    <row r="509" spans="1:12" x14ac:dyDescent="0.35">
      <c r="A509" s="13">
        <v>45777</v>
      </c>
      <c r="B509" t="s">
        <v>80</v>
      </c>
      <c r="C509" t="s">
        <v>97</v>
      </c>
      <c r="E509" s="8">
        <v>20</v>
      </c>
      <c r="F509" s="1">
        <v>242.19</v>
      </c>
      <c r="G509" t="s">
        <v>236</v>
      </c>
      <c r="H509">
        <v>1.21</v>
      </c>
      <c r="J509" s="2">
        <f>+DATAIN_COMPRAS__2[[#This Row],[$/ UN NETO]]*DATAIN_COMPRAS__2[[#This Row],[IVA]]</f>
        <v>293.04989999999998</v>
      </c>
      <c r="K509" s="7">
        <f t="shared" si="12"/>
        <v>5860.9980000000005</v>
      </c>
      <c r="L509" t="s">
        <v>237</v>
      </c>
    </row>
    <row r="510" spans="1:12" x14ac:dyDescent="0.35">
      <c r="A510" s="13">
        <v>45777</v>
      </c>
      <c r="B510" t="s">
        <v>80</v>
      </c>
      <c r="C510" t="s">
        <v>251</v>
      </c>
      <c r="E510" s="8">
        <v>1</v>
      </c>
      <c r="F510" s="1">
        <v>661.16</v>
      </c>
      <c r="G510" t="s">
        <v>236</v>
      </c>
      <c r="H510">
        <v>1.21</v>
      </c>
      <c r="J510" s="2">
        <f>+DATAIN_COMPRAS__2[[#This Row],[$/ UN NETO]]*DATAIN_COMPRAS__2[[#This Row],[IVA]]</f>
        <v>800.00359999999989</v>
      </c>
      <c r="K510" s="7">
        <f t="shared" si="12"/>
        <v>800.00359999999989</v>
      </c>
      <c r="L510" t="s">
        <v>237</v>
      </c>
    </row>
    <row r="511" spans="1:12" x14ac:dyDescent="0.35">
      <c r="A511" s="13">
        <v>45777</v>
      </c>
      <c r="B511" t="s">
        <v>80</v>
      </c>
      <c r="C511" s="14" t="s">
        <v>94</v>
      </c>
      <c r="E511" s="8">
        <v>5</v>
      </c>
      <c r="F511" s="1">
        <v>1074.3800000000001</v>
      </c>
      <c r="G511" t="s">
        <v>236</v>
      </c>
      <c r="H511">
        <v>1.21</v>
      </c>
      <c r="J511" s="2">
        <f>+DATAIN_COMPRAS__2[[#This Row],[$/ UN NETO]]*DATAIN_COMPRAS__2[[#This Row],[IVA]]</f>
        <v>1299.9998000000001</v>
      </c>
      <c r="K511" s="7">
        <f t="shared" si="12"/>
        <v>6499.9990000000007</v>
      </c>
      <c r="L511" t="s">
        <v>237</v>
      </c>
    </row>
    <row r="512" spans="1:12" x14ac:dyDescent="0.35">
      <c r="A512" s="13">
        <v>45777</v>
      </c>
      <c r="B512" t="s">
        <v>102</v>
      </c>
      <c r="C512" s="14" t="s">
        <v>103</v>
      </c>
      <c r="E512" s="8">
        <v>360</v>
      </c>
      <c r="F512" s="1">
        <f>76000/DATAIN_COMPRAS__2[[#This Row],[CANT]]/DATAIN_COMPRAS__2[[#This Row],[IVA]]</f>
        <v>174.47199265381084</v>
      </c>
      <c r="G512" t="s">
        <v>236</v>
      </c>
      <c r="H512">
        <v>1.21</v>
      </c>
      <c r="J512" s="2">
        <f>+DATAIN_COMPRAS__2[[#This Row],[$/ UN NETO]]*DATAIN_COMPRAS__2[[#This Row],[IVA]]</f>
        <v>211.11111111111111</v>
      </c>
      <c r="K512" s="7">
        <f t="shared" si="12"/>
        <v>76000</v>
      </c>
      <c r="L512" t="s">
        <v>237</v>
      </c>
    </row>
    <row r="513" spans="1:12" x14ac:dyDescent="0.35">
      <c r="A513" s="13">
        <v>45777</v>
      </c>
      <c r="B513" t="s">
        <v>102</v>
      </c>
      <c r="C513" s="14" t="s">
        <v>103</v>
      </c>
      <c r="E513" s="8">
        <v>180</v>
      </c>
      <c r="F513" s="1">
        <v>174.47199265381084</v>
      </c>
      <c r="G513" t="s">
        <v>236</v>
      </c>
      <c r="H513">
        <v>1.21</v>
      </c>
      <c r="J513" s="2">
        <f>+DATAIN_COMPRAS__2[[#This Row],[$/ UN NETO]]*DATAIN_COMPRAS__2[[#This Row],[IVA]]</f>
        <v>211.11111111111111</v>
      </c>
      <c r="K513" s="7">
        <f t="shared" si="12"/>
        <v>38000</v>
      </c>
      <c r="L513" t="s">
        <v>158</v>
      </c>
    </row>
    <row r="514" spans="1:12" x14ac:dyDescent="0.35">
      <c r="A514" s="13">
        <v>45777</v>
      </c>
      <c r="B514" t="s">
        <v>257</v>
      </c>
      <c r="C514" t="s">
        <v>160</v>
      </c>
      <c r="E514" s="8">
        <v>3.6</v>
      </c>
      <c r="F514" s="1">
        <f>8100/DATAIN_COMPRAS__2[[#This Row],[IVA]]</f>
        <v>6694.2148760330583</v>
      </c>
      <c r="G514" t="s">
        <v>236</v>
      </c>
      <c r="H514">
        <v>1.21</v>
      </c>
      <c r="J514" s="2">
        <f>+DATAIN_COMPRAS__2[[#This Row],[$/ UN NETO]]*DATAIN_COMPRAS__2[[#This Row],[IVA]]</f>
        <v>8100</v>
      </c>
      <c r="K514" s="7">
        <f t="shared" si="12"/>
        <v>29160.000000000004</v>
      </c>
      <c r="L514" t="s">
        <v>158</v>
      </c>
    </row>
    <row r="515" spans="1:12" x14ac:dyDescent="0.35">
      <c r="A515" s="13">
        <v>45777</v>
      </c>
      <c r="B515" t="s">
        <v>257</v>
      </c>
      <c r="C515" t="s">
        <v>259</v>
      </c>
      <c r="E515" s="8">
        <v>8</v>
      </c>
      <c r="F515" s="1">
        <f>9790/DATAIN_COMPRAS__2[[#This Row],[IVA]]</f>
        <v>8090.909090909091</v>
      </c>
      <c r="G515" t="s">
        <v>236</v>
      </c>
      <c r="H515">
        <v>1.21</v>
      </c>
      <c r="J515" s="2">
        <f>+DATAIN_COMPRAS__2[[#This Row],[$/ UN NETO]]*DATAIN_COMPRAS__2[[#This Row],[IVA]]</f>
        <v>9790</v>
      </c>
      <c r="K515" s="7">
        <f t="shared" si="12"/>
        <v>78320</v>
      </c>
      <c r="L515" t="s">
        <v>237</v>
      </c>
    </row>
    <row r="516" spans="1:12" x14ac:dyDescent="0.35">
      <c r="A516" s="13">
        <v>45778</v>
      </c>
      <c r="B516" t="s">
        <v>293</v>
      </c>
      <c r="C516" t="s">
        <v>294</v>
      </c>
      <c r="E516" s="8">
        <v>1</v>
      </c>
      <c r="F516" s="1">
        <f>15800/DATAIN_COMPRAS__2[[#This Row],[IVA]]</f>
        <v>13057.851239669422</v>
      </c>
      <c r="G516" t="s">
        <v>236</v>
      </c>
      <c r="H516">
        <v>1.21</v>
      </c>
      <c r="J516" s="2">
        <f>+DATAIN_COMPRAS__2[[#This Row],[$/ UN NETO]]*DATAIN_COMPRAS__2[[#This Row],[IVA]]</f>
        <v>15800</v>
      </c>
      <c r="K516" s="7">
        <f t="shared" si="12"/>
        <v>15800</v>
      </c>
      <c r="L516" t="s">
        <v>237</v>
      </c>
    </row>
    <row r="517" spans="1:12" x14ac:dyDescent="0.35">
      <c r="A517" s="13">
        <v>45778</v>
      </c>
      <c r="B517" t="s">
        <v>293</v>
      </c>
      <c r="C517" t="s">
        <v>243</v>
      </c>
      <c r="E517" s="8">
        <v>1</v>
      </c>
      <c r="F517" s="1">
        <f>15800/DATAIN_COMPRAS__2[[#This Row],[IVA]]</f>
        <v>13057.851239669422</v>
      </c>
      <c r="G517" t="s">
        <v>236</v>
      </c>
      <c r="H517">
        <v>1.21</v>
      </c>
      <c r="J517" s="2">
        <f>+DATAIN_COMPRAS__2[[#This Row],[$/ UN NETO]]*DATAIN_COMPRAS__2[[#This Row],[IVA]]</f>
        <v>15800</v>
      </c>
      <c r="K517" s="7">
        <f t="shared" si="12"/>
        <v>15800</v>
      </c>
      <c r="L517" t="s">
        <v>237</v>
      </c>
    </row>
    <row r="518" spans="1:12" x14ac:dyDescent="0.35">
      <c r="A518" s="13">
        <v>45779</v>
      </c>
      <c r="B518" t="s">
        <v>71</v>
      </c>
      <c r="C518" t="s">
        <v>72</v>
      </c>
      <c r="E518" s="8">
        <v>3</v>
      </c>
      <c r="F518" s="1">
        <v>6031.4</v>
      </c>
      <c r="G518" t="s">
        <v>236</v>
      </c>
      <c r="H518">
        <v>1.21</v>
      </c>
      <c r="J518" s="2">
        <f>+DATAIN_COMPRAS__2[[#This Row],[$/ UN NETO]]*DATAIN_COMPRAS__2[[#This Row],[IVA]]</f>
        <v>7297.9939999999997</v>
      </c>
      <c r="K518" s="7">
        <f t="shared" si="12"/>
        <v>21893.981999999996</v>
      </c>
      <c r="L518" t="s">
        <v>237</v>
      </c>
    </row>
    <row r="519" spans="1:12" x14ac:dyDescent="0.35">
      <c r="A519" s="13">
        <v>45779</v>
      </c>
      <c r="B519" t="s">
        <v>12</v>
      </c>
      <c r="C519" t="s">
        <v>13</v>
      </c>
      <c r="E519" s="8">
        <v>16</v>
      </c>
      <c r="F519" s="1">
        <f>937.5/DATAIN_COMPRAS__2[[#This Row],[IVA]]</f>
        <v>848.41628959276022</v>
      </c>
      <c r="G519" t="s">
        <v>236</v>
      </c>
      <c r="H519">
        <v>1.105</v>
      </c>
      <c r="J519" s="2">
        <f>+DATAIN_COMPRAS__2[[#This Row],[$/ UN NETO]]*DATAIN_COMPRAS__2[[#This Row],[IVA]]</f>
        <v>937.5</v>
      </c>
      <c r="K519" s="7">
        <f t="shared" si="12"/>
        <v>15000</v>
      </c>
      <c r="L519" t="s">
        <v>237</v>
      </c>
    </row>
    <row r="520" spans="1:12" x14ac:dyDescent="0.35">
      <c r="A520" s="13">
        <v>45780</v>
      </c>
      <c r="B520" t="s">
        <v>174</v>
      </c>
      <c r="C520" t="s">
        <v>295</v>
      </c>
      <c r="E520" s="8">
        <v>20</v>
      </c>
      <c r="F520" s="1">
        <f>181.82</f>
        <v>181.82</v>
      </c>
      <c r="G520" t="s">
        <v>236</v>
      </c>
      <c r="H520">
        <v>1.21</v>
      </c>
      <c r="J520" s="2">
        <f>+DATAIN_COMPRAS__2[[#This Row],[$/ UN NETO]]*DATAIN_COMPRAS__2[[#This Row],[IVA]]</f>
        <v>220.00219999999999</v>
      </c>
      <c r="K520" s="7">
        <f t="shared" si="12"/>
        <v>4400.0439999999999</v>
      </c>
      <c r="L520" t="s">
        <v>158</v>
      </c>
    </row>
    <row r="521" spans="1:12" x14ac:dyDescent="0.35">
      <c r="A521" s="13">
        <v>45780</v>
      </c>
      <c r="B521" t="s">
        <v>174</v>
      </c>
      <c r="C521" t="s">
        <v>178</v>
      </c>
      <c r="E521" s="8">
        <v>10</v>
      </c>
      <c r="F521" s="1">
        <f>355.37</f>
        <v>355.37</v>
      </c>
      <c r="G521" t="s">
        <v>236</v>
      </c>
      <c r="H521">
        <v>1.21</v>
      </c>
      <c r="J521" s="2">
        <f>+DATAIN_COMPRAS__2[[#This Row],[$/ UN NETO]]*DATAIN_COMPRAS__2[[#This Row],[IVA]]</f>
        <v>429.99770000000001</v>
      </c>
      <c r="K521" s="7">
        <f t="shared" si="12"/>
        <v>4299.9769999999999</v>
      </c>
      <c r="L521" t="s">
        <v>158</v>
      </c>
    </row>
    <row r="522" spans="1:12" x14ac:dyDescent="0.35">
      <c r="A522" s="13">
        <v>45781</v>
      </c>
      <c r="B522" t="s">
        <v>12</v>
      </c>
      <c r="C522" t="s">
        <v>14</v>
      </c>
      <c r="E522" s="8">
        <v>16</v>
      </c>
      <c r="F522" s="1">
        <f>937.5/DATAIN_COMPRAS__2[[#This Row],[IVA]]</f>
        <v>848.41628959276022</v>
      </c>
      <c r="G522" t="s">
        <v>236</v>
      </c>
      <c r="H522">
        <v>1.105</v>
      </c>
      <c r="J522" s="2">
        <f>+DATAIN_COMPRAS__2[[#This Row],[$/ UN NETO]]*DATAIN_COMPRAS__2[[#This Row],[IVA]]</f>
        <v>937.5</v>
      </c>
      <c r="K522" s="7">
        <f t="shared" si="12"/>
        <v>15000</v>
      </c>
      <c r="L522" t="s">
        <v>237</v>
      </c>
    </row>
    <row r="523" spans="1:12" x14ac:dyDescent="0.35">
      <c r="A523" s="13">
        <v>45781</v>
      </c>
      <c r="B523" t="s">
        <v>12</v>
      </c>
      <c r="C523" t="s">
        <v>13</v>
      </c>
      <c r="E523" s="8">
        <v>16</v>
      </c>
      <c r="F523" s="1">
        <f>937.5/DATAIN_COMPRAS__2[[#This Row],[IVA]]</f>
        <v>848.41628959276022</v>
      </c>
      <c r="G523" t="s">
        <v>236</v>
      </c>
      <c r="H523">
        <v>1.105</v>
      </c>
      <c r="J523" s="2">
        <f>+DATAIN_COMPRAS__2[[#This Row],[$/ UN NETO]]*DATAIN_COMPRAS__2[[#This Row],[IVA]]</f>
        <v>937.5</v>
      </c>
      <c r="K523" s="7">
        <f t="shared" si="12"/>
        <v>15000</v>
      </c>
      <c r="L523" t="s">
        <v>237</v>
      </c>
    </row>
    <row r="524" spans="1:12" x14ac:dyDescent="0.35">
      <c r="A524" s="13">
        <v>45783</v>
      </c>
      <c r="B524" t="s">
        <v>48</v>
      </c>
      <c r="C524" t="s">
        <v>111</v>
      </c>
      <c r="E524" s="8">
        <v>3</v>
      </c>
      <c r="F524" s="1">
        <v>1655.9580000000001</v>
      </c>
      <c r="H524">
        <v>1.21</v>
      </c>
      <c r="I524">
        <v>0.06</v>
      </c>
      <c r="J524" s="2">
        <f>+DATAIN_COMPRAS__2[[#This Row],[$/ UN NETO]]*DATAIN_COMPRAS__2[[#This Row],[IVA]]</f>
        <v>2003.7091800000001</v>
      </c>
      <c r="K524" s="7">
        <f t="shared" si="12"/>
        <v>5650.4598876</v>
      </c>
      <c r="L524" t="s">
        <v>237</v>
      </c>
    </row>
    <row r="525" spans="1:12" x14ac:dyDescent="0.35">
      <c r="A525" s="13">
        <v>45783</v>
      </c>
      <c r="B525" t="s">
        <v>48</v>
      </c>
      <c r="C525" s="14" t="s">
        <v>116</v>
      </c>
      <c r="E525" s="8">
        <v>10</v>
      </c>
      <c r="F525" s="1">
        <v>889.6</v>
      </c>
      <c r="H525">
        <v>1.21</v>
      </c>
      <c r="I525">
        <v>0.06</v>
      </c>
      <c r="J525" s="2">
        <f>+DATAIN_COMPRAS__2[[#This Row],[$/ UN NETO]]*DATAIN_COMPRAS__2[[#This Row],[IVA]]</f>
        <v>1076.4159999999999</v>
      </c>
      <c r="K525" s="7">
        <f t="shared" si="12"/>
        <v>10118.3104</v>
      </c>
      <c r="L525" t="s">
        <v>237</v>
      </c>
    </row>
    <row r="526" spans="1:12" x14ac:dyDescent="0.35">
      <c r="A526" s="13">
        <v>45783</v>
      </c>
      <c r="B526" t="s">
        <v>48</v>
      </c>
      <c r="C526" t="s">
        <v>55</v>
      </c>
      <c r="E526" s="8">
        <v>2</v>
      </c>
      <c r="F526" s="1">
        <v>874.9633</v>
      </c>
      <c r="H526">
        <v>1.21</v>
      </c>
      <c r="I526">
        <v>0.06</v>
      </c>
      <c r="J526" s="2">
        <f>+DATAIN_COMPRAS__2[[#This Row],[$/ UN NETO]]*DATAIN_COMPRAS__2[[#This Row],[IVA]]</f>
        <v>1058.7055929999999</v>
      </c>
      <c r="K526" s="7">
        <f t="shared" si="12"/>
        <v>1990.3665148399998</v>
      </c>
      <c r="L526" t="s">
        <v>237</v>
      </c>
    </row>
    <row r="527" spans="1:12" x14ac:dyDescent="0.35">
      <c r="A527" s="13">
        <v>45783</v>
      </c>
      <c r="B527" t="s">
        <v>48</v>
      </c>
      <c r="C527" t="s">
        <v>51</v>
      </c>
      <c r="E527" s="8">
        <v>3.49</v>
      </c>
      <c r="F527" s="1">
        <v>8801.9223000000002</v>
      </c>
      <c r="H527">
        <v>1.21</v>
      </c>
      <c r="I527">
        <v>0.06</v>
      </c>
      <c r="J527" s="2">
        <f>+DATAIN_COMPRAS__2[[#This Row],[$/ UN NETO]]*DATAIN_COMPRAS__2[[#This Row],[IVA]]</f>
        <v>10650.325983000001</v>
      </c>
      <c r="K527" s="7">
        <f t="shared" si="12"/>
        <v>34939.4594198298</v>
      </c>
      <c r="L527" t="s">
        <v>237</v>
      </c>
    </row>
    <row r="528" spans="1:12" x14ac:dyDescent="0.35">
      <c r="A528" s="13">
        <v>45783</v>
      </c>
      <c r="B528" t="s">
        <v>48</v>
      </c>
      <c r="C528" t="s">
        <v>273</v>
      </c>
      <c r="E528" s="8">
        <v>2.14</v>
      </c>
      <c r="F528" s="1">
        <v>16537.4388</v>
      </c>
      <c r="H528">
        <v>1.21</v>
      </c>
      <c r="I528">
        <v>0.06</v>
      </c>
      <c r="J528" s="2">
        <f>+DATAIN_COMPRAS__2[[#This Row],[$/ UN NETO]]*DATAIN_COMPRAS__2[[#This Row],[IVA]]</f>
        <v>20010.300948</v>
      </c>
      <c r="K528" s="7">
        <f t="shared" si="12"/>
        <v>40252.721386996796</v>
      </c>
      <c r="L528" t="s">
        <v>237</v>
      </c>
    </row>
    <row r="529" spans="1:12" x14ac:dyDescent="0.35">
      <c r="A529" s="13">
        <v>45783</v>
      </c>
      <c r="B529" t="s">
        <v>48</v>
      </c>
      <c r="C529" t="s">
        <v>67</v>
      </c>
      <c r="E529" s="8">
        <v>1</v>
      </c>
      <c r="F529" s="1">
        <v>3537.1329999999998</v>
      </c>
      <c r="H529">
        <v>1.21</v>
      </c>
      <c r="I529">
        <v>0.06</v>
      </c>
      <c r="J529" s="2">
        <f>+DATAIN_COMPRAS__2[[#This Row],[$/ UN NETO]]*DATAIN_COMPRAS__2[[#This Row],[IVA]]</f>
        <v>4279.9309299999995</v>
      </c>
      <c r="K529" s="7">
        <f t="shared" si="12"/>
        <v>4023.1350741999995</v>
      </c>
      <c r="L529" t="s">
        <v>237</v>
      </c>
    </row>
    <row r="530" spans="1:12" x14ac:dyDescent="0.35">
      <c r="A530" s="13">
        <v>45783</v>
      </c>
      <c r="B530" t="s">
        <v>48</v>
      </c>
      <c r="C530" t="s">
        <v>250</v>
      </c>
      <c r="E530" s="8">
        <v>2</v>
      </c>
      <c r="F530" s="1">
        <v>970.2</v>
      </c>
      <c r="H530">
        <v>1.21</v>
      </c>
      <c r="J530" s="2">
        <f>+DATAIN_COMPRAS__2[[#This Row],[$/ UN NETO]]*DATAIN_COMPRAS__2[[#This Row],[IVA]]</f>
        <v>1173.942</v>
      </c>
      <c r="K530" s="7">
        <f t="shared" si="12"/>
        <v>2347.884</v>
      </c>
      <c r="L530" t="s">
        <v>237</v>
      </c>
    </row>
    <row r="531" spans="1:12" x14ac:dyDescent="0.35">
      <c r="A531" s="13">
        <v>45783</v>
      </c>
      <c r="B531" t="s">
        <v>48</v>
      </c>
      <c r="C531" t="s">
        <v>52</v>
      </c>
      <c r="E531" s="8">
        <v>3.42</v>
      </c>
      <c r="F531" s="1">
        <v>7747.9116000000004</v>
      </c>
      <c r="H531">
        <v>1.21</v>
      </c>
      <c r="J531" s="2">
        <f>+DATAIN_COMPRAS__2[[#This Row],[$/ UN NETO]]*DATAIN_COMPRAS__2[[#This Row],[IVA]]</f>
        <v>9374.9730359999994</v>
      </c>
      <c r="K531" s="7">
        <f t="shared" si="12"/>
        <v>32062.407783120001</v>
      </c>
      <c r="L531" t="s">
        <v>237</v>
      </c>
    </row>
    <row r="532" spans="1:12" x14ac:dyDescent="0.35">
      <c r="A532" s="13">
        <v>45783</v>
      </c>
      <c r="B532" t="s">
        <v>48</v>
      </c>
      <c r="C532" t="s">
        <v>833</v>
      </c>
      <c r="E532" s="8">
        <v>3.5</v>
      </c>
      <c r="F532" s="1">
        <f>18282.8834/DATAIN_COMPRAS__2[[#This Row],[CANT]]</f>
        <v>5223.680971428571</v>
      </c>
      <c r="G532" t="s">
        <v>236</v>
      </c>
      <c r="H532">
        <v>1.21</v>
      </c>
      <c r="I532">
        <v>0.06</v>
      </c>
      <c r="J532" s="2">
        <f>+DATAIN_COMPRAS__2[[#This Row],[$/ UN NETO]]*DATAIN_COMPRAS__2[[#This Row],[IVA]]</f>
        <v>6320.6539754285704</v>
      </c>
      <c r="K532" s="7">
        <f t="shared" si="12"/>
        <v>20794.951579159999</v>
      </c>
      <c r="L532" t="s">
        <v>237</v>
      </c>
    </row>
    <row r="533" spans="1:12" x14ac:dyDescent="0.35">
      <c r="A533" s="13">
        <v>45784</v>
      </c>
      <c r="B533" t="s">
        <v>154</v>
      </c>
      <c r="C533" t="s">
        <v>156</v>
      </c>
      <c r="E533" s="8">
        <v>24</v>
      </c>
      <c r="F533" s="1">
        <v>488.97519999999997</v>
      </c>
      <c r="G533" t="s">
        <v>236</v>
      </c>
      <c r="H533">
        <v>1.21</v>
      </c>
      <c r="J533" s="2">
        <f>+DATAIN_COMPRAS__2[[#This Row],[$/ UN NETO]]*DATAIN_COMPRAS__2[[#This Row],[IVA]]</f>
        <v>591.65999199999999</v>
      </c>
      <c r="K533" s="7">
        <f t="shared" si="12"/>
        <v>14199.839808000001</v>
      </c>
      <c r="L533" t="s">
        <v>237</v>
      </c>
    </row>
    <row r="534" spans="1:12" x14ac:dyDescent="0.35">
      <c r="A534" s="13">
        <v>45784</v>
      </c>
      <c r="B534" t="s">
        <v>154</v>
      </c>
      <c r="C534" t="s">
        <v>247</v>
      </c>
      <c r="E534" s="8">
        <v>2</v>
      </c>
      <c r="F534" s="1">
        <v>3049.5868</v>
      </c>
      <c r="G534" t="s">
        <v>236</v>
      </c>
      <c r="H534">
        <v>1.21</v>
      </c>
      <c r="J534" s="2">
        <f>+DATAIN_COMPRAS__2[[#This Row],[$/ UN NETO]]*DATAIN_COMPRAS__2[[#This Row],[IVA]]</f>
        <v>3690.0000279999999</v>
      </c>
      <c r="K534" s="7">
        <f t="shared" si="12"/>
        <v>7380.0000559999999</v>
      </c>
      <c r="L534" t="s">
        <v>237</v>
      </c>
    </row>
    <row r="535" spans="1:12" x14ac:dyDescent="0.35">
      <c r="A535" s="13">
        <v>45784</v>
      </c>
      <c r="B535" t="s">
        <v>12</v>
      </c>
      <c r="C535" t="s">
        <v>45</v>
      </c>
      <c r="E535" s="8">
        <v>1</v>
      </c>
      <c r="F535" s="1">
        <f>1200/DATAIN_COMPRAS__2[[#This Row],[IVA]]</f>
        <v>1085.972850678733</v>
      </c>
      <c r="H535">
        <v>1.105</v>
      </c>
      <c r="J535" s="2">
        <f>+DATAIN_COMPRAS__2[[#This Row],[$/ UN NETO]]*DATAIN_COMPRAS__2[[#This Row],[IVA]]</f>
        <v>1200</v>
      </c>
      <c r="K535" s="7">
        <f t="shared" ref="K535:K598" si="13">(E535*F535)*(1-I535)*(H535)</f>
        <v>1200</v>
      </c>
      <c r="L535" t="s">
        <v>237</v>
      </c>
    </row>
    <row r="536" spans="1:12" x14ac:dyDescent="0.35">
      <c r="A536" s="13">
        <v>45784</v>
      </c>
      <c r="B536" t="s">
        <v>12</v>
      </c>
      <c r="C536" t="s">
        <v>23</v>
      </c>
      <c r="E536" s="8">
        <v>0.8</v>
      </c>
      <c r="F536" s="1">
        <f>8800/DATAIN_COMPRAS__2[[#This Row],[IVA]]</f>
        <v>7963.8009049773755</v>
      </c>
      <c r="H536">
        <v>1.105</v>
      </c>
      <c r="J536" s="2">
        <f>+DATAIN_COMPRAS__2[[#This Row],[$/ UN NETO]]*DATAIN_COMPRAS__2[[#This Row],[IVA]]</f>
        <v>8800</v>
      </c>
      <c r="K536" s="7">
        <f t="shared" si="13"/>
        <v>7040</v>
      </c>
      <c r="L536" t="s">
        <v>237</v>
      </c>
    </row>
    <row r="537" spans="1:12" x14ac:dyDescent="0.35">
      <c r="A537" s="13">
        <v>45784</v>
      </c>
      <c r="B537" t="s">
        <v>12</v>
      </c>
      <c r="C537" t="s">
        <v>296</v>
      </c>
      <c r="E537" s="8">
        <v>16</v>
      </c>
      <c r="F537" s="1">
        <f>15000/DATAIN_COMPRAS__2[[#This Row],[CANT]]/DATAIN_COMPRAS__2[[#This Row],[IVA]]</f>
        <v>848.41628959276022</v>
      </c>
      <c r="H537">
        <v>1.105</v>
      </c>
      <c r="J537" s="2">
        <f>+DATAIN_COMPRAS__2[[#This Row],[$/ UN NETO]]*DATAIN_COMPRAS__2[[#This Row],[IVA]]</f>
        <v>937.5</v>
      </c>
      <c r="K537" s="7">
        <f t="shared" si="13"/>
        <v>15000</v>
      </c>
      <c r="L537" t="s">
        <v>237</v>
      </c>
    </row>
    <row r="538" spans="1:12" x14ac:dyDescent="0.35">
      <c r="A538" s="13">
        <v>45784</v>
      </c>
      <c r="B538" t="s">
        <v>12</v>
      </c>
      <c r="C538" t="s">
        <v>21</v>
      </c>
      <c r="E538" s="8">
        <v>2</v>
      </c>
      <c r="F538" s="1">
        <f>750/DATAIN_COMPRAS__2[[#This Row],[IVA]]</f>
        <v>678.73303167420818</v>
      </c>
      <c r="H538">
        <v>1.105</v>
      </c>
      <c r="J538" s="2">
        <f>+DATAIN_COMPRAS__2[[#This Row],[$/ UN NETO]]*DATAIN_COMPRAS__2[[#This Row],[IVA]]</f>
        <v>750</v>
      </c>
      <c r="K538" s="7">
        <f t="shared" si="13"/>
        <v>1500</v>
      </c>
      <c r="L538" t="s">
        <v>237</v>
      </c>
    </row>
    <row r="539" spans="1:12" x14ac:dyDescent="0.35">
      <c r="A539" s="13">
        <v>45784</v>
      </c>
      <c r="B539" t="s">
        <v>12</v>
      </c>
      <c r="C539" t="s">
        <v>17</v>
      </c>
      <c r="E539" s="8">
        <v>5</v>
      </c>
      <c r="F539" s="1">
        <f>4000/DATAIN_COMPRAS__2[[#This Row],[IVA]]</f>
        <v>3619.9095022624433</v>
      </c>
      <c r="H539">
        <v>1.105</v>
      </c>
      <c r="J539" s="2">
        <f>+DATAIN_COMPRAS__2[[#This Row],[$/ UN NETO]]*DATAIN_COMPRAS__2[[#This Row],[IVA]]</f>
        <v>4000</v>
      </c>
      <c r="K539" s="7">
        <f t="shared" si="13"/>
        <v>19999.999999999996</v>
      </c>
      <c r="L539" t="s">
        <v>237</v>
      </c>
    </row>
    <row r="540" spans="1:12" x14ac:dyDescent="0.35">
      <c r="A540" s="13">
        <v>45784</v>
      </c>
      <c r="B540" t="s">
        <v>12</v>
      </c>
      <c r="C540" t="s">
        <v>28</v>
      </c>
      <c r="E540" s="8">
        <v>1</v>
      </c>
      <c r="F540" s="1">
        <f>1800/DATAIN_COMPRAS__2[[#This Row],[IVA]]</f>
        <v>1628.9592760180997</v>
      </c>
      <c r="H540">
        <v>1.105</v>
      </c>
      <c r="J540" s="2">
        <f>+DATAIN_COMPRAS__2[[#This Row],[$/ UN NETO]]*DATAIN_COMPRAS__2[[#This Row],[IVA]]</f>
        <v>1800</v>
      </c>
      <c r="K540" s="7">
        <f t="shared" si="13"/>
        <v>1800</v>
      </c>
      <c r="L540" t="s">
        <v>237</v>
      </c>
    </row>
    <row r="541" spans="1:12" x14ac:dyDescent="0.35">
      <c r="A541" s="13">
        <v>45784</v>
      </c>
      <c r="B541" t="s">
        <v>12</v>
      </c>
      <c r="C541" t="s">
        <v>18</v>
      </c>
      <c r="E541" s="8">
        <v>1</v>
      </c>
      <c r="F541" s="1">
        <f>6800/DATAIN_COMPRAS__2[[#This Row],[IVA]]</f>
        <v>6153.8461538461543</v>
      </c>
      <c r="H541">
        <v>1.105</v>
      </c>
      <c r="J541" s="2">
        <f>+DATAIN_COMPRAS__2[[#This Row],[$/ UN NETO]]*DATAIN_COMPRAS__2[[#This Row],[IVA]]</f>
        <v>6800</v>
      </c>
      <c r="K541" s="7">
        <f t="shared" si="13"/>
        <v>6800</v>
      </c>
      <c r="L541" t="s">
        <v>237</v>
      </c>
    </row>
    <row r="542" spans="1:12" x14ac:dyDescent="0.35">
      <c r="A542" s="13">
        <v>45786</v>
      </c>
      <c r="B542" t="s">
        <v>80</v>
      </c>
      <c r="C542" t="s">
        <v>90</v>
      </c>
      <c r="E542" s="8">
        <v>1</v>
      </c>
      <c r="F542" s="1">
        <v>8181.82</v>
      </c>
      <c r="G542" t="s">
        <v>236</v>
      </c>
      <c r="H542">
        <v>1.21</v>
      </c>
      <c r="J542" s="2">
        <f>+DATAIN_COMPRAS__2[[#This Row],[$/ UN NETO]]*DATAIN_COMPRAS__2[[#This Row],[IVA]]</f>
        <v>9900.002199999999</v>
      </c>
      <c r="K542" s="7">
        <f t="shared" si="13"/>
        <v>9900.002199999999</v>
      </c>
      <c r="L542" t="s">
        <v>237</v>
      </c>
    </row>
    <row r="543" spans="1:12" x14ac:dyDescent="0.35">
      <c r="A543" s="13">
        <v>45786</v>
      </c>
      <c r="B543" t="s">
        <v>80</v>
      </c>
      <c r="C543" t="s">
        <v>201</v>
      </c>
      <c r="E543" s="8">
        <v>1</v>
      </c>
      <c r="F543" s="1">
        <v>4628.1000000000004</v>
      </c>
      <c r="G543" t="s">
        <v>236</v>
      </c>
      <c r="H543">
        <v>1.21</v>
      </c>
      <c r="J543" s="2">
        <f>+DATAIN_COMPRAS__2[[#This Row],[$/ UN NETO]]*DATAIN_COMPRAS__2[[#This Row],[IVA]]</f>
        <v>5600.0010000000002</v>
      </c>
      <c r="K543" s="7">
        <f t="shared" si="13"/>
        <v>5600.0010000000002</v>
      </c>
      <c r="L543" t="s">
        <v>237</v>
      </c>
    </row>
    <row r="544" spans="1:12" x14ac:dyDescent="0.35">
      <c r="A544" s="13">
        <v>45786</v>
      </c>
      <c r="B544" t="s">
        <v>80</v>
      </c>
      <c r="C544" t="s">
        <v>94</v>
      </c>
      <c r="E544" s="8">
        <v>3</v>
      </c>
      <c r="F544" s="1">
        <v>1074.3599999999999</v>
      </c>
      <c r="G544" t="s">
        <v>236</v>
      </c>
      <c r="H544">
        <v>1.21</v>
      </c>
      <c r="J544" s="2">
        <f>+DATAIN_COMPRAS__2[[#This Row],[$/ UN NETO]]*DATAIN_COMPRAS__2[[#This Row],[IVA]]</f>
        <v>1299.9755999999998</v>
      </c>
      <c r="K544" s="7">
        <f t="shared" si="13"/>
        <v>3899.9267999999997</v>
      </c>
      <c r="L544" t="s">
        <v>237</v>
      </c>
    </row>
    <row r="545" spans="1:12" x14ac:dyDescent="0.35">
      <c r="A545" s="13">
        <v>45786</v>
      </c>
      <c r="B545" t="s">
        <v>71</v>
      </c>
      <c r="C545" t="s">
        <v>224</v>
      </c>
      <c r="E545" s="8">
        <v>1</v>
      </c>
      <c r="F545" s="1">
        <v>4876.03</v>
      </c>
      <c r="G545" t="s">
        <v>236</v>
      </c>
      <c r="H545">
        <v>1.21</v>
      </c>
      <c r="J545" s="2">
        <f>+DATAIN_COMPRAS__2[[#This Row],[$/ UN NETO]]*DATAIN_COMPRAS__2[[#This Row],[IVA]]</f>
        <v>5899.9962999999998</v>
      </c>
      <c r="K545" s="7">
        <f t="shared" si="13"/>
        <v>5899.9962999999998</v>
      </c>
      <c r="L545" t="s">
        <v>237</v>
      </c>
    </row>
    <row r="546" spans="1:12" x14ac:dyDescent="0.35">
      <c r="A546" s="13">
        <v>45789</v>
      </c>
      <c r="B546" t="s">
        <v>174</v>
      </c>
      <c r="C546" t="s">
        <v>298</v>
      </c>
      <c r="E546" s="8">
        <v>10</v>
      </c>
      <c r="F546" s="1">
        <v>355.37</v>
      </c>
      <c r="H546">
        <v>1.21</v>
      </c>
      <c r="J546" s="2">
        <f>+DATAIN_COMPRAS__2[[#This Row],[$/ UN NETO]]*DATAIN_COMPRAS__2[[#This Row],[IVA]]</f>
        <v>429.99770000000001</v>
      </c>
      <c r="K546" s="7">
        <f t="shared" si="13"/>
        <v>4299.9769999999999</v>
      </c>
      <c r="L546" t="s">
        <v>158</v>
      </c>
    </row>
    <row r="547" spans="1:12" x14ac:dyDescent="0.35">
      <c r="A547" s="13">
        <v>45789</v>
      </c>
      <c r="B547" t="s">
        <v>174</v>
      </c>
      <c r="C547" t="s">
        <v>297</v>
      </c>
      <c r="E547" s="8">
        <v>20</v>
      </c>
      <c r="F547" s="1">
        <v>181.82</v>
      </c>
      <c r="H547">
        <v>1.21</v>
      </c>
      <c r="J547" s="2">
        <f>+DATAIN_COMPRAS__2[[#This Row],[$/ UN NETO]]*DATAIN_COMPRAS__2[[#This Row],[IVA]]</f>
        <v>220.00219999999999</v>
      </c>
      <c r="K547" s="7">
        <f t="shared" si="13"/>
        <v>4400.0439999999999</v>
      </c>
      <c r="L547" t="s">
        <v>158</v>
      </c>
    </row>
    <row r="548" spans="1:12" x14ac:dyDescent="0.35">
      <c r="A548" s="13">
        <v>45792</v>
      </c>
      <c r="B548" t="s">
        <v>185</v>
      </c>
      <c r="C548" t="s">
        <v>189</v>
      </c>
      <c r="E548" s="8">
        <v>1</v>
      </c>
      <c r="F548" s="1">
        <v>22923</v>
      </c>
      <c r="H548">
        <v>1</v>
      </c>
      <c r="J548" s="2">
        <f>+DATAIN_COMPRAS__2[[#This Row],[$/ UN NETO]]*DATAIN_COMPRAS__2[[#This Row],[IVA]]</f>
        <v>22923</v>
      </c>
      <c r="K548" s="7">
        <f t="shared" si="13"/>
        <v>22923</v>
      </c>
      <c r="L548" t="s">
        <v>158</v>
      </c>
    </row>
    <row r="549" spans="1:12" x14ac:dyDescent="0.35">
      <c r="A549" s="13">
        <v>45792</v>
      </c>
      <c r="B549" t="s">
        <v>185</v>
      </c>
      <c r="C549" t="s">
        <v>187</v>
      </c>
      <c r="E549" s="8">
        <v>8</v>
      </c>
      <c r="F549" s="1">
        <v>24486</v>
      </c>
      <c r="H549">
        <v>1</v>
      </c>
      <c r="J549" s="2">
        <f>+DATAIN_COMPRAS__2[[#This Row],[$/ UN NETO]]*DATAIN_COMPRAS__2[[#This Row],[IVA]]</f>
        <v>24486</v>
      </c>
      <c r="K549" s="7">
        <f t="shared" si="13"/>
        <v>195888</v>
      </c>
      <c r="L549" t="s">
        <v>158</v>
      </c>
    </row>
    <row r="550" spans="1:12" x14ac:dyDescent="0.35">
      <c r="A550" s="13">
        <v>45792</v>
      </c>
      <c r="B550" t="s">
        <v>185</v>
      </c>
      <c r="C550" t="s">
        <v>186</v>
      </c>
      <c r="E550" s="8">
        <v>2</v>
      </c>
      <c r="F550" s="1">
        <v>25866</v>
      </c>
      <c r="H550">
        <v>1</v>
      </c>
      <c r="J550" s="2">
        <f>+DATAIN_COMPRAS__2[[#This Row],[$/ UN NETO]]*DATAIN_COMPRAS__2[[#This Row],[IVA]]</f>
        <v>25866</v>
      </c>
      <c r="K550" s="7">
        <f t="shared" si="13"/>
        <v>51732</v>
      </c>
      <c r="L550" t="s">
        <v>158</v>
      </c>
    </row>
    <row r="551" spans="1:12" x14ac:dyDescent="0.35">
      <c r="A551" s="13">
        <v>45792</v>
      </c>
      <c r="B551" t="s">
        <v>185</v>
      </c>
      <c r="C551" t="s">
        <v>188</v>
      </c>
      <c r="E551" s="8">
        <v>1</v>
      </c>
      <c r="F551" s="1">
        <v>32839</v>
      </c>
      <c r="H551">
        <v>1</v>
      </c>
      <c r="J551" s="2">
        <f>+DATAIN_COMPRAS__2[[#This Row],[$/ UN NETO]]*DATAIN_COMPRAS__2[[#This Row],[IVA]]</f>
        <v>32839</v>
      </c>
      <c r="K551" s="7">
        <f t="shared" si="13"/>
        <v>32839</v>
      </c>
      <c r="L551" t="s">
        <v>158</v>
      </c>
    </row>
    <row r="552" spans="1:12" x14ac:dyDescent="0.35">
      <c r="A552" s="13">
        <v>45793</v>
      </c>
      <c r="B552" t="s">
        <v>185</v>
      </c>
      <c r="C552" t="s">
        <v>189</v>
      </c>
      <c r="E552" s="8">
        <v>25</v>
      </c>
      <c r="F552" s="1">
        <f>916.92/1.21</f>
        <v>757.78512396694214</v>
      </c>
      <c r="H552">
        <v>1.21</v>
      </c>
      <c r="J552" s="2">
        <f>+DATAIN_COMPRAS__2[[#This Row],[$/ UN NETO]]*DATAIN_COMPRAS__2[[#This Row],[IVA]]</f>
        <v>916.92</v>
      </c>
      <c r="K552" s="7">
        <f t="shared" si="13"/>
        <v>22923</v>
      </c>
      <c r="L552" t="s">
        <v>158</v>
      </c>
    </row>
    <row r="553" spans="1:12" x14ac:dyDescent="0.35">
      <c r="A553" s="13">
        <v>45793</v>
      </c>
      <c r="B553" t="s">
        <v>185</v>
      </c>
      <c r="C553" t="s">
        <v>187</v>
      </c>
      <c r="E553" s="8">
        <f>8*25</f>
        <v>200</v>
      </c>
      <c r="F553" s="1">
        <f>(195888/200)/1.21</f>
        <v>809.4545454545455</v>
      </c>
      <c r="H553">
        <v>1.21</v>
      </c>
      <c r="J553" s="2">
        <f>+DATAIN_COMPRAS__2[[#This Row],[$/ UN NETO]]*DATAIN_COMPRAS__2[[#This Row],[IVA]]</f>
        <v>979.44</v>
      </c>
      <c r="K553" s="7">
        <f t="shared" si="13"/>
        <v>195888</v>
      </c>
      <c r="L553" t="s">
        <v>158</v>
      </c>
    </row>
    <row r="554" spans="1:12" x14ac:dyDescent="0.35">
      <c r="A554" s="13">
        <v>45793</v>
      </c>
      <c r="B554" t="s">
        <v>185</v>
      </c>
      <c r="C554" t="s">
        <v>186</v>
      </c>
      <c r="E554" s="8">
        <v>25</v>
      </c>
      <c r="F554" s="1">
        <f>1035.44/1.21</f>
        <v>855.73553719008271</v>
      </c>
      <c r="H554">
        <v>1.21</v>
      </c>
      <c r="J554" s="2">
        <f>+DATAIN_COMPRAS__2[[#This Row],[$/ UN NETO]]*DATAIN_COMPRAS__2[[#This Row],[IVA]]</f>
        <v>1035.44</v>
      </c>
      <c r="K554" s="7">
        <f t="shared" si="13"/>
        <v>25886</v>
      </c>
      <c r="L554" t="s">
        <v>158</v>
      </c>
    </row>
    <row r="555" spans="1:12" x14ac:dyDescent="0.35">
      <c r="A555" s="13">
        <v>45793</v>
      </c>
      <c r="B555" t="s">
        <v>185</v>
      </c>
      <c r="C555" t="s">
        <v>188</v>
      </c>
      <c r="E555" s="8">
        <v>25</v>
      </c>
      <c r="F555" s="1">
        <f>32839/25/DATAIN_COMPRAS__2[[#This Row],[IVA]]</f>
        <v>1085.5867768595042</v>
      </c>
      <c r="H555">
        <v>1.21</v>
      </c>
      <c r="J555" s="2">
        <f>+DATAIN_COMPRAS__2[[#This Row],[$/ UN NETO]]*DATAIN_COMPRAS__2[[#This Row],[IVA]]</f>
        <v>1313.56</v>
      </c>
      <c r="K555" s="7">
        <f t="shared" si="13"/>
        <v>32839</v>
      </c>
      <c r="L555" t="s">
        <v>158</v>
      </c>
    </row>
    <row r="556" spans="1:12" x14ac:dyDescent="0.35">
      <c r="A556" s="13">
        <v>45797</v>
      </c>
      <c r="B556" t="s">
        <v>256</v>
      </c>
      <c r="C556" t="str">
        <f>+UPPER("Crema Balde x 5Lt 44% MILKAUT")</f>
        <v>CREMA BALDE X 5LT 44% MILKAUT</v>
      </c>
      <c r="E556" s="8">
        <v>5</v>
      </c>
      <c r="F556" s="1">
        <f>42162.98/5/DATAIN_COMPRAS__2[[#This Row],[IVA]]</f>
        <v>6969.0876033057866</v>
      </c>
      <c r="H556">
        <v>1.21</v>
      </c>
      <c r="J556" s="2">
        <f>+DATAIN_COMPRAS__2[[#This Row],[$/ UN NETO]]*DATAIN_COMPRAS__2[[#This Row],[IVA]]</f>
        <v>8432.5960000000014</v>
      </c>
      <c r="K556" s="7">
        <f t="shared" si="13"/>
        <v>42162.98000000001</v>
      </c>
      <c r="L556" t="s">
        <v>255</v>
      </c>
    </row>
    <row r="557" spans="1:12" x14ac:dyDescent="0.35">
      <c r="A557" s="13">
        <v>45797</v>
      </c>
      <c r="B557" t="s">
        <v>256</v>
      </c>
      <c r="C557" t="str">
        <f>+UPPER("Manteca Pilon 5kg MILKAUT")</f>
        <v>MANTECA PILON 5KG MILKAUT</v>
      </c>
      <c r="E557" s="8">
        <v>5</v>
      </c>
      <c r="F557" s="1">
        <f>66296.1/5/DATAIN_COMPRAS__2[[#This Row],[IVA]]</f>
        <v>10958.03305785124</v>
      </c>
      <c r="H557">
        <v>1.21</v>
      </c>
      <c r="J557" s="2">
        <f>+DATAIN_COMPRAS__2[[#This Row],[$/ UN NETO]]*DATAIN_COMPRAS__2[[#This Row],[IVA]]</f>
        <v>13259.220000000001</v>
      </c>
      <c r="K557" s="7">
        <f t="shared" si="13"/>
        <v>66296.099999999991</v>
      </c>
      <c r="L557" t="s">
        <v>255</v>
      </c>
    </row>
    <row r="558" spans="1:12" x14ac:dyDescent="0.35">
      <c r="A558" s="13">
        <v>45797</v>
      </c>
      <c r="B558" t="s">
        <v>256</v>
      </c>
      <c r="C558" t="s">
        <v>833</v>
      </c>
      <c r="E558" s="8">
        <v>3.5</v>
      </c>
      <c r="F558" s="1">
        <f>20175.43/3.5/1.21</f>
        <v>4763.9740259740256</v>
      </c>
      <c r="H558">
        <v>1.21</v>
      </c>
      <c r="J558" s="2">
        <f>+DATAIN_COMPRAS__2[[#This Row],[$/ UN NETO]]*DATAIN_COMPRAS__2[[#This Row],[IVA]]</f>
        <v>5764.4085714285711</v>
      </c>
      <c r="K558" s="7">
        <f t="shared" si="13"/>
        <v>20175.429999999997</v>
      </c>
      <c r="L558" t="s">
        <v>255</v>
      </c>
    </row>
    <row r="559" spans="1:12" x14ac:dyDescent="0.35">
      <c r="A559" s="13">
        <v>45798</v>
      </c>
      <c r="B559" t="s">
        <v>181</v>
      </c>
      <c r="C559" t="str">
        <f>+UPPER("Crema Balde x 5Lt 44% MILKAUT")</f>
        <v>CREMA BALDE X 5LT 44% MILKAUT</v>
      </c>
      <c r="E559" s="8">
        <v>5</v>
      </c>
      <c r="F559" s="1">
        <f>40800/DATAIN_COMPRAS__2[[#This Row],[CANT]]/DATAIN_COMPRAS__2[[#This Row],[IVA]]</f>
        <v>6743.8016528925618</v>
      </c>
      <c r="H559">
        <v>1.21</v>
      </c>
      <c r="J559" s="2">
        <f>+DATAIN_COMPRAS__2[[#This Row],[$/ UN NETO]]*DATAIN_COMPRAS__2[[#This Row],[IVA]]</f>
        <v>8160</v>
      </c>
      <c r="K559" s="7">
        <f t="shared" si="13"/>
        <v>40800</v>
      </c>
      <c r="L559" t="s">
        <v>255</v>
      </c>
    </row>
    <row r="560" spans="1:12" x14ac:dyDescent="0.35">
      <c r="A560" s="13">
        <v>45798</v>
      </c>
      <c r="B560" t="s">
        <v>181</v>
      </c>
      <c r="C560" t="s">
        <v>183</v>
      </c>
      <c r="E560" s="8">
        <v>20</v>
      </c>
      <c r="F560" s="1">
        <f>55530/5/DATAIN_COMPRAS__2[[#This Row],[IVA]]</f>
        <v>9178.5123966942156</v>
      </c>
      <c r="H560">
        <v>1.21</v>
      </c>
      <c r="J560" s="2">
        <f>+DATAIN_COMPRAS__2[[#This Row],[$/ UN NETO]]*DATAIN_COMPRAS__2[[#This Row],[IVA]]</f>
        <v>11106</v>
      </c>
      <c r="K560" s="7">
        <f t="shared" si="13"/>
        <v>222120.00000000003</v>
      </c>
      <c r="L560" t="s">
        <v>255</v>
      </c>
    </row>
    <row r="561" spans="1:12" x14ac:dyDescent="0.35">
      <c r="A561" s="13">
        <v>45798</v>
      </c>
      <c r="B561" t="s">
        <v>181</v>
      </c>
      <c r="C561" t="str">
        <f>+UPPER("Manteca Pilon 5kg MILKAUT")</f>
        <v>MANTECA PILON 5KG MILKAUT</v>
      </c>
      <c r="E561" s="8">
        <v>20</v>
      </c>
      <c r="F561" s="1">
        <f>60950/5/DATAIN_COMPRAS__2[[#This Row],[IVA]]</f>
        <v>10074.380165289256</v>
      </c>
      <c r="H561">
        <v>1.21</v>
      </c>
      <c r="J561" s="2">
        <f>+DATAIN_COMPRAS__2[[#This Row],[$/ UN NETO]]*DATAIN_COMPRAS__2[[#This Row],[IVA]]</f>
        <v>12190</v>
      </c>
      <c r="K561" s="7">
        <f t="shared" si="13"/>
        <v>243800</v>
      </c>
      <c r="L561" t="s">
        <v>255</v>
      </c>
    </row>
    <row r="562" spans="1:12" x14ac:dyDescent="0.35">
      <c r="A562" s="13">
        <v>45798</v>
      </c>
      <c r="B562" t="s">
        <v>181</v>
      </c>
      <c r="C562" t="s">
        <v>833</v>
      </c>
      <c r="E562" s="8">
        <v>3.5</v>
      </c>
      <c r="F562" s="1">
        <f>20610/DATAIN_COMPRAS__2[[#This Row],[CANT]]/DATAIN_COMPRAS__2[[#This Row],[IVA]]</f>
        <v>4866.5879574970486</v>
      </c>
      <c r="H562">
        <v>1.21</v>
      </c>
      <c r="J562" s="2">
        <f>+DATAIN_COMPRAS__2[[#This Row],[$/ UN NETO]]*DATAIN_COMPRAS__2[[#This Row],[IVA]]</f>
        <v>5888.5714285714284</v>
      </c>
      <c r="K562" s="7">
        <f t="shared" si="13"/>
        <v>20610.000000000004</v>
      </c>
      <c r="L562" t="s">
        <v>255</v>
      </c>
    </row>
    <row r="563" spans="1:12" x14ac:dyDescent="0.35">
      <c r="A563" s="13">
        <v>45798</v>
      </c>
      <c r="B563" t="s">
        <v>256</v>
      </c>
      <c r="C563" t="s">
        <v>258</v>
      </c>
      <c r="E563" s="8">
        <v>5.0199999999999996</v>
      </c>
      <c r="F563" s="1">
        <v>6381.9120000000003</v>
      </c>
      <c r="H563">
        <v>1.21</v>
      </c>
      <c r="J563" s="2">
        <f>+DATAIN_COMPRAS__2[[#This Row],[$/ UN NETO]]*DATAIN_COMPRAS__2[[#This Row],[IVA]]</f>
        <v>7722.1135199999999</v>
      </c>
      <c r="K563" s="7">
        <f t="shared" si="13"/>
        <v>38765.009870399997</v>
      </c>
      <c r="L563" t="s">
        <v>237</v>
      </c>
    </row>
    <row r="564" spans="1:12" x14ac:dyDescent="0.35">
      <c r="A564" s="13">
        <v>45798</v>
      </c>
      <c r="B564" t="s">
        <v>256</v>
      </c>
      <c r="C564" t="str">
        <f>+UPPER("Manteca Pilon 5kg MILKAUT")</f>
        <v>MANTECA PILON 5KG MILKAUT</v>
      </c>
      <c r="E564" s="8">
        <v>5</v>
      </c>
      <c r="F564" s="1">
        <f>309588.14/25/DATAIN_COMPRAS__2[[#This Row],[IVA]]</f>
        <v>10234.318677685951</v>
      </c>
      <c r="H564">
        <v>1.21</v>
      </c>
      <c r="J564" s="2">
        <f>+DATAIN_COMPRAS__2[[#This Row],[$/ UN NETO]]*DATAIN_COMPRAS__2[[#This Row],[IVA]]</f>
        <v>12383.525600000001</v>
      </c>
      <c r="K564" s="7">
        <f t="shared" si="13"/>
        <v>61917.628000000004</v>
      </c>
      <c r="L564" t="s">
        <v>255</v>
      </c>
    </row>
    <row r="565" spans="1:12" x14ac:dyDescent="0.35">
      <c r="A565" s="13">
        <v>45798</v>
      </c>
      <c r="B565" t="s">
        <v>256</v>
      </c>
      <c r="C565" t="s">
        <v>259</v>
      </c>
      <c r="E565" s="8">
        <v>5.07</v>
      </c>
      <c r="F565" s="1">
        <v>9163.5120000000006</v>
      </c>
      <c r="H565">
        <v>1.21</v>
      </c>
      <c r="J565" s="2">
        <f>+DATAIN_COMPRAS__2[[#This Row],[$/ UN NETO]]*DATAIN_COMPRAS__2[[#This Row],[IVA]]</f>
        <v>11087.84952</v>
      </c>
      <c r="K565" s="7">
        <f t="shared" si="13"/>
        <v>56215.397066400008</v>
      </c>
      <c r="L565" t="s">
        <v>237</v>
      </c>
    </row>
    <row r="566" spans="1:12" x14ac:dyDescent="0.35">
      <c r="A566" s="13">
        <v>45798</v>
      </c>
      <c r="B566" t="s">
        <v>110</v>
      </c>
      <c r="C566" t="s">
        <v>163</v>
      </c>
      <c r="E566" s="8">
        <v>5</v>
      </c>
      <c r="F566" s="4">
        <v>1843.8</v>
      </c>
      <c r="H566">
        <v>1.21</v>
      </c>
      <c r="J566" s="2">
        <f>+DATAIN_COMPRAS__2[[#This Row],[$/ UN NETO]]*DATAIN_COMPRAS__2[[#This Row],[IVA]]</f>
        <v>2230.998</v>
      </c>
      <c r="K566" s="7">
        <f t="shared" si="13"/>
        <v>11154.99</v>
      </c>
      <c r="L566" t="s">
        <v>158</v>
      </c>
    </row>
    <row r="567" spans="1:12" x14ac:dyDescent="0.35">
      <c r="A567" s="13">
        <v>45799</v>
      </c>
      <c r="B567" t="s">
        <v>174</v>
      </c>
      <c r="C567" t="s">
        <v>175</v>
      </c>
      <c r="E567" s="8">
        <v>6</v>
      </c>
      <c r="F567" s="1">
        <v>8371.9</v>
      </c>
      <c r="H567">
        <v>1.21</v>
      </c>
      <c r="J567" s="2">
        <f>+DATAIN_COMPRAS__2[[#This Row],[$/ UN NETO]]*DATAIN_COMPRAS__2[[#This Row],[IVA]]</f>
        <v>10129.999</v>
      </c>
      <c r="K567" s="7">
        <f t="shared" si="13"/>
        <v>60779.993999999992</v>
      </c>
      <c r="L567" t="s">
        <v>158</v>
      </c>
    </row>
    <row r="568" spans="1:12" x14ac:dyDescent="0.35">
      <c r="A568" s="13">
        <v>45799</v>
      </c>
      <c r="B568" t="s">
        <v>80</v>
      </c>
      <c r="C568" t="s">
        <v>299</v>
      </c>
      <c r="E568" s="8">
        <v>1</v>
      </c>
      <c r="F568" s="1">
        <v>1818.18</v>
      </c>
      <c r="H568">
        <v>1.21</v>
      </c>
      <c r="J568" s="2">
        <f>+DATAIN_COMPRAS__2[[#This Row],[$/ UN NETO]]*DATAIN_COMPRAS__2[[#This Row],[IVA]]</f>
        <v>2199.9978000000001</v>
      </c>
      <c r="K568" s="7">
        <f t="shared" si="13"/>
        <v>2199.9978000000001</v>
      </c>
      <c r="L568" t="s">
        <v>237</v>
      </c>
    </row>
    <row r="569" spans="1:12" x14ac:dyDescent="0.35">
      <c r="A569" s="13">
        <v>45799</v>
      </c>
      <c r="B569" t="s">
        <v>80</v>
      </c>
      <c r="C569" t="s">
        <v>299</v>
      </c>
      <c r="E569" s="8">
        <v>1</v>
      </c>
      <c r="F569" s="1">
        <v>826.45</v>
      </c>
      <c r="H569">
        <v>1.21</v>
      </c>
      <c r="J569" s="2">
        <f>+DATAIN_COMPRAS__2[[#This Row],[$/ UN NETO]]*DATAIN_COMPRAS__2[[#This Row],[IVA]]</f>
        <v>1000.0045</v>
      </c>
      <c r="K569" s="7">
        <f t="shared" si="13"/>
        <v>1000.0045</v>
      </c>
      <c r="L569" t="s">
        <v>158</v>
      </c>
    </row>
    <row r="570" spans="1:12" x14ac:dyDescent="0.35">
      <c r="A570" s="13">
        <v>45799</v>
      </c>
      <c r="B570" t="s">
        <v>80</v>
      </c>
      <c r="C570" t="s">
        <v>88</v>
      </c>
      <c r="E570" s="8">
        <v>1</v>
      </c>
      <c r="F570" s="1">
        <v>1487.6</v>
      </c>
      <c r="H570">
        <v>1.21</v>
      </c>
      <c r="J570" s="2">
        <f>+DATAIN_COMPRAS__2[[#This Row],[$/ UN NETO]]*DATAIN_COMPRAS__2[[#This Row],[IVA]]</f>
        <v>1799.9959999999999</v>
      </c>
      <c r="K570" s="7">
        <f t="shared" si="13"/>
        <v>1799.9959999999999</v>
      </c>
      <c r="L570" t="s">
        <v>237</v>
      </c>
    </row>
    <row r="571" spans="1:12" x14ac:dyDescent="0.35">
      <c r="A571" s="13">
        <v>45799</v>
      </c>
      <c r="B571" t="s">
        <v>80</v>
      </c>
      <c r="C571" t="s">
        <v>171</v>
      </c>
      <c r="E571" s="8">
        <v>1</v>
      </c>
      <c r="F571" s="1">
        <v>3303.78</v>
      </c>
      <c r="H571">
        <v>1.21</v>
      </c>
      <c r="J571" s="2">
        <f>+DATAIN_COMPRAS__2[[#This Row],[$/ UN NETO]]*DATAIN_COMPRAS__2[[#This Row],[IVA]]</f>
        <v>3997.5738000000001</v>
      </c>
      <c r="K571" s="7">
        <f t="shared" si="13"/>
        <v>3997.5738000000001</v>
      </c>
      <c r="L571" t="s">
        <v>158</v>
      </c>
    </row>
    <row r="572" spans="1:12" x14ac:dyDescent="0.35">
      <c r="A572" s="13">
        <v>45799</v>
      </c>
      <c r="B572" t="s">
        <v>80</v>
      </c>
      <c r="C572" t="s">
        <v>86</v>
      </c>
      <c r="E572" s="8">
        <v>20</v>
      </c>
      <c r="F572" s="1">
        <v>1140.26</v>
      </c>
      <c r="H572">
        <v>1.21</v>
      </c>
      <c r="J572" s="2">
        <f>+DATAIN_COMPRAS__2[[#This Row],[$/ UN NETO]]*DATAIN_COMPRAS__2[[#This Row],[IVA]]</f>
        <v>1379.7146</v>
      </c>
      <c r="K572" s="7">
        <f t="shared" si="13"/>
        <v>27594.292000000001</v>
      </c>
      <c r="L572" t="s">
        <v>237</v>
      </c>
    </row>
    <row r="573" spans="1:12" x14ac:dyDescent="0.35">
      <c r="A573" s="13">
        <v>45799</v>
      </c>
      <c r="B573" t="s">
        <v>80</v>
      </c>
      <c r="C573" t="s">
        <v>97</v>
      </c>
      <c r="E573" s="8">
        <v>20</v>
      </c>
      <c r="F573" s="1">
        <v>242.2</v>
      </c>
      <c r="H573">
        <v>1.21</v>
      </c>
      <c r="J573" s="2">
        <f>+DATAIN_COMPRAS__2[[#This Row],[$/ UN NETO]]*DATAIN_COMPRAS__2[[#This Row],[IVA]]</f>
        <v>293.06199999999995</v>
      </c>
      <c r="K573" s="7">
        <f t="shared" si="13"/>
        <v>5861.24</v>
      </c>
      <c r="L573" t="s">
        <v>237</v>
      </c>
    </row>
    <row r="574" spans="1:12" x14ac:dyDescent="0.35">
      <c r="A574" s="13">
        <v>45799</v>
      </c>
      <c r="B574" t="s">
        <v>80</v>
      </c>
      <c r="C574" t="s">
        <v>282</v>
      </c>
      <c r="E574" s="8">
        <v>50</v>
      </c>
      <c r="F574" s="1">
        <v>24.95</v>
      </c>
      <c r="H574">
        <v>1.21</v>
      </c>
      <c r="J574" s="2">
        <f>+DATAIN_COMPRAS__2[[#This Row],[$/ UN NETO]]*DATAIN_COMPRAS__2[[#This Row],[IVA]]</f>
        <v>30.189499999999999</v>
      </c>
      <c r="K574" s="7">
        <f t="shared" si="13"/>
        <v>1509.4749999999999</v>
      </c>
      <c r="L574" t="s">
        <v>237</v>
      </c>
    </row>
    <row r="575" spans="1:12" x14ac:dyDescent="0.35">
      <c r="A575" s="13">
        <v>45799</v>
      </c>
      <c r="B575" t="s">
        <v>80</v>
      </c>
      <c r="C575" t="s">
        <v>90</v>
      </c>
      <c r="E575" s="8">
        <v>1</v>
      </c>
      <c r="F575" s="1">
        <v>8181.82</v>
      </c>
      <c r="H575">
        <v>1.21</v>
      </c>
      <c r="J575" s="2">
        <f>+DATAIN_COMPRAS__2[[#This Row],[$/ UN NETO]]*DATAIN_COMPRAS__2[[#This Row],[IVA]]</f>
        <v>9900.002199999999</v>
      </c>
      <c r="K575" s="7">
        <f t="shared" si="13"/>
        <v>9900.002199999999</v>
      </c>
      <c r="L575" t="s">
        <v>237</v>
      </c>
    </row>
    <row r="576" spans="1:12" x14ac:dyDescent="0.35">
      <c r="A576" s="13">
        <v>45799</v>
      </c>
      <c r="B576" t="s">
        <v>80</v>
      </c>
      <c r="C576" t="s">
        <v>90</v>
      </c>
      <c r="E576" s="8">
        <v>1</v>
      </c>
      <c r="F576" s="1">
        <v>8181.82</v>
      </c>
      <c r="H576">
        <v>1.21</v>
      </c>
      <c r="J576" s="2">
        <f>+DATAIN_COMPRAS__2[[#This Row],[$/ UN NETO]]*DATAIN_COMPRAS__2[[#This Row],[IVA]]</f>
        <v>9900.002199999999</v>
      </c>
      <c r="K576" s="7">
        <f t="shared" si="13"/>
        <v>9900.002199999999</v>
      </c>
      <c r="L576" t="s">
        <v>158</v>
      </c>
    </row>
    <row r="577" spans="1:12" x14ac:dyDescent="0.35">
      <c r="A577" s="13">
        <v>45799</v>
      </c>
      <c r="B577" t="s">
        <v>80</v>
      </c>
      <c r="C577" t="s">
        <v>201</v>
      </c>
      <c r="E577" s="8">
        <v>1</v>
      </c>
      <c r="F577" s="1">
        <v>3305.78</v>
      </c>
      <c r="H577">
        <v>1.21</v>
      </c>
      <c r="J577" s="2">
        <f>+DATAIN_COMPRAS__2[[#This Row],[$/ UN NETO]]*DATAIN_COMPRAS__2[[#This Row],[IVA]]</f>
        <v>3999.9938000000002</v>
      </c>
      <c r="K577" s="7">
        <f t="shared" si="13"/>
        <v>3999.9938000000002</v>
      </c>
      <c r="L577" t="s">
        <v>237</v>
      </c>
    </row>
    <row r="578" spans="1:12" x14ac:dyDescent="0.35">
      <c r="A578" s="13">
        <v>45799</v>
      </c>
      <c r="B578" t="s">
        <v>80</v>
      </c>
      <c r="C578" t="s">
        <v>98</v>
      </c>
      <c r="E578" s="8">
        <v>1</v>
      </c>
      <c r="F578" s="1">
        <v>6859.5</v>
      </c>
      <c r="H578">
        <v>1.21</v>
      </c>
      <c r="J578" s="2">
        <f>+DATAIN_COMPRAS__2[[#This Row],[$/ UN NETO]]*DATAIN_COMPRAS__2[[#This Row],[IVA]]</f>
        <v>8299.994999999999</v>
      </c>
      <c r="K578" s="7">
        <f t="shared" si="13"/>
        <v>8299.994999999999</v>
      </c>
      <c r="L578" t="s">
        <v>237</v>
      </c>
    </row>
    <row r="579" spans="1:12" x14ac:dyDescent="0.35">
      <c r="A579" s="13">
        <v>45799</v>
      </c>
      <c r="B579" t="s">
        <v>80</v>
      </c>
      <c r="C579" t="s">
        <v>207</v>
      </c>
      <c r="E579" s="8">
        <v>20</v>
      </c>
      <c r="F579" s="1">
        <v>90.91</v>
      </c>
      <c r="H579">
        <v>1.21</v>
      </c>
      <c r="J579" s="2">
        <f>+DATAIN_COMPRAS__2[[#This Row],[$/ UN NETO]]*DATAIN_COMPRAS__2[[#This Row],[IVA]]</f>
        <v>110.00109999999999</v>
      </c>
      <c r="K579" s="7">
        <f t="shared" si="13"/>
        <v>2200.0219999999999</v>
      </c>
      <c r="L579" t="s">
        <v>237</v>
      </c>
    </row>
    <row r="580" spans="1:12" x14ac:dyDescent="0.35">
      <c r="A580" s="13">
        <v>45799</v>
      </c>
      <c r="B580" t="s">
        <v>80</v>
      </c>
      <c r="C580" t="s">
        <v>94</v>
      </c>
      <c r="E580" s="8">
        <v>5</v>
      </c>
      <c r="F580" s="1">
        <v>1074.3800000000001</v>
      </c>
      <c r="H580">
        <v>1.21</v>
      </c>
      <c r="J580" s="2">
        <f>+DATAIN_COMPRAS__2[[#This Row],[$/ UN NETO]]*DATAIN_COMPRAS__2[[#This Row],[IVA]]</f>
        <v>1299.9998000000001</v>
      </c>
      <c r="K580" s="7">
        <f t="shared" si="13"/>
        <v>6499.9990000000007</v>
      </c>
      <c r="L580" t="s">
        <v>237</v>
      </c>
    </row>
    <row r="581" spans="1:12" x14ac:dyDescent="0.35">
      <c r="A581" s="13">
        <v>45799</v>
      </c>
      <c r="B581" t="s">
        <v>181</v>
      </c>
      <c r="C581" t="str">
        <f>+UPPER("Crema Balde x 5Lt 44% MILKAUT")</f>
        <v>CREMA BALDE X 5LT 44% MILKAUT</v>
      </c>
      <c r="E581" s="8">
        <v>5</v>
      </c>
      <c r="F581" s="1">
        <f>36975.21/5</f>
        <v>7395.0419999999995</v>
      </c>
      <c r="H581">
        <v>1.21</v>
      </c>
      <c r="J581" s="2">
        <f>+DATAIN_COMPRAS__2[[#This Row],[$/ UN NETO]]*DATAIN_COMPRAS__2[[#This Row],[IVA]]</f>
        <v>8948.0008199999993</v>
      </c>
      <c r="K581" s="7">
        <f t="shared" si="13"/>
        <v>44740.004099999998</v>
      </c>
      <c r="L581" t="s">
        <v>158</v>
      </c>
    </row>
    <row r="582" spans="1:12" x14ac:dyDescent="0.35">
      <c r="A582" s="13">
        <v>45799</v>
      </c>
      <c r="B582" t="s">
        <v>181</v>
      </c>
      <c r="C582" t="s">
        <v>266</v>
      </c>
      <c r="E582" s="8">
        <f>4*5</f>
        <v>20</v>
      </c>
      <c r="F582" s="1">
        <f>55231.4/5</f>
        <v>11046.28</v>
      </c>
      <c r="H582">
        <v>1.21</v>
      </c>
      <c r="J582" s="2">
        <f>+DATAIN_COMPRAS__2[[#This Row],[$/ UN NETO]]*DATAIN_COMPRAS__2[[#This Row],[IVA]]</f>
        <v>13365.998800000001</v>
      </c>
      <c r="K582" s="7">
        <f t="shared" si="13"/>
        <v>267319.97600000002</v>
      </c>
      <c r="L582" t="s">
        <v>158</v>
      </c>
    </row>
    <row r="583" spans="1:12" x14ac:dyDescent="0.35">
      <c r="A583" s="13">
        <v>45799</v>
      </c>
      <c r="B583" t="s">
        <v>181</v>
      </c>
      <c r="C583" t="s">
        <v>833</v>
      </c>
      <c r="E583" s="8">
        <v>3.5</v>
      </c>
      <c r="F583" s="1">
        <f>18677.69/3.5</f>
        <v>5336.482857142857</v>
      </c>
      <c r="H583">
        <v>1.21</v>
      </c>
      <c r="J583" s="2">
        <f>+DATAIN_COMPRAS__2[[#This Row],[$/ UN NETO]]*DATAIN_COMPRAS__2[[#This Row],[IVA]]</f>
        <v>6457.144257142857</v>
      </c>
      <c r="K583" s="7">
        <f t="shared" si="13"/>
        <v>22600.004899999996</v>
      </c>
      <c r="L583" t="s">
        <v>237</v>
      </c>
    </row>
    <row r="584" spans="1:12" x14ac:dyDescent="0.35">
      <c r="A584" s="13">
        <v>45799</v>
      </c>
      <c r="B584" t="s">
        <v>12</v>
      </c>
      <c r="C584" t="s">
        <v>30</v>
      </c>
      <c r="E584" s="8">
        <v>20</v>
      </c>
      <c r="F584" s="1">
        <f>1200/DATAIN_COMPRAS__2[[#This Row],[IVA]]</f>
        <v>1085.972850678733</v>
      </c>
      <c r="H584">
        <v>1.105</v>
      </c>
      <c r="J584" s="2">
        <f>+DATAIN_COMPRAS__2[[#This Row],[$/ UN NETO]]*DATAIN_COMPRAS__2[[#This Row],[IVA]]</f>
        <v>1200</v>
      </c>
      <c r="K584" s="7">
        <f t="shared" si="13"/>
        <v>24000</v>
      </c>
      <c r="L584" t="s">
        <v>158</v>
      </c>
    </row>
    <row r="585" spans="1:12" x14ac:dyDescent="0.35">
      <c r="A585" s="13">
        <v>45800</v>
      </c>
      <c r="B585" t="s">
        <v>185</v>
      </c>
      <c r="C585" t="s">
        <v>186</v>
      </c>
      <c r="E585" s="8">
        <v>25</v>
      </c>
      <c r="F585" s="1">
        <v>1034.6400000000001</v>
      </c>
      <c r="H585">
        <v>1</v>
      </c>
      <c r="J585" s="2">
        <f>+DATAIN_COMPRAS__2[[#This Row],[$/ UN NETO]]*DATAIN_COMPRAS__2[[#This Row],[IVA]]</f>
        <v>1034.6400000000001</v>
      </c>
      <c r="K585" s="7">
        <f t="shared" si="13"/>
        <v>25866.000000000004</v>
      </c>
      <c r="L585" t="s">
        <v>158</v>
      </c>
    </row>
    <row r="586" spans="1:12" x14ac:dyDescent="0.35">
      <c r="A586" s="13">
        <v>45802</v>
      </c>
      <c r="B586" t="s">
        <v>12</v>
      </c>
      <c r="C586" t="s">
        <v>28</v>
      </c>
      <c r="E586" s="8">
        <v>0.27500000000000002</v>
      </c>
      <c r="F586" s="1">
        <f>3000/DATAIN_COMPRAS__2[[#This Row],[CANT]]</f>
        <v>10909.090909090908</v>
      </c>
      <c r="H586">
        <v>1</v>
      </c>
      <c r="J586" s="2">
        <f>+DATAIN_COMPRAS__2[[#This Row],[$/ UN NETO]]*DATAIN_COMPRAS__2[[#This Row],[IVA]]</f>
        <v>10909.090909090908</v>
      </c>
      <c r="K586" s="7">
        <f t="shared" si="13"/>
        <v>3000</v>
      </c>
      <c r="L586" t="s">
        <v>237</v>
      </c>
    </row>
    <row r="587" spans="1:12" x14ac:dyDescent="0.35">
      <c r="A587" s="13">
        <v>45803</v>
      </c>
      <c r="B587" t="s">
        <v>71</v>
      </c>
      <c r="C587" t="s">
        <v>224</v>
      </c>
      <c r="E587" s="8">
        <v>2</v>
      </c>
      <c r="F587" s="1">
        <v>3935.54</v>
      </c>
      <c r="H587">
        <v>1.21</v>
      </c>
      <c r="J587" s="2">
        <f>+DATAIN_COMPRAS__2[[#This Row],[$/ UN NETO]]*DATAIN_COMPRAS__2[[#This Row],[IVA]]</f>
        <v>4762.0033999999996</v>
      </c>
      <c r="K587" s="7">
        <f t="shared" si="13"/>
        <v>9524.0067999999992</v>
      </c>
      <c r="L587" t="s">
        <v>237</v>
      </c>
    </row>
    <row r="588" spans="1:12" x14ac:dyDescent="0.35">
      <c r="A588" s="13">
        <v>45803</v>
      </c>
      <c r="B588" t="s">
        <v>12</v>
      </c>
      <c r="C588" t="s">
        <v>26</v>
      </c>
      <c r="E588" s="8">
        <v>2</v>
      </c>
      <c r="F588" s="1">
        <f>1500/DATAIN_COMPRAS__2[[#This Row],[IVA]]</f>
        <v>1357.4660633484164</v>
      </c>
      <c r="H588">
        <v>1.105</v>
      </c>
      <c r="J588" s="2">
        <f>+DATAIN_COMPRAS__2[[#This Row],[$/ UN NETO]]*DATAIN_COMPRAS__2[[#This Row],[IVA]]</f>
        <v>1500</v>
      </c>
      <c r="K588" s="7">
        <f t="shared" si="13"/>
        <v>3000</v>
      </c>
      <c r="L588" t="s">
        <v>237</v>
      </c>
    </row>
    <row r="589" spans="1:12" x14ac:dyDescent="0.35">
      <c r="A589" s="13">
        <v>45803</v>
      </c>
      <c r="B589" t="s">
        <v>12</v>
      </c>
      <c r="C589" t="s">
        <v>44</v>
      </c>
      <c r="E589" s="8">
        <v>1</v>
      </c>
      <c r="F589" s="1">
        <f>3800/DATAIN_COMPRAS__2[[#This Row],[IVA]]</f>
        <v>3438.9140271493211</v>
      </c>
      <c r="H589">
        <v>1.105</v>
      </c>
      <c r="J589" s="2">
        <f>+DATAIN_COMPRAS__2[[#This Row],[$/ UN NETO]]*DATAIN_COMPRAS__2[[#This Row],[IVA]]</f>
        <v>3799.9999999999995</v>
      </c>
      <c r="K589" s="7">
        <f t="shared" si="13"/>
        <v>3799.9999999999995</v>
      </c>
      <c r="L589" t="s">
        <v>158</v>
      </c>
    </row>
    <row r="590" spans="1:12" x14ac:dyDescent="0.35">
      <c r="A590" s="13">
        <v>45803</v>
      </c>
      <c r="B590" t="s">
        <v>12</v>
      </c>
      <c r="C590" t="s">
        <v>300</v>
      </c>
      <c r="E590" s="8">
        <v>1</v>
      </c>
      <c r="F590" s="1">
        <f>1800/DATAIN_COMPRAS__2[[#This Row],[IVA]]</f>
        <v>1628.9592760180997</v>
      </c>
      <c r="H590">
        <v>1.105</v>
      </c>
      <c r="J590" s="2">
        <f>+DATAIN_COMPRAS__2[[#This Row],[$/ UN NETO]]*DATAIN_COMPRAS__2[[#This Row],[IVA]]</f>
        <v>1800</v>
      </c>
      <c r="K590" s="7">
        <f t="shared" si="13"/>
        <v>1800</v>
      </c>
      <c r="L590" t="s">
        <v>158</v>
      </c>
    </row>
    <row r="591" spans="1:12" x14ac:dyDescent="0.35">
      <c r="A591" s="13">
        <v>45803</v>
      </c>
      <c r="B591" t="s">
        <v>12</v>
      </c>
      <c r="C591" t="s">
        <v>19</v>
      </c>
      <c r="E591" s="8">
        <v>1.91</v>
      </c>
      <c r="F591" s="1">
        <f>5300/DATAIN_COMPRAS__2[[#This Row],[IVA]]</f>
        <v>4796.3800904977379</v>
      </c>
      <c r="H591">
        <v>1.105</v>
      </c>
      <c r="J591" s="2">
        <f>+DATAIN_COMPRAS__2[[#This Row],[$/ UN NETO]]*DATAIN_COMPRAS__2[[#This Row],[IVA]]</f>
        <v>5300</v>
      </c>
      <c r="K591" s="7">
        <f t="shared" si="13"/>
        <v>10123</v>
      </c>
      <c r="L591" t="s">
        <v>237</v>
      </c>
    </row>
    <row r="592" spans="1:12" x14ac:dyDescent="0.35">
      <c r="A592" s="13">
        <v>45803</v>
      </c>
      <c r="B592" t="s">
        <v>12</v>
      </c>
      <c r="C592" t="s">
        <v>28</v>
      </c>
      <c r="E592" s="8">
        <v>1</v>
      </c>
      <c r="F592" s="1">
        <f>1300/DATAIN_COMPRAS__2[[#This Row],[IVA]]</f>
        <v>1176.4705882352941</v>
      </c>
      <c r="H592">
        <v>1.105</v>
      </c>
      <c r="J592" s="2">
        <f>+DATAIN_COMPRAS__2[[#This Row],[$/ UN NETO]]*DATAIN_COMPRAS__2[[#This Row],[IVA]]</f>
        <v>1300</v>
      </c>
      <c r="K592" s="7">
        <f t="shared" si="13"/>
        <v>1300</v>
      </c>
      <c r="L592" t="s">
        <v>237</v>
      </c>
    </row>
    <row r="593" spans="1:12" x14ac:dyDescent="0.35">
      <c r="A593" s="13">
        <v>45803</v>
      </c>
      <c r="B593" t="s">
        <v>12</v>
      </c>
      <c r="C593" t="s">
        <v>20</v>
      </c>
      <c r="E593" s="8">
        <v>2</v>
      </c>
      <c r="F593" s="1">
        <f>900/DATAIN_COMPRAS__2[[#This Row],[IVA]]</f>
        <v>814.47963800904984</v>
      </c>
      <c r="H593">
        <v>1.105</v>
      </c>
      <c r="J593" s="2">
        <f>+DATAIN_COMPRAS__2[[#This Row],[$/ UN NETO]]*DATAIN_COMPRAS__2[[#This Row],[IVA]]</f>
        <v>900</v>
      </c>
      <c r="K593" s="7">
        <f t="shared" si="13"/>
        <v>1800</v>
      </c>
      <c r="L593" t="s">
        <v>237</v>
      </c>
    </row>
    <row r="594" spans="1:12" x14ac:dyDescent="0.35">
      <c r="A594" s="13">
        <v>45803</v>
      </c>
      <c r="B594" t="s">
        <v>12</v>
      </c>
      <c r="C594" t="s">
        <v>301</v>
      </c>
      <c r="E594" s="8">
        <v>0.5</v>
      </c>
      <c r="F594" s="1">
        <f>2800/DATAIN_COMPRAS__2[[#This Row],[IVA]]</f>
        <v>2533.9366515837105</v>
      </c>
      <c r="H594">
        <v>1.105</v>
      </c>
      <c r="J594" s="2">
        <f>+DATAIN_COMPRAS__2[[#This Row],[$/ UN NETO]]*DATAIN_COMPRAS__2[[#This Row],[IVA]]</f>
        <v>2800</v>
      </c>
      <c r="K594" s="7">
        <f t="shared" si="13"/>
        <v>1400</v>
      </c>
      <c r="L594" t="s">
        <v>158</v>
      </c>
    </row>
    <row r="595" spans="1:12" x14ac:dyDescent="0.35">
      <c r="A595" s="13">
        <v>45806</v>
      </c>
      <c r="B595" t="s">
        <v>48</v>
      </c>
      <c r="C595" t="s">
        <v>66</v>
      </c>
      <c r="E595" s="8">
        <v>5</v>
      </c>
      <c r="F595" s="1">
        <f>22987.8478/5</f>
        <v>4597.5695599999999</v>
      </c>
      <c r="H595">
        <v>1.21</v>
      </c>
      <c r="I595">
        <v>0.06</v>
      </c>
      <c r="J595" s="2">
        <f>+DATAIN_COMPRAS__2[[#This Row],[$/ UN NETO]]*DATAIN_COMPRAS__2[[#This Row],[IVA]]</f>
        <v>5563.0591675999995</v>
      </c>
      <c r="K595" s="7">
        <f t="shared" si="13"/>
        <v>26146.378087720001</v>
      </c>
      <c r="L595" t="s">
        <v>158</v>
      </c>
    </row>
    <row r="596" spans="1:12" x14ac:dyDescent="0.35">
      <c r="A596" s="13">
        <v>45806</v>
      </c>
      <c r="B596" t="s">
        <v>48</v>
      </c>
      <c r="C596" t="s">
        <v>116</v>
      </c>
      <c r="E596" s="8">
        <v>10</v>
      </c>
      <c r="F596" s="1">
        <v>969.6</v>
      </c>
      <c r="H596">
        <v>1.21</v>
      </c>
      <c r="I596">
        <v>0.06</v>
      </c>
      <c r="J596" s="2">
        <f>+DATAIN_COMPRAS__2[[#This Row],[$/ UN NETO]]*DATAIN_COMPRAS__2[[#This Row],[IVA]]</f>
        <v>1173.2159999999999</v>
      </c>
      <c r="K596" s="7">
        <f t="shared" si="13"/>
        <v>11028.230399999999</v>
      </c>
      <c r="L596" t="s">
        <v>237</v>
      </c>
    </row>
    <row r="597" spans="1:12" x14ac:dyDescent="0.35">
      <c r="A597" s="13">
        <v>45806</v>
      </c>
      <c r="B597" t="s">
        <v>48</v>
      </c>
      <c r="C597" t="s">
        <v>153</v>
      </c>
      <c r="E597" s="8">
        <v>1</v>
      </c>
      <c r="F597" s="1">
        <v>9249.8181999999997</v>
      </c>
      <c r="H597">
        <v>1.21</v>
      </c>
      <c r="J597" s="2">
        <f>+DATAIN_COMPRAS__2[[#This Row],[$/ UN NETO]]*DATAIN_COMPRAS__2[[#This Row],[IVA]]</f>
        <v>11192.280021999999</v>
      </c>
      <c r="K597" s="7">
        <f t="shared" si="13"/>
        <v>11192.280021999999</v>
      </c>
      <c r="L597" t="s">
        <v>237</v>
      </c>
    </row>
    <row r="598" spans="1:12" x14ac:dyDescent="0.35">
      <c r="A598" s="13">
        <v>45806</v>
      </c>
      <c r="B598" t="s">
        <v>48</v>
      </c>
      <c r="C598" t="s">
        <v>55</v>
      </c>
      <c r="E598" s="8">
        <v>2</v>
      </c>
      <c r="F598" s="1">
        <v>865.94470000000001</v>
      </c>
      <c r="H598">
        <v>1.21</v>
      </c>
      <c r="I598">
        <v>0.06</v>
      </c>
      <c r="J598" s="2">
        <f>+DATAIN_COMPRAS__2[[#This Row],[$/ UN NETO]]*DATAIN_COMPRAS__2[[#This Row],[IVA]]</f>
        <v>1047.793087</v>
      </c>
      <c r="K598" s="7">
        <f t="shared" si="13"/>
        <v>1969.85100356</v>
      </c>
      <c r="L598" t="s">
        <v>237</v>
      </c>
    </row>
    <row r="599" spans="1:12" x14ac:dyDescent="0.35">
      <c r="A599" s="13">
        <v>45806</v>
      </c>
      <c r="B599" t="s">
        <v>48</v>
      </c>
      <c r="C599" t="s">
        <v>302</v>
      </c>
      <c r="E599" s="8">
        <v>0.5</v>
      </c>
      <c r="F599" s="1">
        <v>2224</v>
      </c>
      <c r="H599">
        <v>1.21</v>
      </c>
      <c r="I599">
        <v>0.06</v>
      </c>
      <c r="J599" s="2">
        <f>+DATAIN_COMPRAS__2[[#This Row],[$/ UN NETO]]*DATAIN_COMPRAS__2[[#This Row],[IVA]]</f>
        <v>2691.04</v>
      </c>
      <c r="K599" s="7">
        <f t="shared" ref="K599:K662" si="14">(E599*F599)*(1-I599)*(H599)</f>
        <v>1264.7888</v>
      </c>
      <c r="L599" t="s">
        <v>237</v>
      </c>
    </row>
    <row r="600" spans="1:12" x14ac:dyDescent="0.35">
      <c r="A600" s="13">
        <v>45806</v>
      </c>
      <c r="B600" t="s">
        <v>48</v>
      </c>
      <c r="C600" t="s">
        <v>144</v>
      </c>
      <c r="E600" s="8">
        <v>1</v>
      </c>
      <c r="F600" s="1">
        <v>2257.0479999999998</v>
      </c>
      <c r="H600">
        <v>1.21</v>
      </c>
      <c r="J600" s="2">
        <f>+DATAIN_COMPRAS__2[[#This Row],[$/ UN NETO]]*DATAIN_COMPRAS__2[[#This Row],[IVA]]</f>
        <v>2731.0280799999996</v>
      </c>
      <c r="K600" s="7">
        <f t="shared" si="14"/>
        <v>2731.0280799999996</v>
      </c>
      <c r="L600" t="s">
        <v>237</v>
      </c>
    </row>
    <row r="601" spans="1:12" x14ac:dyDescent="0.35">
      <c r="A601" s="13">
        <v>45806</v>
      </c>
      <c r="B601" t="s">
        <v>48</v>
      </c>
      <c r="C601" t="s">
        <v>250</v>
      </c>
      <c r="E601" s="8">
        <v>2</v>
      </c>
      <c r="F601" s="1">
        <v>1019.04</v>
      </c>
      <c r="H601">
        <v>1.21</v>
      </c>
      <c r="J601" s="2">
        <f>+DATAIN_COMPRAS__2[[#This Row],[$/ UN NETO]]*DATAIN_COMPRAS__2[[#This Row],[IVA]]</f>
        <v>1233.0383999999999</v>
      </c>
      <c r="K601" s="7">
        <f t="shared" si="14"/>
        <v>2466.0767999999998</v>
      </c>
      <c r="L601" t="s">
        <v>237</v>
      </c>
    </row>
    <row r="602" spans="1:12" x14ac:dyDescent="0.35">
      <c r="A602" s="13">
        <v>45806</v>
      </c>
      <c r="B602" t="s">
        <v>48</v>
      </c>
      <c r="C602" t="s">
        <v>248</v>
      </c>
      <c r="E602" s="8">
        <v>1</v>
      </c>
      <c r="F602" s="1">
        <v>764.94</v>
      </c>
      <c r="H602">
        <v>1.21</v>
      </c>
      <c r="J602" s="2">
        <f>+DATAIN_COMPRAS__2[[#This Row],[$/ UN NETO]]*DATAIN_COMPRAS__2[[#This Row],[IVA]]</f>
        <v>925.57740000000001</v>
      </c>
      <c r="K602" s="7">
        <f t="shared" si="14"/>
        <v>925.57740000000001</v>
      </c>
      <c r="L602" t="s">
        <v>237</v>
      </c>
    </row>
    <row r="603" spans="1:12" x14ac:dyDescent="0.35">
      <c r="A603" s="13">
        <v>45806</v>
      </c>
      <c r="B603" t="s">
        <v>48</v>
      </c>
      <c r="C603" t="s">
        <v>208</v>
      </c>
      <c r="E603" s="8">
        <v>1</v>
      </c>
      <c r="F603" s="1">
        <v>15568</v>
      </c>
      <c r="H603">
        <v>1.21</v>
      </c>
      <c r="J603" s="2">
        <f>+DATAIN_COMPRAS__2[[#This Row],[$/ UN NETO]]*DATAIN_COMPRAS__2[[#This Row],[IVA]]</f>
        <v>18837.28</v>
      </c>
      <c r="K603" s="7">
        <f t="shared" si="14"/>
        <v>18837.28</v>
      </c>
      <c r="L603" t="s">
        <v>237</v>
      </c>
    </row>
    <row r="604" spans="1:12" x14ac:dyDescent="0.35">
      <c r="A604" s="13">
        <v>45806</v>
      </c>
      <c r="B604" t="s">
        <v>12</v>
      </c>
      <c r="C604" t="s">
        <v>38</v>
      </c>
      <c r="E604" s="8">
        <v>2</v>
      </c>
      <c r="F604" s="1">
        <f>800/DATAIN_COMPRAS__2[[#This Row],[IVA]]</f>
        <v>723.98190045248873</v>
      </c>
      <c r="H604">
        <v>1.105</v>
      </c>
      <c r="J604" s="2">
        <f>+DATAIN_COMPRAS__2[[#This Row],[$/ UN NETO]]*DATAIN_COMPRAS__2[[#This Row],[IVA]]</f>
        <v>800</v>
      </c>
      <c r="K604" s="7">
        <f t="shared" si="14"/>
        <v>1600</v>
      </c>
      <c r="L604" t="s">
        <v>237</v>
      </c>
    </row>
    <row r="605" spans="1:12" x14ac:dyDescent="0.35">
      <c r="A605" s="13">
        <v>45806</v>
      </c>
      <c r="B605" t="s">
        <v>12</v>
      </c>
      <c r="C605" t="s">
        <v>37</v>
      </c>
      <c r="E605" s="8">
        <v>2</v>
      </c>
      <c r="F605" s="1">
        <f>800/DATAIN_COMPRAS__2[[#This Row],[IVA]]</f>
        <v>723.98190045248873</v>
      </c>
      <c r="H605">
        <v>1.105</v>
      </c>
      <c r="J605" s="2">
        <f>+DATAIN_COMPRAS__2[[#This Row],[$/ UN NETO]]*DATAIN_COMPRAS__2[[#This Row],[IVA]]</f>
        <v>800</v>
      </c>
      <c r="K605" s="7">
        <f t="shared" si="14"/>
        <v>1600</v>
      </c>
      <c r="L605" t="s">
        <v>237</v>
      </c>
    </row>
    <row r="606" spans="1:12" x14ac:dyDescent="0.35">
      <c r="A606" s="13">
        <v>45806</v>
      </c>
      <c r="B606" t="s">
        <v>12</v>
      </c>
      <c r="C606" t="s">
        <v>41</v>
      </c>
      <c r="E606" s="8">
        <v>2</v>
      </c>
      <c r="F606" s="1">
        <f>2300/DATAIN_COMPRAS__2[[#This Row],[IVA]]</f>
        <v>2081.4479638009052</v>
      </c>
      <c r="H606">
        <v>1.105</v>
      </c>
      <c r="J606" s="2">
        <f>+DATAIN_COMPRAS__2[[#This Row],[$/ UN NETO]]*DATAIN_COMPRAS__2[[#This Row],[IVA]]</f>
        <v>2300</v>
      </c>
      <c r="K606" s="7">
        <f t="shared" si="14"/>
        <v>4600</v>
      </c>
      <c r="L606" t="s">
        <v>237</v>
      </c>
    </row>
    <row r="607" spans="1:12" x14ac:dyDescent="0.35">
      <c r="A607" s="13">
        <v>45806</v>
      </c>
      <c r="B607" t="s">
        <v>12</v>
      </c>
      <c r="C607" t="s">
        <v>39</v>
      </c>
      <c r="E607" s="8">
        <v>0.18</v>
      </c>
      <c r="F607" s="1">
        <f>2300/DATAIN_COMPRAS__2[[#This Row],[IVA]]</f>
        <v>2081.4479638009052</v>
      </c>
      <c r="H607">
        <v>1.105</v>
      </c>
      <c r="J607" s="2">
        <f>+DATAIN_COMPRAS__2[[#This Row],[$/ UN NETO]]*DATAIN_COMPRAS__2[[#This Row],[IVA]]</f>
        <v>2300</v>
      </c>
      <c r="K607" s="7">
        <f t="shared" si="14"/>
        <v>414.00000000000006</v>
      </c>
      <c r="L607" t="s">
        <v>237</v>
      </c>
    </row>
    <row r="608" spans="1:12" x14ac:dyDescent="0.35">
      <c r="A608" s="13">
        <v>45806</v>
      </c>
      <c r="B608" t="s">
        <v>12</v>
      </c>
      <c r="C608" t="s">
        <v>19</v>
      </c>
      <c r="E608" s="8">
        <v>1.93</v>
      </c>
      <c r="F608" s="1">
        <f>5300/DATAIN_COMPRAS__2[[#This Row],[IVA]]</f>
        <v>4796.3800904977379</v>
      </c>
      <c r="H608">
        <v>1.105</v>
      </c>
      <c r="J608" s="2">
        <f>+DATAIN_COMPRAS__2[[#This Row],[$/ UN NETO]]*DATAIN_COMPRAS__2[[#This Row],[IVA]]</f>
        <v>5300</v>
      </c>
      <c r="K608" s="7">
        <f t="shared" si="14"/>
        <v>10229</v>
      </c>
      <c r="L608" t="s">
        <v>237</v>
      </c>
    </row>
    <row r="609" spans="1:12" x14ac:dyDescent="0.35">
      <c r="A609" s="13">
        <v>45806</v>
      </c>
      <c r="B609" t="s">
        <v>12</v>
      </c>
      <c r="C609" t="s">
        <v>21</v>
      </c>
      <c r="E609" s="8">
        <v>3</v>
      </c>
      <c r="F609" s="1">
        <v>750</v>
      </c>
      <c r="H609">
        <v>1.105</v>
      </c>
      <c r="J609" s="2">
        <f>+DATAIN_COMPRAS__2[[#This Row],[$/ UN NETO]]*DATAIN_COMPRAS__2[[#This Row],[IVA]]</f>
        <v>828.75</v>
      </c>
      <c r="K609" s="7">
        <f t="shared" si="14"/>
        <v>2486.25</v>
      </c>
      <c r="L609" t="s">
        <v>237</v>
      </c>
    </row>
    <row r="610" spans="1:12" x14ac:dyDescent="0.35">
      <c r="A610" s="13">
        <v>45806</v>
      </c>
      <c r="B610" t="s">
        <v>12</v>
      </c>
      <c r="C610" t="s">
        <v>241</v>
      </c>
      <c r="E610" s="8">
        <v>0.5</v>
      </c>
      <c r="F610" s="1">
        <f>4300/DATAIN_COMPRAS__2[[#This Row],[IVA]]</f>
        <v>3891.4027149321269</v>
      </c>
      <c r="H610">
        <v>1.105</v>
      </c>
      <c r="J610" s="2">
        <f>+DATAIN_COMPRAS__2[[#This Row],[$/ UN NETO]]*DATAIN_COMPRAS__2[[#This Row],[IVA]]</f>
        <v>4300</v>
      </c>
      <c r="K610" s="7">
        <f t="shared" si="14"/>
        <v>2150</v>
      </c>
      <c r="L610" t="s">
        <v>237</v>
      </c>
    </row>
    <row r="611" spans="1:12" x14ac:dyDescent="0.35">
      <c r="A611" s="13">
        <v>45806</v>
      </c>
      <c r="B611" t="s">
        <v>12</v>
      </c>
      <c r="C611" t="s">
        <v>18</v>
      </c>
      <c r="E611" s="8">
        <v>1</v>
      </c>
      <c r="F611" s="1">
        <f>4800/DATAIN_COMPRAS__2[[#This Row],[IVA]]</f>
        <v>4343.8914027149322</v>
      </c>
      <c r="H611">
        <v>1.105</v>
      </c>
      <c r="J611" s="2">
        <f>+DATAIN_COMPRAS__2[[#This Row],[$/ UN NETO]]*DATAIN_COMPRAS__2[[#This Row],[IVA]]</f>
        <v>4800</v>
      </c>
      <c r="K611" s="7">
        <f t="shared" si="14"/>
        <v>4800</v>
      </c>
      <c r="L611" t="s">
        <v>237</v>
      </c>
    </row>
    <row r="612" spans="1:12" x14ac:dyDescent="0.35">
      <c r="A612" s="13">
        <v>45806</v>
      </c>
      <c r="B612" t="s">
        <v>12</v>
      </c>
      <c r="C612" t="s">
        <v>20</v>
      </c>
      <c r="E612" s="8">
        <v>2</v>
      </c>
      <c r="F612" s="1">
        <f>900/DATAIN_COMPRAS__2[[#This Row],[IVA]]</f>
        <v>814.47963800904984</v>
      </c>
      <c r="H612">
        <v>1.105</v>
      </c>
      <c r="J612" s="2">
        <f>+DATAIN_COMPRAS__2[[#This Row],[$/ UN NETO]]*DATAIN_COMPRAS__2[[#This Row],[IVA]]</f>
        <v>900</v>
      </c>
      <c r="K612" s="7">
        <f t="shared" si="14"/>
        <v>1800</v>
      </c>
      <c r="L612" t="s">
        <v>237</v>
      </c>
    </row>
    <row r="613" spans="1:12" x14ac:dyDescent="0.35">
      <c r="A613" s="13">
        <v>45807</v>
      </c>
      <c r="B613" t="s">
        <v>309</v>
      </c>
      <c r="C613" t="s">
        <v>19</v>
      </c>
      <c r="E613" s="8">
        <v>11</v>
      </c>
      <c r="F613" s="1">
        <f>45000/DATAIN_COMPRAS__2[[#This Row],[CANT]]/1.21</f>
        <v>3380.9166040570999</v>
      </c>
      <c r="H613">
        <v>1.21</v>
      </c>
      <c r="J613" s="2">
        <f>+DATAIN_COMPRAS__2[[#This Row],[$/ UN NETO]]*DATAIN_COMPRAS__2[[#This Row],[IVA]]</f>
        <v>4090.9090909090905</v>
      </c>
      <c r="K613" s="7">
        <f t="shared" si="14"/>
        <v>45000</v>
      </c>
      <c r="L613" t="s">
        <v>237</v>
      </c>
    </row>
    <row r="614" spans="1:12" x14ac:dyDescent="0.35">
      <c r="A614" s="13">
        <v>45807</v>
      </c>
      <c r="B614" t="s">
        <v>80</v>
      </c>
      <c r="C614" t="s">
        <v>100</v>
      </c>
      <c r="E614" s="8">
        <v>20</v>
      </c>
      <c r="F614" s="1">
        <v>611.57000000000005</v>
      </c>
      <c r="H614">
        <v>1.21</v>
      </c>
      <c r="J614" s="2">
        <f>+DATAIN_COMPRAS__2[[#This Row],[$/ UN NETO]]*DATAIN_COMPRAS__2[[#This Row],[IVA]]</f>
        <v>739.99970000000008</v>
      </c>
      <c r="K614" s="7">
        <f t="shared" si="14"/>
        <v>14799.994000000001</v>
      </c>
      <c r="L614" t="s">
        <v>237</v>
      </c>
    </row>
    <row r="615" spans="1:12" x14ac:dyDescent="0.35">
      <c r="A615" s="13">
        <v>45807</v>
      </c>
      <c r="B615" t="s">
        <v>80</v>
      </c>
      <c r="C615" t="s">
        <v>87</v>
      </c>
      <c r="E615" s="8">
        <v>1</v>
      </c>
      <c r="F615" s="1">
        <v>4958.68</v>
      </c>
      <c r="H615">
        <v>1.21</v>
      </c>
      <c r="J615" s="2">
        <f>+DATAIN_COMPRAS__2[[#This Row],[$/ UN NETO]]*DATAIN_COMPRAS__2[[#This Row],[IVA]]</f>
        <v>6000.0028000000002</v>
      </c>
      <c r="K615" s="7">
        <f t="shared" si="14"/>
        <v>6000.0028000000002</v>
      </c>
      <c r="L615" t="s">
        <v>237</v>
      </c>
    </row>
    <row r="616" spans="1:12" x14ac:dyDescent="0.35">
      <c r="A616" s="13">
        <v>45807</v>
      </c>
      <c r="B616" t="s">
        <v>80</v>
      </c>
      <c r="C616" t="s">
        <v>89</v>
      </c>
      <c r="E616" s="8">
        <v>2</v>
      </c>
      <c r="F616" s="1">
        <v>661.16</v>
      </c>
      <c r="H616">
        <v>1.21</v>
      </c>
      <c r="J616" s="2">
        <f>+DATAIN_COMPRAS__2[[#This Row],[$/ UN NETO]]*DATAIN_COMPRAS__2[[#This Row],[IVA]]</f>
        <v>800.00359999999989</v>
      </c>
      <c r="K616" s="7">
        <f t="shared" si="14"/>
        <v>1600.0071999999998</v>
      </c>
      <c r="L616" t="s">
        <v>237</v>
      </c>
    </row>
    <row r="617" spans="1:12" x14ac:dyDescent="0.35">
      <c r="A617" s="13">
        <v>45807</v>
      </c>
      <c r="B617" t="s">
        <v>80</v>
      </c>
      <c r="C617" t="s">
        <v>308</v>
      </c>
      <c r="E617" s="8">
        <v>2</v>
      </c>
      <c r="F617" s="1">
        <v>330.58</v>
      </c>
      <c r="H617">
        <v>1.21</v>
      </c>
      <c r="J617" s="2">
        <f>+DATAIN_COMPRAS__2[[#This Row],[$/ UN NETO]]*DATAIN_COMPRAS__2[[#This Row],[IVA]]</f>
        <v>400.00179999999995</v>
      </c>
      <c r="K617" s="7">
        <f t="shared" si="14"/>
        <v>800.00359999999989</v>
      </c>
      <c r="L617" t="s">
        <v>237</v>
      </c>
    </row>
    <row r="618" spans="1:12" x14ac:dyDescent="0.35">
      <c r="A618" s="13">
        <v>45807</v>
      </c>
      <c r="B618" t="s">
        <v>80</v>
      </c>
      <c r="C618" t="s">
        <v>306</v>
      </c>
      <c r="E618" s="8">
        <v>6</v>
      </c>
      <c r="F618" s="1">
        <v>462.8</v>
      </c>
      <c r="H618">
        <v>1.21</v>
      </c>
      <c r="J618" s="2">
        <f>+DATAIN_COMPRAS__2[[#This Row],[$/ UN NETO]]*DATAIN_COMPRAS__2[[#This Row],[IVA]]</f>
        <v>559.98799999999994</v>
      </c>
      <c r="K618" s="7">
        <f t="shared" si="14"/>
        <v>3359.9280000000003</v>
      </c>
      <c r="L618" t="s">
        <v>237</v>
      </c>
    </row>
    <row r="619" spans="1:12" x14ac:dyDescent="0.35">
      <c r="A619" s="13">
        <v>45807</v>
      </c>
      <c r="B619" t="s">
        <v>80</v>
      </c>
      <c r="C619" t="s">
        <v>305</v>
      </c>
      <c r="E619" s="8">
        <v>1</v>
      </c>
      <c r="F619" s="1">
        <v>1818.18</v>
      </c>
      <c r="H619">
        <v>1.21</v>
      </c>
      <c r="J619" s="2">
        <f>+DATAIN_COMPRAS__2[[#This Row],[$/ UN NETO]]*DATAIN_COMPRAS__2[[#This Row],[IVA]]</f>
        <v>2199.9978000000001</v>
      </c>
      <c r="K619" s="7">
        <f t="shared" si="14"/>
        <v>2199.9978000000001</v>
      </c>
      <c r="L619" t="s">
        <v>237</v>
      </c>
    </row>
    <row r="620" spans="1:12" x14ac:dyDescent="0.35">
      <c r="A620" s="13">
        <v>45807</v>
      </c>
      <c r="B620" t="s">
        <v>80</v>
      </c>
      <c r="C620" t="s">
        <v>307</v>
      </c>
      <c r="E620" s="8">
        <v>6</v>
      </c>
      <c r="F620" s="1">
        <v>181.82</v>
      </c>
      <c r="H620">
        <v>1.21</v>
      </c>
      <c r="J620" s="2">
        <f>+DATAIN_COMPRAS__2[[#This Row],[$/ UN NETO]]*DATAIN_COMPRAS__2[[#This Row],[IVA]]</f>
        <v>220.00219999999999</v>
      </c>
      <c r="K620" s="7">
        <f t="shared" si="14"/>
        <v>1320.0132000000001</v>
      </c>
      <c r="L620" t="s">
        <v>237</v>
      </c>
    </row>
    <row r="621" spans="1:12" x14ac:dyDescent="0.35">
      <c r="A621" s="13">
        <v>45807</v>
      </c>
      <c r="B621" t="s">
        <v>80</v>
      </c>
      <c r="C621" t="s">
        <v>304</v>
      </c>
      <c r="E621" s="8">
        <v>20</v>
      </c>
      <c r="F621" s="1">
        <v>74.38</v>
      </c>
      <c r="H621">
        <v>1.21</v>
      </c>
      <c r="J621" s="2">
        <f>+DATAIN_COMPRAS__2[[#This Row],[$/ UN NETO]]*DATAIN_COMPRAS__2[[#This Row],[IVA]]</f>
        <v>89.999799999999993</v>
      </c>
      <c r="K621" s="7">
        <f t="shared" si="14"/>
        <v>1799.9959999999999</v>
      </c>
      <c r="L621" t="s">
        <v>237</v>
      </c>
    </row>
    <row r="622" spans="1:12" x14ac:dyDescent="0.35">
      <c r="A622" s="13">
        <v>45807</v>
      </c>
      <c r="B622" t="s">
        <v>80</v>
      </c>
      <c r="C622" t="s">
        <v>303</v>
      </c>
      <c r="E622" s="8">
        <v>20</v>
      </c>
      <c r="F622" s="1">
        <v>181.82</v>
      </c>
      <c r="H622">
        <v>1.21</v>
      </c>
      <c r="J622" s="2">
        <f>+DATAIN_COMPRAS__2[[#This Row],[$/ UN NETO]]*DATAIN_COMPRAS__2[[#This Row],[IVA]]</f>
        <v>220.00219999999999</v>
      </c>
      <c r="K622" s="7">
        <f t="shared" si="14"/>
        <v>4400.0439999999999</v>
      </c>
      <c r="L622" t="s">
        <v>237</v>
      </c>
    </row>
    <row r="623" spans="1:12" x14ac:dyDescent="0.35">
      <c r="A623" s="13">
        <v>45807</v>
      </c>
      <c r="B623" t="s">
        <v>75</v>
      </c>
      <c r="C623" t="s">
        <v>78</v>
      </c>
      <c r="E623" s="8">
        <v>12</v>
      </c>
      <c r="F623" s="1">
        <v>1101.4100000000001</v>
      </c>
      <c r="H623">
        <v>1.21</v>
      </c>
      <c r="J623" s="2">
        <f>+DATAIN_COMPRAS__2[[#This Row],[$/ UN NETO]]*DATAIN_COMPRAS__2[[#This Row],[IVA]]</f>
        <v>1332.7061000000001</v>
      </c>
      <c r="K623" s="7">
        <f t="shared" si="14"/>
        <v>15992.473200000002</v>
      </c>
      <c r="L623" t="s">
        <v>237</v>
      </c>
    </row>
    <row r="624" spans="1:12" x14ac:dyDescent="0.35">
      <c r="A624" s="13">
        <v>45807</v>
      </c>
      <c r="B624" t="s">
        <v>75</v>
      </c>
      <c r="C624" t="s">
        <v>78</v>
      </c>
      <c r="E624" s="8">
        <v>12</v>
      </c>
      <c r="F624" s="1">
        <v>1182.56</v>
      </c>
      <c r="H624">
        <v>1.21</v>
      </c>
      <c r="J624" s="2">
        <f>+DATAIN_COMPRAS__2[[#This Row],[$/ UN NETO]]*DATAIN_COMPRAS__2[[#This Row],[IVA]]</f>
        <v>1430.8975999999998</v>
      </c>
      <c r="K624" s="7">
        <f t="shared" si="14"/>
        <v>17170.771199999999</v>
      </c>
      <c r="L624" t="s">
        <v>237</v>
      </c>
    </row>
    <row r="625" spans="1:12" x14ac:dyDescent="0.35">
      <c r="A625" s="13">
        <v>45807</v>
      </c>
      <c r="B625" t="s">
        <v>75</v>
      </c>
      <c r="C625" t="s">
        <v>76</v>
      </c>
      <c r="E625" s="8">
        <v>96</v>
      </c>
      <c r="F625" s="1">
        <v>1101.4100000000001</v>
      </c>
      <c r="H625">
        <v>1.21</v>
      </c>
      <c r="J625" s="2">
        <f>+DATAIN_COMPRAS__2[[#This Row],[$/ UN NETO]]*DATAIN_COMPRAS__2[[#This Row],[IVA]]</f>
        <v>1332.7061000000001</v>
      </c>
      <c r="K625" s="7">
        <f t="shared" si="14"/>
        <v>127939.78560000002</v>
      </c>
      <c r="L625" t="s">
        <v>237</v>
      </c>
    </row>
    <row r="626" spans="1:12" x14ac:dyDescent="0.35">
      <c r="A626" s="13">
        <v>45807</v>
      </c>
      <c r="B626" t="s">
        <v>75</v>
      </c>
      <c r="C626" t="s">
        <v>76</v>
      </c>
      <c r="E626" s="8">
        <v>24</v>
      </c>
      <c r="F626" s="1">
        <v>1101.4100000000001</v>
      </c>
      <c r="H626">
        <v>1.21</v>
      </c>
      <c r="J626" s="2">
        <f>+DATAIN_COMPRAS__2[[#This Row],[$/ UN NETO]]*DATAIN_COMPRAS__2[[#This Row],[IVA]]</f>
        <v>1332.7061000000001</v>
      </c>
      <c r="K626" s="7">
        <f t="shared" si="14"/>
        <v>31984.946400000004</v>
      </c>
      <c r="L626" t="s">
        <v>158</v>
      </c>
    </row>
    <row r="627" spans="1:12" x14ac:dyDescent="0.35">
      <c r="A627" s="13">
        <v>45808</v>
      </c>
      <c r="B627" t="s">
        <v>48</v>
      </c>
      <c r="C627" t="s">
        <v>259</v>
      </c>
      <c r="E627" s="8">
        <v>3.58</v>
      </c>
      <c r="F627" s="1">
        <v>7747.9116000000004</v>
      </c>
      <c r="H627">
        <v>1.21</v>
      </c>
      <c r="J627" s="2">
        <f>+DATAIN_COMPRAS__2[[#This Row],[$/ UN NETO]]*DATAIN_COMPRAS__2[[#This Row],[IVA]]</f>
        <v>9374.9730359999994</v>
      </c>
      <c r="K627" s="7">
        <f t="shared" si="14"/>
        <v>33562.403468880002</v>
      </c>
      <c r="L627" t="s">
        <v>237</v>
      </c>
    </row>
    <row r="628" spans="1:12" x14ac:dyDescent="0.35">
      <c r="A628" s="13">
        <v>45808</v>
      </c>
      <c r="B628" t="s">
        <v>110</v>
      </c>
      <c r="C628" t="s">
        <v>111</v>
      </c>
      <c r="E628" s="8">
        <v>2</v>
      </c>
      <c r="F628" s="1">
        <v>1840.691</v>
      </c>
      <c r="H628">
        <v>1.21</v>
      </c>
      <c r="J628" s="2">
        <f>+DATAIN_COMPRAS__2[[#This Row],[$/ UN NETO]]*DATAIN_COMPRAS__2[[#This Row],[IVA]]</f>
        <v>2227.2361099999998</v>
      </c>
      <c r="K628" s="7">
        <f t="shared" si="14"/>
        <v>4454.4722199999997</v>
      </c>
      <c r="L628" t="s">
        <v>237</v>
      </c>
    </row>
    <row r="629" spans="1:12" x14ac:dyDescent="0.35">
      <c r="A629" s="13">
        <v>45808</v>
      </c>
      <c r="B629" t="s">
        <v>110</v>
      </c>
      <c r="C629" t="s">
        <v>164</v>
      </c>
      <c r="E629" s="8">
        <v>1</v>
      </c>
      <c r="F629" s="1">
        <v>3480.53</v>
      </c>
      <c r="H629">
        <v>1.21</v>
      </c>
      <c r="J629" s="2">
        <f>+DATAIN_COMPRAS__2[[#This Row],[$/ UN NETO]]*DATAIN_COMPRAS__2[[#This Row],[IVA]]</f>
        <v>4211.4413000000004</v>
      </c>
      <c r="K629" s="7">
        <f t="shared" si="14"/>
        <v>4211.4413000000004</v>
      </c>
      <c r="L629" t="s">
        <v>158</v>
      </c>
    </row>
    <row r="630" spans="1:12" x14ac:dyDescent="0.35">
      <c r="A630" s="13">
        <v>45811</v>
      </c>
      <c r="B630" t="s">
        <v>48</v>
      </c>
      <c r="C630" t="s">
        <v>61</v>
      </c>
      <c r="E630" s="8">
        <v>2</v>
      </c>
      <c r="F630" s="1">
        <v>910.75429999999994</v>
      </c>
      <c r="H630">
        <v>1.21</v>
      </c>
      <c r="I630">
        <v>0.06</v>
      </c>
      <c r="J630" s="2">
        <f>+DATAIN_COMPRAS__2[[#This Row],[$/ UN NETO]]*DATAIN_COMPRAS__2[[#This Row],[IVA]]</f>
        <v>1102.0127029999999</v>
      </c>
      <c r="K630" s="7">
        <f t="shared" si="14"/>
        <v>2071.7838816399999</v>
      </c>
      <c r="L630" t="s">
        <v>237</v>
      </c>
    </row>
    <row r="631" spans="1:12" x14ac:dyDescent="0.35">
      <c r="A631" s="13">
        <v>45811</v>
      </c>
      <c r="B631" t="s">
        <v>48</v>
      </c>
      <c r="C631" t="s">
        <v>55</v>
      </c>
      <c r="E631" s="8">
        <v>2</v>
      </c>
      <c r="F631" s="1">
        <v>865.94470000000001</v>
      </c>
      <c r="H631">
        <v>1.21</v>
      </c>
      <c r="I631">
        <v>0.06</v>
      </c>
      <c r="J631" s="2">
        <f>+DATAIN_COMPRAS__2[[#This Row],[$/ UN NETO]]*DATAIN_COMPRAS__2[[#This Row],[IVA]]</f>
        <v>1047.793087</v>
      </c>
      <c r="K631" s="7">
        <f t="shared" si="14"/>
        <v>1969.85100356</v>
      </c>
      <c r="L631" t="s">
        <v>237</v>
      </c>
    </row>
    <row r="632" spans="1:12" x14ac:dyDescent="0.35">
      <c r="A632" s="13">
        <v>45811</v>
      </c>
      <c r="B632" t="s">
        <v>48</v>
      </c>
      <c r="C632" t="s">
        <v>50</v>
      </c>
      <c r="E632" s="8">
        <v>2.5</v>
      </c>
      <c r="F632" s="1">
        <f>25337.0938/2.5</f>
        <v>10134.837519999999</v>
      </c>
      <c r="H632">
        <v>1.21</v>
      </c>
      <c r="I632">
        <v>0.06</v>
      </c>
      <c r="J632" s="2">
        <f>+DATAIN_COMPRAS__2[[#This Row],[$/ UN NETO]]*DATAIN_COMPRAS__2[[#This Row],[IVA]]</f>
        <v>12263.153399199999</v>
      </c>
      <c r="K632" s="7">
        <f t="shared" si="14"/>
        <v>28818.410488119996</v>
      </c>
      <c r="L632" t="s">
        <v>237</v>
      </c>
    </row>
    <row r="633" spans="1:12" x14ac:dyDescent="0.35">
      <c r="A633" s="13">
        <v>45811</v>
      </c>
      <c r="B633" t="s">
        <v>48</v>
      </c>
      <c r="C633" t="s">
        <v>58</v>
      </c>
      <c r="E633" s="8">
        <v>1</v>
      </c>
      <c r="F633" s="1">
        <v>21962</v>
      </c>
      <c r="H633">
        <v>1.21</v>
      </c>
      <c r="I633">
        <v>0.06</v>
      </c>
      <c r="J633" s="2">
        <f>+DATAIN_COMPRAS__2[[#This Row],[$/ UN NETO]]*DATAIN_COMPRAS__2[[#This Row],[IVA]]</f>
        <v>26574.02</v>
      </c>
      <c r="K633" s="7">
        <f t="shared" si="14"/>
        <v>24979.578799999999</v>
      </c>
      <c r="L633" t="s">
        <v>237</v>
      </c>
    </row>
    <row r="634" spans="1:12" x14ac:dyDescent="0.35">
      <c r="A634" s="13">
        <v>45811</v>
      </c>
      <c r="B634" t="s">
        <v>48</v>
      </c>
      <c r="C634" t="s">
        <v>70</v>
      </c>
      <c r="E634" s="8">
        <v>1</v>
      </c>
      <c r="F634" s="1">
        <v>5435.9339</v>
      </c>
      <c r="H634">
        <v>1.21</v>
      </c>
      <c r="I634">
        <v>0.06</v>
      </c>
      <c r="J634" s="2">
        <f>+DATAIN_COMPRAS__2[[#This Row],[$/ UN NETO]]*DATAIN_COMPRAS__2[[#This Row],[IVA]]</f>
        <v>6577.4800189999996</v>
      </c>
      <c r="K634" s="7">
        <f t="shared" si="14"/>
        <v>6182.831217859999</v>
      </c>
      <c r="L634" t="s">
        <v>237</v>
      </c>
    </row>
    <row r="635" spans="1:12" x14ac:dyDescent="0.35">
      <c r="A635" s="13">
        <v>45811</v>
      </c>
      <c r="B635" t="s">
        <v>48</v>
      </c>
      <c r="C635" t="s">
        <v>250</v>
      </c>
      <c r="E635" s="8">
        <v>2</v>
      </c>
      <c r="F635" s="1">
        <v>1019.04</v>
      </c>
      <c r="H635">
        <v>1.21</v>
      </c>
      <c r="J635" s="2">
        <f>+DATAIN_COMPRAS__2[[#This Row],[$/ UN NETO]]*DATAIN_COMPRAS__2[[#This Row],[IVA]]</f>
        <v>1233.0383999999999</v>
      </c>
      <c r="K635" s="7">
        <f t="shared" si="14"/>
        <v>2466.0767999999998</v>
      </c>
      <c r="L635" t="s">
        <v>237</v>
      </c>
    </row>
    <row r="636" spans="1:12" x14ac:dyDescent="0.35">
      <c r="A636" s="13">
        <v>45811</v>
      </c>
      <c r="B636" t="s">
        <v>48</v>
      </c>
      <c r="C636" t="s">
        <v>52</v>
      </c>
      <c r="E636" s="8">
        <v>7.2</v>
      </c>
      <c r="F636" s="1">
        <v>7747.9116000000004</v>
      </c>
      <c r="H636">
        <v>1.21</v>
      </c>
      <c r="J636" s="2">
        <f>+DATAIN_COMPRAS__2[[#This Row],[$/ UN NETO]]*DATAIN_COMPRAS__2[[#This Row],[IVA]]</f>
        <v>9374.9730359999994</v>
      </c>
      <c r="K636" s="7">
        <f t="shared" si="14"/>
        <v>67499.805859200002</v>
      </c>
      <c r="L636" t="s">
        <v>237</v>
      </c>
    </row>
    <row r="637" spans="1:12" x14ac:dyDescent="0.35">
      <c r="A637" s="13">
        <v>45811</v>
      </c>
      <c r="B637" t="s">
        <v>181</v>
      </c>
      <c r="C637" t="str">
        <f>+UPPER("Crema Balde x 5Lt 44% MILKAUT")</f>
        <v>CREMA BALDE X 5LT 44% MILKAUT</v>
      </c>
      <c r="E637" s="8">
        <v>5</v>
      </c>
      <c r="F637" s="1">
        <f>33721.49/5</f>
        <v>6744.2979999999998</v>
      </c>
      <c r="H637">
        <v>1.21</v>
      </c>
      <c r="J637" s="2">
        <f>+DATAIN_COMPRAS__2[[#This Row],[$/ UN NETO]]*DATAIN_COMPRAS__2[[#This Row],[IVA]]</f>
        <v>8160.6005799999994</v>
      </c>
      <c r="K637" s="7">
        <f t="shared" si="14"/>
        <v>40803.002899999999</v>
      </c>
      <c r="L637" t="s">
        <v>158</v>
      </c>
    </row>
    <row r="638" spans="1:12" x14ac:dyDescent="0.35">
      <c r="A638" s="13">
        <v>45811</v>
      </c>
      <c r="B638" t="s">
        <v>181</v>
      </c>
      <c r="C638" t="s">
        <v>266</v>
      </c>
      <c r="E638" s="8">
        <v>10</v>
      </c>
      <c r="F638" s="1">
        <f>50371.9/5</f>
        <v>10074.380000000001</v>
      </c>
      <c r="H638">
        <v>1.21</v>
      </c>
      <c r="J638" s="2">
        <f>+DATAIN_COMPRAS__2[[#This Row],[$/ UN NETO]]*DATAIN_COMPRAS__2[[#This Row],[IVA]]</f>
        <v>12189.999800000001</v>
      </c>
      <c r="K638" s="7">
        <f t="shared" si="14"/>
        <v>121899.99800000002</v>
      </c>
      <c r="L638" t="s">
        <v>158</v>
      </c>
    </row>
    <row r="639" spans="1:12" x14ac:dyDescent="0.35">
      <c r="A639" s="13">
        <v>45811</v>
      </c>
      <c r="B639" t="s">
        <v>181</v>
      </c>
      <c r="C639" t="s">
        <v>833</v>
      </c>
      <c r="E639" s="8">
        <v>3.5</v>
      </c>
      <c r="F639" s="1">
        <f>17031.4/3.5</f>
        <v>4866.1142857142859</v>
      </c>
      <c r="H639">
        <v>1.21</v>
      </c>
      <c r="J639" s="2">
        <f>+DATAIN_COMPRAS__2[[#This Row],[$/ UN NETO]]*DATAIN_COMPRAS__2[[#This Row],[IVA]]</f>
        <v>5887.9982857142859</v>
      </c>
      <c r="K639" s="7">
        <f t="shared" si="14"/>
        <v>20607.994000000002</v>
      </c>
      <c r="L639" t="s">
        <v>158</v>
      </c>
    </row>
    <row r="640" spans="1:12" x14ac:dyDescent="0.35">
      <c r="A640" s="13">
        <v>45813</v>
      </c>
      <c r="B640" t="s">
        <v>48</v>
      </c>
      <c r="C640" t="s">
        <v>151</v>
      </c>
      <c r="E640" s="8">
        <v>1</v>
      </c>
      <c r="F640" s="1">
        <v>6070.7833000000001</v>
      </c>
      <c r="H640">
        <v>1.21</v>
      </c>
      <c r="I640">
        <v>0.06</v>
      </c>
      <c r="J640" s="2">
        <f>+DATAIN_COMPRAS__2[[#This Row],[$/ UN NETO]]*DATAIN_COMPRAS__2[[#This Row],[IVA]]</f>
        <v>7345.6477930000001</v>
      </c>
      <c r="K640" s="7">
        <f t="shared" si="14"/>
        <v>6904.9089254199989</v>
      </c>
      <c r="L640" t="s">
        <v>237</v>
      </c>
    </row>
    <row r="641" spans="1:12" x14ac:dyDescent="0.35">
      <c r="A641" s="13">
        <v>45813</v>
      </c>
      <c r="B641" t="s">
        <v>48</v>
      </c>
      <c r="C641" t="s">
        <v>51</v>
      </c>
      <c r="E641" s="8">
        <v>3.48</v>
      </c>
      <c r="F641" s="1">
        <v>8562.7474999999995</v>
      </c>
      <c r="H641">
        <v>1.21</v>
      </c>
      <c r="I641">
        <v>0.06</v>
      </c>
      <c r="J641" s="2">
        <f>+DATAIN_COMPRAS__2[[#This Row],[$/ UN NETO]]*DATAIN_COMPRAS__2[[#This Row],[IVA]]</f>
        <v>10360.924475</v>
      </c>
      <c r="K641" s="7">
        <f t="shared" si="14"/>
        <v>33892.656142619991</v>
      </c>
      <c r="L641" t="s">
        <v>237</v>
      </c>
    </row>
    <row r="642" spans="1:12" x14ac:dyDescent="0.35">
      <c r="A642" s="13">
        <v>45813</v>
      </c>
      <c r="B642" t="s">
        <v>48</v>
      </c>
      <c r="C642" t="s">
        <v>58</v>
      </c>
      <c r="E642" s="8">
        <v>6</v>
      </c>
      <c r="F642" s="1">
        <v>3660.3333333333335</v>
      </c>
      <c r="H642">
        <v>1.21</v>
      </c>
      <c r="I642">
        <v>0.06</v>
      </c>
      <c r="J642" s="2">
        <f>+DATAIN_COMPRAS__2[[#This Row],[$/ UN NETO]]*DATAIN_COMPRAS__2[[#This Row],[IVA]]</f>
        <v>4429.0033333333331</v>
      </c>
      <c r="K642" s="7">
        <f t="shared" si="14"/>
        <v>24979.578799999999</v>
      </c>
      <c r="L642" t="s">
        <v>158</v>
      </c>
    </row>
    <row r="643" spans="1:12" x14ac:dyDescent="0.35">
      <c r="A643" s="13">
        <v>45813</v>
      </c>
      <c r="B643" t="s">
        <v>48</v>
      </c>
      <c r="C643" t="s">
        <v>248</v>
      </c>
      <c r="E643" s="8">
        <v>2</v>
      </c>
      <c r="F643" s="1">
        <v>764.94</v>
      </c>
      <c r="H643">
        <v>1.21</v>
      </c>
      <c r="I643">
        <v>0.06</v>
      </c>
      <c r="J643" s="2">
        <f>+DATAIN_COMPRAS__2[[#This Row],[$/ UN NETO]]*DATAIN_COMPRAS__2[[#This Row],[IVA]]</f>
        <v>925.57740000000001</v>
      </c>
      <c r="K643" s="7">
        <f t="shared" si="14"/>
        <v>1740.0855119999999</v>
      </c>
      <c r="L643" t="s">
        <v>237</v>
      </c>
    </row>
    <row r="644" spans="1:12" x14ac:dyDescent="0.35">
      <c r="A644" s="13">
        <v>45813</v>
      </c>
      <c r="B644" t="s">
        <v>48</v>
      </c>
      <c r="C644" t="s">
        <v>54</v>
      </c>
      <c r="E644" s="8">
        <v>2</v>
      </c>
      <c r="F644" s="1">
        <v>793.46929999999998</v>
      </c>
      <c r="H644">
        <v>1.21</v>
      </c>
      <c r="J644" s="2">
        <f>+DATAIN_COMPRAS__2[[#This Row],[$/ UN NETO]]*DATAIN_COMPRAS__2[[#This Row],[IVA]]</f>
        <v>960.09785299999999</v>
      </c>
      <c r="K644" s="7">
        <f t="shared" si="14"/>
        <v>1920.195706</v>
      </c>
      <c r="L644" t="s">
        <v>237</v>
      </c>
    </row>
    <row r="645" spans="1:12" x14ac:dyDescent="0.35">
      <c r="A645" s="13">
        <v>45813</v>
      </c>
      <c r="B645" t="s">
        <v>174</v>
      </c>
      <c r="C645" t="s">
        <v>175</v>
      </c>
      <c r="E645" s="8">
        <v>6</v>
      </c>
      <c r="F645" s="1">
        <f>60780/6/DATAIN_COMPRAS__2[[#This Row],[IVA]]</f>
        <v>8371.9008264462809</v>
      </c>
      <c r="H645">
        <v>1.21</v>
      </c>
      <c r="J645" s="2">
        <f>+DATAIN_COMPRAS__2[[#This Row],[$/ UN NETO]]*DATAIN_COMPRAS__2[[#This Row],[IVA]]</f>
        <v>10130</v>
      </c>
      <c r="K645" s="7">
        <f t="shared" si="14"/>
        <v>60779.999999999993</v>
      </c>
      <c r="L645" t="s">
        <v>158</v>
      </c>
    </row>
    <row r="646" spans="1:12" x14ac:dyDescent="0.35">
      <c r="A646" s="13">
        <v>45813</v>
      </c>
      <c r="B646" t="s">
        <v>174</v>
      </c>
      <c r="C646" t="s">
        <v>175</v>
      </c>
      <c r="E646" s="8">
        <v>6</v>
      </c>
      <c r="F646" s="1">
        <f>50231/6</f>
        <v>8371.8333333333339</v>
      </c>
      <c r="H646">
        <v>1.21</v>
      </c>
      <c r="J646" s="2">
        <f>+DATAIN_COMPRAS__2[[#This Row],[$/ UN NETO]]*DATAIN_COMPRAS__2[[#This Row],[IVA]]</f>
        <v>10129.918333333333</v>
      </c>
      <c r="K646" s="7">
        <f t="shared" si="14"/>
        <v>60779.509999999995</v>
      </c>
      <c r="L646" t="s">
        <v>158</v>
      </c>
    </row>
    <row r="647" spans="1:12" x14ac:dyDescent="0.35">
      <c r="A647" s="13">
        <v>45813</v>
      </c>
      <c r="B647" t="s">
        <v>110</v>
      </c>
      <c r="C647" t="s">
        <v>111</v>
      </c>
      <c r="E647" s="8">
        <v>2</v>
      </c>
      <c r="F647" s="1">
        <v>1840.91</v>
      </c>
      <c r="H647">
        <v>1.21</v>
      </c>
      <c r="J647" s="2">
        <f>+DATAIN_COMPRAS__2[[#This Row],[$/ UN NETO]]*DATAIN_COMPRAS__2[[#This Row],[IVA]]</f>
        <v>2227.5011</v>
      </c>
      <c r="K647" s="7">
        <f t="shared" si="14"/>
        <v>4455.0021999999999</v>
      </c>
      <c r="L647" t="s">
        <v>237</v>
      </c>
    </row>
    <row r="648" spans="1:12" x14ac:dyDescent="0.35">
      <c r="A648" s="13">
        <v>45813</v>
      </c>
      <c r="B648" t="s">
        <v>110</v>
      </c>
      <c r="C648" t="s">
        <v>195</v>
      </c>
      <c r="E648" s="8">
        <v>18.399999999999999</v>
      </c>
      <c r="F648" s="1">
        <f>30783.5/9.2</f>
        <v>3346.0326086956525</v>
      </c>
      <c r="H648">
        <v>1.21</v>
      </c>
      <c r="J648" s="2">
        <f>+DATAIN_COMPRAS__2[[#This Row],[$/ UN NETO]]*DATAIN_COMPRAS__2[[#This Row],[IVA]]</f>
        <v>4048.6994565217392</v>
      </c>
      <c r="K648" s="7">
        <f t="shared" si="14"/>
        <v>74496.069999999992</v>
      </c>
      <c r="L648" t="s">
        <v>237</v>
      </c>
    </row>
    <row r="649" spans="1:12" x14ac:dyDescent="0.35">
      <c r="A649" s="13">
        <v>45813</v>
      </c>
      <c r="B649" t="s">
        <v>71</v>
      </c>
      <c r="C649" t="s">
        <v>224</v>
      </c>
      <c r="E649" s="8">
        <v>2</v>
      </c>
      <c r="F649" s="1">
        <v>3819.83</v>
      </c>
      <c r="H649">
        <v>1.21</v>
      </c>
      <c r="J649" s="2">
        <f>+DATAIN_COMPRAS__2[[#This Row],[$/ UN NETO]]*DATAIN_COMPRAS__2[[#This Row],[IVA]]</f>
        <v>4621.9942999999994</v>
      </c>
      <c r="K649" s="7">
        <f t="shared" si="14"/>
        <v>9243.9885999999988</v>
      </c>
      <c r="L649" t="s">
        <v>237</v>
      </c>
    </row>
    <row r="650" spans="1:12" x14ac:dyDescent="0.35">
      <c r="A650" s="13">
        <v>45813</v>
      </c>
      <c r="B650" t="s">
        <v>71</v>
      </c>
      <c r="C650" t="s">
        <v>72</v>
      </c>
      <c r="E650" s="8">
        <v>1</v>
      </c>
      <c r="F650" s="1">
        <v>6031.4</v>
      </c>
      <c r="H650">
        <v>1.21</v>
      </c>
      <c r="J650" s="2">
        <f>+DATAIN_COMPRAS__2[[#This Row],[$/ UN NETO]]*DATAIN_COMPRAS__2[[#This Row],[IVA]]</f>
        <v>7297.9939999999997</v>
      </c>
      <c r="K650" s="7">
        <f t="shared" si="14"/>
        <v>7297.9939999999997</v>
      </c>
      <c r="L650" t="s">
        <v>237</v>
      </c>
    </row>
    <row r="651" spans="1:12" x14ac:dyDescent="0.35">
      <c r="A651" s="13">
        <v>45813</v>
      </c>
      <c r="B651" t="s">
        <v>12</v>
      </c>
      <c r="C651" t="s">
        <v>26</v>
      </c>
      <c r="E651" s="8">
        <v>2</v>
      </c>
      <c r="F651" s="1">
        <f>1500/DATAIN_COMPRAS__2[[#This Row],[IVA]]</f>
        <v>1357.4660633484164</v>
      </c>
      <c r="H651">
        <v>1.105</v>
      </c>
      <c r="J651" s="2">
        <f>+DATAIN_COMPRAS__2[[#This Row],[$/ UN NETO]]*DATAIN_COMPRAS__2[[#This Row],[IVA]]</f>
        <v>1500</v>
      </c>
      <c r="K651" s="7">
        <f t="shared" si="14"/>
        <v>3000</v>
      </c>
      <c r="L651" t="s">
        <v>237</v>
      </c>
    </row>
    <row r="652" spans="1:12" x14ac:dyDescent="0.35">
      <c r="A652" s="13">
        <v>45813</v>
      </c>
      <c r="B652" t="s">
        <v>12</v>
      </c>
      <c r="C652" t="s">
        <v>31</v>
      </c>
      <c r="E652" s="8">
        <v>2.23</v>
      </c>
      <c r="F652" s="1">
        <f>1500/DATAIN_COMPRAS__2[[#This Row],[IVA]]</f>
        <v>1357.4660633484164</v>
      </c>
      <c r="H652">
        <v>1.105</v>
      </c>
      <c r="J652" s="2">
        <f>+DATAIN_COMPRAS__2[[#This Row],[$/ UN NETO]]*DATAIN_COMPRAS__2[[#This Row],[IVA]]</f>
        <v>1500</v>
      </c>
      <c r="K652" s="7">
        <f t="shared" si="14"/>
        <v>3345</v>
      </c>
      <c r="L652" t="s">
        <v>237</v>
      </c>
    </row>
    <row r="653" spans="1:12" x14ac:dyDescent="0.35">
      <c r="A653" s="13">
        <v>45813</v>
      </c>
      <c r="B653" t="s">
        <v>12</v>
      </c>
      <c r="C653" t="s">
        <v>44</v>
      </c>
      <c r="E653" s="8">
        <v>1.06</v>
      </c>
      <c r="F653" s="1">
        <f>4800/DATAIN_COMPRAS__2[[#This Row],[IVA]]</f>
        <v>4343.8914027149322</v>
      </c>
      <c r="H653">
        <v>1.105</v>
      </c>
      <c r="J653" s="2">
        <f>+DATAIN_COMPRAS__2[[#This Row],[$/ UN NETO]]*DATAIN_COMPRAS__2[[#This Row],[IVA]]</f>
        <v>4800</v>
      </c>
      <c r="K653" s="7">
        <f t="shared" si="14"/>
        <v>5088</v>
      </c>
      <c r="L653" t="s">
        <v>237</v>
      </c>
    </row>
    <row r="654" spans="1:12" x14ac:dyDescent="0.35">
      <c r="A654" s="13">
        <v>45813</v>
      </c>
      <c r="B654" t="s">
        <v>12</v>
      </c>
      <c r="C654" t="s">
        <v>18</v>
      </c>
      <c r="E654" s="8">
        <v>0.5</v>
      </c>
      <c r="F654" s="1">
        <f>4100/DATAIN_COMPRAS__2[[#This Row],[IVA]]</f>
        <v>3710.4072398190046</v>
      </c>
      <c r="H654">
        <v>1.105</v>
      </c>
      <c r="J654" s="2">
        <f>+DATAIN_COMPRAS__2[[#This Row],[$/ UN NETO]]*DATAIN_COMPRAS__2[[#This Row],[IVA]]</f>
        <v>4100</v>
      </c>
      <c r="K654" s="7">
        <f t="shared" si="14"/>
        <v>2050</v>
      </c>
      <c r="L654" t="s">
        <v>237</v>
      </c>
    </row>
    <row r="655" spans="1:12" x14ac:dyDescent="0.35">
      <c r="A655" s="13">
        <v>45813</v>
      </c>
      <c r="B655" t="s">
        <v>12</v>
      </c>
      <c r="C655" t="s">
        <v>22</v>
      </c>
      <c r="E655" s="8">
        <v>1.0900000000000001</v>
      </c>
      <c r="F655" s="1">
        <f>1800/DATAIN_COMPRAS__2[[#This Row],[IVA]]</f>
        <v>1628.9592760180997</v>
      </c>
      <c r="H655">
        <v>1.105</v>
      </c>
      <c r="J655" s="2">
        <f>+DATAIN_COMPRAS__2[[#This Row],[$/ UN NETO]]*DATAIN_COMPRAS__2[[#This Row],[IVA]]</f>
        <v>1800</v>
      </c>
      <c r="K655" s="7">
        <f t="shared" si="14"/>
        <v>1962.0000000000005</v>
      </c>
      <c r="L655" t="s">
        <v>237</v>
      </c>
    </row>
    <row r="656" spans="1:12" x14ac:dyDescent="0.35">
      <c r="A656" s="13">
        <v>45814</v>
      </c>
      <c r="B656" t="s">
        <v>48</v>
      </c>
      <c r="C656" t="s">
        <v>833</v>
      </c>
      <c r="E656" s="8">
        <v>3.5</v>
      </c>
      <c r="F656" s="1">
        <f>19208.044/3.5</f>
        <v>5488.0125714285723</v>
      </c>
      <c r="H656">
        <v>1.21</v>
      </c>
      <c r="I656">
        <v>0.06</v>
      </c>
      <c r="J656" s="2">
        <f>+DATAIN_COMPRAS__2[[#This Row],[$/ UN NETO]]*DATAIN_COMPRAS__2[[#This Row],[IVA]]</f>
        <v>6640.4952114285725</v>
      </c>
      <c r="K656" s="7">
        <f t="shared" si="14"/>
        <v>21847.2292456</v>
      </c>
      <c r="L656" t="s">
        <v>237</v>
      </c>
    </row>
    <row r="657" spans="1:12" x14ac:dyDescent="0.35">
      <c r="A657" s="13">
        <v>45814</v>
      </c>
      <c r="B657" t="s">
        <v>80</v>
      </c>
      <c r="C657" t="s">
        <v>299</v>
      </c>
      <c r="E657" s="8">
        <v>1</v>
      </c>
      <c r="F657" s="1">
        <v>1818.18</v>
      </c>
      <c r="H657">
        <v>1.21</v>
      </c>
      <c r="J657" s="2">
        <f>+DATAIN_COMPRAS__2[[#This Row],[$/ UN NETO]]*DATAIN_COMPRAS__2[[#This Row],[IVA]]</f>
        <v>2199.9978000000001</v>
      </c>
      <c r="K657" s="7">
        <f t="shared" si="14"/>
        <v>2199.9978000000001</v>
      </c>
      <c r="L657" t="s">
        <v>237</v>
      </c>
    </row>
    <row r="658" spans="1:12" x14ac:dyDescent="0.35">
      <c r="A658" s="13">
        <v>45814</v>
      </c>
      <c r="B658" t="s">
        <v>80</v>
      </c>
      <c r="C658" t="s">
        <v>86</v>
      </c>
      <c r="E658" s="8">
        <v>20</v>
      </c>
      <c r="F658" s="1">
        <v>164.1</v>
      </c>
      <c r="H658">
        <v>1.21</v>
      </c>
      <c r="J658" s="2">
        <f>+DATAIN_COMPRAS__2[[#This Row],[$/ UN NETO]]*DATAIN_COMPRAS__2[[#This Row],[IVA]]</f>
        <v>198.56099999999998</v>
      </c>
      <c r="K658" s="7">
        <f t="shared" si="14"/>
        <v>3971.22</v>
      </c>
      <c r="L658" t="s">
        <v>237</v>
      </c>
    </row>
    <row r="659" spans="1:12" x14ac:dyDescent="0.35">
      <c r="A659" s="13">
        <v>45814</v>
      </c>
      <c r="B659" t="s">
        <v>80</v>
      </c>
      <c r="C659" t="s">
        <v>97</v>
      </c>
      <c r="E659" s="8">
        <v>20</v>
      </c>
      <c r="F659" s="1">
        <v>283.37</v>
      </c>
      <c r="H659">
        <v>1.21</v>
      </c>
      <c r="J659" s="2">
        <f>+DATAIN_COMPRAS__2[[#This Row],[$/ UN NETO]]*DATAIN_COMPRAS__2[[#This Row],[IVA]]</f>
        <v>342.8777</v>
      </c>
      <c r="K659" s="7">
        <f t="shared" si="14"/>
        <v>6857.5539999999992</v>
      </c>
      <c r="L659" t="s">
        <v>237</v>
      </c>
    </row>
    <row r="660" spans="1:12" x14ac:dyDescent="0.35">
      <c r="A660" s="13">
        <v>45814</v>
      </c>
      <c r="B660" t="s">
        <v>80</v>
      </c>
      <c r="C660" t="s">
        <v>215</v>
      </c>
      <c r="E660" s="8">
        <v>2</v>
      </c>
      <c r="F660" s="1">
        <v>330.58</v>
      </c>
      <c r="H660">
        <v>1.21</v>
      </c>
      <c r="J660" s="2">
        <f>+DATAIN_COMPRAS__2[[#This Row],[$/ UN NETO]]*DATAIN_COMPRAS__2[[#This Row],[IVA]]</f>
        <v>400.00179999999995</v>
      </c>
      <c r="K660" s="7">
        <f t="shared" si="14"/>
        <v>800.00359999999989</v>
      </c>
      <c r="L660" t="s">
        <v>237</v>
      </c>
    </row>
    <row r="661" spans="1:12" x14ac:dyDescent="0.35">
      <c r="A661" s="13">
        <v>45814</v>
      </c>
      <c r="B661" t="s">
        <v>80</v>
      </c>
      <c r="C661" t="s">
        <v>310</v>
      </c>
      <c r="E661" s="8">
        <v>8</v>
      </c>
      <c r="F661" s="1">
        <v>446.28</v>
      </c>
      <c r="H661">
        <v>1.21</v>
      </c>
      <c r="J661" s="2">
        <f>+DATAIN_COMPRAS__2[[#This Row],[$/ UN NETO]]*DATAIN_COMPRAS__2[[#This Row],[IVA]]</f>
        <v>539.99879999999996</v>
      </c>
      <c r="K661" s="7">
        <f t="shared" si="14"/>
        <v>4319.9903999999997</v>
      </c>
      <c r="L661" t="s">
        <v>237</v>
      </c>
    </row>
    <row r="662" spans="1:12" x14ac:dyDescent="0.35">
      <c r="A662" s="13">
        <v>45814</v>
      </c>
      <c r="B662" t="s">
        <v>80</v>
      </c>
      <c r="C662" t="s">
        <v>221</v>
      </c>
      <c r="E662" s="8">
        <v>8</v>
      </c>
      <c r="F662" s="1">
        <v>968.34</v>
      </c>
      <c r="H662">
        <v>1.21</v>
      </c>
      <c r="J662" s="2">
        <f>+DATAIN_COMPRAS__2[[#This Row],[$/ UN NETO]]*DATAIN_COMPRAS__2[[#This Row],[IVA]]</f>
        <v>1171.6913999999999</v>
      </c>
      <c r="K662" s="7">
        <f t="shared" si="14"/>
        <v>9373.5311999999994</v>
      </c>
      <c r="L662" t="s">
        <v>237</v>
      </c>
    </row>
    <row r="663" spans="1:12" x14ac:dyDescent="0.35">
      <c r="A663" s="13">
        <v>45814</v>
      </c>
      <c r="B663" t="s">
        <v>80</v>
      </c>
      <c r="C663" t="s">
        <v>94</v>
      </c>
      <c r="E663" s="8">
        <v>3</v>
      </c>
      <c r="F663" s="1">
        <v>1074.3800000000001</v>
      </c>
      <c r="H663">
        <v>1.21</v>
      </c>
      <c r="J663" s="2">
        <f>+DATAIN_COMPRAS__2[[#This Row],[$/ UN NETO]]*DATAIN_COMPRAS__2[[#This Row],[IVA]]</f>
        <v>1299.9998000000001</v>
      </c>
      <c r="K663" s="7">
        <f t="shared" ref="K663:K728" si="15">(E663*F663)*(1-I663)*(H663)</f>
        <v>3899.9994000000002</v>
      </c>
      <c r="L663" t="s">
        <v>237</v>
      </c>
    </row>
    <row r="664" spans="1:12" x14ac:dyDescent="0.35">
      <c r="A664" s="13">
        <v>45814</v>
      </c>
      <c r="B664" t="s">
        <v>80</v>
      </c>
      <c r="C664" t="s">
        <v>307</v>
      </c>
      <c r="E664" s="8">
        <v>8</v>
      </c>
      <c r="F664" s="1">
        <v>181.82</v>
      </c>
      <c r="H664">
        <v>1.21</v>
      </c>
      <c r="J664" s="2">
        <f>+DATAIN_COMPRAS__2[[#This Row],[$/ UN NETO]]*DATAIN_COMPRAS__2[[#This Row],[IVA]]</f>
        <v>220.00219999999999</v>
      </c>
      <c r="K664" s="7">
        <f t="shared" si="15"/>
        <v>1760.0175999999999</v>
      </c>
      <c r="L664" t="s">
        <v>237</v>
      </c>
    </row>
    <row r="665" spans="1:12" x14ac:dyDescent="0.35">
      <c r="A665" s="13">
        <v>45818</v>
      </c>
      <c r="B665" t="s">
        <v>185</v>
      </c>
      <c r="C665" t="s">
        <v>116</v>
      </c>
      <c r="E665" s="8">
        <v>25</v>
      </c>
      <c r="F665" s="1">
        <v>926.2</v>
      </c>
      <c r="H665">
        <v>1</v>
      </c>
      <c r="J665" s="2">
        <f>+DATAIN_COMPRAS__2[[#This Row],[$/ UN NETO]]*DATAIN_COMPRAS__2[[#This Row],[IVA]]</f>
        <v>926.2</v>
      </c>
      <c r="K665" s="7">
        <f t="shared" si="15"/>
        <v>23155</v>
      </c>
      <c r="L665" t="s">
        <v>158</v>
      </c>
    </row>
    <row r="666" spans="1:12" x14ac:dyDescent="0.35">
      <c r="A666" s="13">
        <v>45818</v>
      </c>
      <c r="B666" t="s">
        <v>185</v>
      </c>
      <c r="C666" t="s">
        <v>187</v>
      </c>
      <c r="E666" s="8">
        <f>2*25</f>
        <v>50</v>
      </c>
      <c r="F666" s="1">
        <v>1034.6400000000001</v>
      </c>
      <c r="H666">
        <v>1</v>
      </c>
      <c r="J666" s="2">
        <f>+DATAIN_COMPRAS__2[[#This Row],[$/ UN NETO]]*DATAIN_COMPRAS__2[[#This Row],[IVA]]</f>
        <v>1034.6400000000001</v>
      </c>
      <c r="K666" s="7">
        <f t="shared" si="15"/>
        <v>51732.000000000007</v>
      </c>
      <c r="L666" t="s">
        <v>158</v>
      </c>
    </row>
    <row r="667" spans="1:12" x14ac:dyDescent="0.35">
      <c r="A667" s="13">
        <v>45818</v>
      </c>
      <c r="B667" t="s">
        <v>185</v>
      </c>
      <c r="C667" t="s">
        <v>186</v>
      </c>
      <c r="E667" s="8">
        <f>4*25</f>
        <v>100</v>
      </c>
      <c r="F667" s="1">
        <v>979.44</v>
      </c>
      <c r="H667">
        <v>1</v>
      </c>
      <c r="J667" s="2">
        <f>+DATAIN_COMPRAS__2[[#This Row],[$/ UN NETO]]*DATAIN_COMPRAS__2[[#This Row],[IVA]]</f>
        <v>979.44</v>
      </c>
      <c r="K667" s="7">
        <f t="shared" si="15"/>
        <v>97944</v>
      </c>
      <c r="L667" t="s">
        <v>158</v>
      </c>
    </row>
    <row r="668" spans="1:12" x14ac:dyDescent="0.35">
      <c r="A668" s="13">
        <v>45818</v>
      </c>
      <c r="B668" t="s">
        <v>185</v>
      </c>
      <c r="C668" t="s">
        <v>188</v>
      </c>
      <c r="E668" s="8">
        <v>25</v>
      </c>
      <c r="F668" s="1">
        <v>1295.56</v>
      </c>
      <c r="H668">
        <v>1</v>
      </c>
      <c r="J668" s="2">
        <f>+DATAIN_COMPRAS__2[[#This Row],[$/ UN NETO]]*DATAIN_COMPRAS__2[[#This Row],[IVA]]</f>
        <v>1295.56</v>
      </c>
      <c r="K668" s="7">
        <f t="shared" si="15"/>
        <v>32389</v>
      </c>
      <c r="L668" t="s">
        <v>158</v>
      </c>
    </row>
    <row r="669" spans="1:12" x14ac:dyDescent="0.35">
      <c r="A669" s="13">
        <v>45818</v>
      </c>
      <c r="B669" t="s">
        <v>48</v>
      </c>
      <c r="C669" t="s">
        <v>312</v>
      </c>
      <c r="E669" s="8">
        <v>1</v>
      </c>
      <c r="F669" s="1">
        <v>1121.73</v>
      </c>
      <c r="G669">
        <v>0.06</v>
      </c>
      <c r="H669">
        <v>1.21</v>
      </c>
      <c r="J669" s="2">
        <f>+DATAIN_COMPRAS__2[[#This Row],[$/ UN NETO]]*DATAIN_COMPRAS__2[[#This Row],[IVA]]</f>
        <v>1357.2933</v>
      </c>
      <c r="K669" s="7">
        <f t="shared" si="15"/>
        <v>1357.2933</v>
      </c>
      <c r="L669" t="s">
        <v>237</v>
      </c>
    </row>
    <row r="670" spans="1:12" x14ac:dyDescent="0.35">
      <c r="A670" s="13">
        <v>45818</v>
      </c>
      <c r="B670" t="s">
        <v>48</v>
      </c>
      <c r="C670" t="s">
        <v>116</v>
      </c>
      <c r="E670" s="8">
        <v>1</v>
      </c>
      <c r="F670" s="1">
        <v>889.6</v>
      </c>
      <c r="G670">
        <v>0.06</v>
      </c>
      <c r="H670">
        <v>1.21</v>
      </c>
      <c r="J670" s="2">
        <f>+DATAIN_COMPRAS__2[[#This Row],[$/ UN NETO]]*DATAIN_COMPRAS__2[[#This Row],[IVA]]</f>
        <v>1076.4159999999999</v>
      </c>
      <c r="K670" s="7">
        <f t="shared" si="15"/>
        <v>1076.4159999999999</v>
      </c>
      <c r="L670" t="s">
        <v>237</v>
      </c>
    </row>
    <row r="671" spans="1:12" x14ac:dyDescent="0.35">
      <c r="A671" s="13">
        <v>45818</v>
      </c>
      <c r="B671" t="s">
        <v>48</v>
      </c>
      <c r="C671" t="s">
        <v>60</v>
      </c>
      <c r="E671" s="8">
        <v>1</v>
      </c>
      <c r="F671" s="1">
        <v>4504.1309000000001</v>
      </c>
      <c r="H671">
        <v>1.21</v>
      </c>
      <c r="J671" s="2">
        <f>+DATAIN_COMPRAS__2[[#This Row],[$/ UN NETO]]*DATAIN_COMPRAS__2[[#This Row],[IVA]]</f>
        <v>5449.9983890000003</v>
      </c>
      <c r="K671" s="7">
        <f t="shared" si="15"/>
        <v>5449.9983890000003</v>
      </c>
      <c r="L671" t="s">
        <v>237</v>
      </c>
    </row>
    <row r="672" spans="1:12" x14ac:dyDescent="0.35">
      <c r="A672" s="13">
        <v>45818</v>
      </c>
      <c r="B672" t="s">
        <v>48</v>
      </c>
      <c r="C672" t="s">
        <v>250</v>
      </c>
      <c r="E672" s="8">
        <v>2</v>
      </c>
      <c r="F672" s="1">
        <v>1039.5</v>
      </c>
      <c r="H672">
        <v>1.21</v>
      </c>
      <c r="J672" s="2">
        <f>+DATAIN_COMPRAS__2[[#This Row],[$/ UN NETO]]*DATAIN_COMPRAS__2[[#This Row],[IVA]]</f>
        <v>1257.7950000000001</v>
      </c>
      <c r="K672" s="7">
        <f t="shared" si="15"/>
        <v>2515.59</v>
      </c>
      <c r="L672" t="s">
        <v>237</v>
      </c>
    </row>
    <row r="673" spans="1:12" x14ac:dyDescent="0.35">
      <c r="A673" s="13">
        <v>45818</v>
      </c>
      <c r="B673" t="s">
        <v>48</v>
      </c>
      <c r="C673" t="s">
        <v>311</v>
      </c>
      <c r="E673" s="8">
        <v>1</v>
      </c>
      <c r="F673" s="1">
        <v>2259.2503999999999</v>
      </c>
      <c r="G673">
        <v>0.06</v>
      </c>
      <c r="H673">
        <v>1.21</v>
      </c>
      <c r="J673" s="2">
        <f>+DATAIN_COMPRAS__2[[#This Row],[$/ UN NETO]]*DATAIN_COMPRAS__2[[#This Row],[IVA]]</f>
        <v>2733.6929839999998</v>
      </c>
      <c r="K673" s="7">
        <f t="shared" si="15"/>
        <v>2733.6929839999998</v>
      </c>
      <c r="L673" t="s">
        <v>237</v>
      </c>
    </row>
    <row r="674" spans="1:12" x14ac:dyDescent="0.35">
      <c r="A674" s="13">
        <v>45818</v>
      </c>
      <c r="B674" t="s">
        <v>48</v>
      </c>
      <c r="C674" t="s">
        <v>248</v>
      </c>
      <c r="E674" s="8">
        <v>2</v>
      </c>
      <c r="F674" s="1">
        <v>780.12</v>
      </c>
      <c r="H674">
        <v>1.21</v>
      </c>
      <c r="J674" s="2">
        <f>+DATAIN_COMPRAS__2[[#This Row],[$/ UN NETO]]*DATAIN_COMPRAS__2[[#This Row],[IVA]]</f>
        <v>943.9452</v>
      </c>
      <c r="K674" s="7">
        <f t="shared" si="15"/>
        <v>1887.8904</v>
      </c>
      <c r="L674" t="s">
        <v>237</v>
      </c>
    </row>
    <row r="675" spans="1:12" x14ac:dyDescent="0.35">
      <c r="A675" s="13">
        <v>45818</v>
      </c>
      <c r="B675" t="s">
        <v>110</v>
      </c>
      <c r="C675" t="s">
        <v>111</v>
      </c>
      <c r="E675" s="8">
        <v>1</v>
      </c>
      <c r="F675" s="1">
        <v>1184.9100000000001</v>
      </c>
      <c r="H675">
        <v>1.21</v>
      </c>
      <c r="J675" s="2">
        <f>+DATAIN_COMPRAS__2[[#This Row],[$/ UN NETO]]*DATAIN_COMPRAS__2[[#This Row],[IVA]]</f>
        <v>1433.7411</v>
      </c>
      <c r="K675" s="7">
        <f t="shared" si="15"/>
        <v>1433.7411</v>
      </c>
      <c r="L675" t="s">
        <v>237</v>
      </c>
    </row>
    <row r="676" spans="1:12" x14ac:dyDescent="0.35">
      <c r="A676" s="13">
        <v>45818</v>
      </c>
      <c r="B676" t="s">
        <v>110</v>
      </c>
      <c r="C676" t="s">
        <v>163</v>
      </c>
      <c r="E676" s="8">
        <v>5</v>
      </c>
      <c r="F676" s="1">
        <v>1843.8</v>
      </c>
      <c r="H676">
        <v>1.21</v>
      </c>
      <c r="J676" s="2">
        <f>+DATAIN_COMPRAS__2[[#This Row],[$/ UN NETO]]*DATAIN_COMPRAS__2[[#This Row],[IVA]]</f>
        <v>2230.998</v>
      </c>
      <c r="K676" s="7">
        <f t="shared" si="15"/>
        <v>11154.99</v>
      </c>
      <c r="L676" t="s">
        <v>158</v>
      </c>
    </row>
    <row r="677" spans="1:12" x14ac:dyDescent="0.35">
      <c r="A677" s="13">
        <v>45818</v>
      </c>
      <c r="B677" t="s">
        <v>110</v>
      </c>
      <c r="C677" t="s">
        <v>114</v>
      </c>
      <c r="E677" s="8">
        <v>3</v>
      </c>
      <c r="F677" s="1">
        <f>7395.15/3</f>
        <v>2465.0499999999997</v>
      </c>
      <c r="H677">
        <v>1.21</v>
      </c>
      <c r="J677" s="2">
        <f>+DATAIN_COMPRAS__2[[#This Row],[$/ UN NETO]]*DATAIN_COMPRAS__2[[#This Row],[IVA]]</f>
        <v>2982.7104999999997</v>
      </c>
      <c r="K677" s="7">
        <f t="shared" si="15"/>
        <v>8948.1314999999995</v>
      </c>
      <c r="L677" t="s">
        <v>237</v>
      </c>
    </row>
    <row r="678" spans="1:12" x14ac:dyDescent="0.35">
      <c r="A678" s="13">
        <v>45818</v>
      </c>
      <c r="B678" t="s">
        <v>110</v>
      </c>
      <c r="C678" t="s">
        <v>112</v>
      </c>
      <c r="E678" s="8">
        <v>1</v>
      </c>
      <c r="F678" s="1">
        <v>8400.3700000000008</v>
      </c>
      <c r="H678">
        <v>1.21</v>
      </c>
      <c r="J678" s="2">
        <f>+DATAIN_COMPRAS__2[[#This Row],[$/ UN NETO]]*DATAIN_COMPRAS__2[[#This Row],[IVA]]</f>
        <v>10164.447700000001</v>
      </c>
      <c r="K678" s="7">
        <f t="shared" si="15"/>
        <v>10164.447700000001</v>
      </c>
      <c r="L678" t="s">
        <v>158</v>
      </c>
    </row>
    <row r="679" spans="1:12" x14ac:dyDescent="0.35">
      <c r="A679" s="13">
        <v>45818</v>
      </c>
      <c r="B679" t="s">
        <v>110</v>
      </c>
      <c r="C679" t="s">
        <v>149</v>
      </c>
      <c r="E679" s="8">
        <v>1</v>
      </c>
      <c r="F679" s="1">
        <v>3305.78</v>
      </c>
      <c r="H679">
        <v>1.21</v>
      </c>
      <c r="J679" s="2">
        <f>+DATAIN_COMPRAS__2[[#This Row],[$/ UN NETO]]*DATAIN_COMPRAS__2[[#This Row],[IVA]]</f>
        <v>3999.9938000000002</v>
      </c>
      <c r="K679" s="7">
        <f t="shared" si="15"/>
        <v>3999.9938000000002</v>
      </c>
      <c r="L679" t="s">
        <v>237</v>
      </c>
    </row>
    <row r="680" spans="1:12" x14ac:dyDescent="0.35">
      <c r="A680" s="13">
        <v>45818</v>
      </c>
      <c r="B680" t="s">
        <v>313</v>
      </c>
      <c r="C680" t="s">
        <v>103</v>
      </c>
      <c r="E680" s="8">
        <v>360</v>
      </c>
      <c r="F680" s="1">
        <f>66000/360/DATAIN_COMPRAS__2[[#This Row],[IVA]]</f>
        <v>151.51515151515153</v>
      </c>
      <c r="H680">
        <v>1.21</v>
      </c>
      <c r="J680" s="2">
        <f>+DATAIN_COMPRAS__2[[#This Row],[$/ UN NETO]]*DATAIN_COMPRAS__2[[#This Row],[IVA]]</f>
        <v>183.33333333333334</v>
      </c>
      <c r="K680" s="7">
        <f t="shared" si="15"/>
        <v>66000</v>
      </c>
      <c r="L680" t="s">
        <v>237</v>
      </c>
    </row>
    <row r="681" spans="1:12" x14ac:dyDescent="0.35">
      <c r="A681" s="13">
        <v>45818</v>
      </c>
      <c r="B681" t="s">
        <v>313</v>
      </c>
      <c r="C681" t="s">
        <v>103</v>
      </c>
      <c r="E681" s="8">
        <v>360</v>
      </c>
      <c r="F681" s="1">
        <f>66000/360/DATAIN_COMPRAS__2[[#This Row],[IVA]]</f>
        <v>151.51515151515153</v>
      </c>
      <c r="H681">
        <v>1.21</v>
      </c>
      <c r="J681" s="2">
        <f>+DATAIN_COMPRAS__2[[#This Row],[$/ UN NETO]]*DATAIN_COMPRAS__2[[#This Row],[IVA]]</f>
        <v>183.33333333333334</v>
      </c>
      <c r="K681" s="7">
        <f t="shared" si="15"/>
        <v>66000</v>
      </c>
      <c r="L681" t="s">
        <v>158</v>
      </c>
    </row>
    <row r="682" spans="1:12" x14ac:dyDescent="0.35">
      <c r="A682" s="13">
        <v>45818</v>
      </c>
      <c r="B682" t="s">
        <v>75</v>
      </c>
      <c r="C682" t="s">
        <v>76</v>
      </c>
      <c r="E682" s="8">
        <v>96</v>
      </c>
      <c r="F682" s="1">
        <v>1101.4100000000001</v>
      </c>
      <c r="H682">
        <v>1.21</v>
      </c>
      <c r="J682" s="2">
        <f>+DATAIN_COMPRAS__2[[#This Row],[$/ UN NETO]]*DATAIN_COMPRAS__2[[#This Row],[IVA]]</f>
        <v>1332.7061000000001</v>
      </c>
      <c r="K682" s="7">
        <f t="shared" si="15"/>
        <v>127939.78560000002</v>
      </c>
      <c r="L682" t="s">
        <v>237</v>
      </c>
    </row>
    <row r="683" spans="1:12" x14ac:dyDescent="0.35">
      <c r="A683" s="13">
        <v>45819</v>
      </c>
      <c r="B683" t="s">
        <v>174</v>
      </c>
      <c r="C683" t="s">
        <v>175</v>
      </c>
      <c r="E683" s="8">
        <v>6</v>
      </c>
      <c r="F683" s="1">
        <f>47719.83/6</f>
        <v>7953.3050000000003</v>
      </c>
      <c r="H683">
        <v>1.21</v>
      </c>
      <c r="J683" s="2">
        <f>+DATAIN_COMPRAS__2[[#This Row],[$/ UN NETO]]*DATAIN_COMPRAS__2[[#This Row],[IVA]]</f>
        <v>9623.4990500000004</v>
      </c>
      <c r="K683" s="7">
        <f t="shared" si="15"/>
        <v>57740.994299999998</v>
      </c>
      <c r="L683" t="s">
        <v>237</v>
      </c>
    </row>
    <row r="684" spans="1:12" x14ac:dyDescent="0.35">
      <c r="A684" s="13">
        <v>45819</v>
      </c>
      <c r="B684" t="s">
        <v>80</v>
      </c>
      <c r="C684" t="s">
        <v>315</v>
      </c>
      <c r="E684" s="8">
        <v>2</v>
      </c>
      <c r="F684" s="1">
        <v>1074.3800000000001</v>
      </c>
      <c r="H684">
        <v>1.21</v>
      </c>
      <c r="J684" s="2">
        <f>+DATAIN_COMPRAS__2[[#This Row],[$/ UN NETO]]*DATAIN_COMPRAS__2[[#This Row],[IVA]]</f>
        <v>1299.9998000000001</v>
      </c>
      <c r="K684" s="7">
        <f t="shared" si="15"/>
        <v>2599.9996000000001</v>
      </c>
      <c r="L684" t="s">
        <v>158</v>
      </c>
    </row>
    <row r="685" spans="1:12" x14ac:dyDescent="0.35">
      <c r="A685" s="13">
        <v>45819</v>
      </c>
      <c r="B685" t="s">
        <v>80</v>
      </c>
      <c r="C685" t="s">
        <v>315</v>
      </c>
      <c r="E685" s="8">
        <v>2</v>
      </c>
      <c r="F685" s="1">
        <v>1074.3800000000001</v>
      </c>
      <c r="H685">
        <v>1.21</v>
      </c>
      <c r="J685" s="2">
        <f>+DATAIN_COMPRAS__2[[#This Row],[$/ UN NETO]]*DATAIN_COMPRAS__2[[#This Row],[IVA]]</f>
        <v>1299.9998000000001</v>
      </c>
      <c r="K685" s="7">
        <f t="shared" si="15"/>
        <v>2599.9996000000001</v>
      </c>
      <c r="L685" t="s">
        <v>158</v>
      </c>
    </row>
    <row r="686" spans="1:12" x14ac:dyDescent="0.35">
      <c r="A686" s="13">
        <v>45819</v>
      </c>
      <c r="B686" t="s">
        <v>80</v>
      </c>
      <c r="C686" s="14" t="s">
        <v>271</v>
      </c>
      <c r="E686" s="8">
        <v>5</v>
      </c>
      <c r="F686" s="1">
        <f>4462.81/5</f>
        <v>892.56200000000013</v>
      </c>
      <c r="H686">
        <v>1.21</v>
      </c>
      <c r="J686" s="2">
        <f>+DATAIN_COMPRAS__2[[#This Row],[$/ UN NETO]]*DATAIN_COMPRAS__2[[#This Row],[IVA]]</f>
        <v>1080.0000200000002</v>
      </c>
      <c r="K686" s="7">
        <f t="shared" si="15"/>
        <v>5400.0001000000002</v>
      </c>
      <c r="L686" t="s">
        <v>237</v>
      </c>
    </row>
    <row r="687" spans="1:12" x14ac:dyDescent="0.35">
      <c r="A687" s="13">
        <v>45819</v>
      </c>
      <c r="B687" t="s">
        <v>80</v>
      </c>
      <c r="C687" s="14" t="s">
        <v>91</v>
      </c>
      <c r="E687" s="8">
        <v>2</v>
      </c>
      <c r="F687" s="1">
        <v>330.58</v>
      </c>
      <c r="H687">
        <v>1.21</v>
      </c>
      <c r="J687" s="2">
        <f>+DATAIN_COMPRAS__2[[#This Row],[$/ UN NETO]]*DATAIN_COMPRAS__2[[#This Row],[IVA]]</f>
        <v>400.00179999999995</v>
      </c>
      <c r="K687" s="7">
        <f t="shared" si="15"/>
        <v>800.00359999999989</v>
      </c>
      <c r="L687" t="s">
        <v>158</v>
      </c>
    </row>
    <row r="688" spans="1:12" x14ac:dyDescent="0.35">
      <c r="A688" s="13">
        <v>45819</v>
      </c>
      <c r="B688" t="s">
        <v>80</v>
      </c>
      <c r="C688" t="s">
        <v>215</v>
      </c>
      <c r="E688" s="8">
        <v>1</v>
      </c>
      <c r="F688" s="1">
        <v>330.58</v>
      </c>
      <c r="H688">
        <v>1.21</v>
      </c>
      <c r="J688" s="2">
        <f>+DATAIN_COMPRAS__2[[#This Row],[$/ UN NETO]]*DATAIN_COMPRAS__2[[#This Row],[IVA]]</f>
        <v>400.00179999999995</v>
      </c>
      <c r="K688" s="7">
        <f t="shared" si="15"/>
        <v>400.00179999999995</v>
      </c>
      <c r="L688" t="s">
        <v>237</v>
      </c>
    </row>
    <row r="689" spans="1:12" x14ac:dyDescent="0.35">
      <c r="A689" s="13">
        <v>45819</v>
      </c>
      <c r="B689" t="s">
        <v>80</v>
      </c>
      <c r="C689" t="s">
        <v>215</v>
      </c>
      <c r="E689" s="8">
        <v>2</v>
      </c>
      <c r="F689" s="1">
        <v>330.58</v>
      </c>
      <c r="H689">
        <v>1.21</v>
      </c>
      <c r="J689" s="2">
        <f>+DATAIN_COMPRAS__2[[#This Row],[$/ UN NETO]]*DATAIN_COMPRAS__2[[#This Row],[IVA]]</f>
        <v>400.00179999999995</v>
      </c>
      <c r="K689" s="7">
        <f t="shared" si="15"/>
        <v>800.00359999999989</v>
      </c>
      <c r="L689" t="s">
        <v>158</v>
      </c>
    </row>
    <row r="690" spans="1:12" x14ac:dyDescent="0.35">
      <c r="A690" s="13">
        <v>45819</v>
      </c>
      <c r="B690" t="s">
        <v>80</v>
      </c>
      <c r="C690" t="s">
        <v>90</v>
      </c>
      <c r="E690" s="8">
        <v>1</v>
      </c>
      <c r="F690" s="1">
        <v>8181.82</v>
      </c>
      <c r="H690">
        <v>1.21</v>
      </c>
      <c r="J690" s="2">
        <f>+DATAIN_COMPRAS__2[[#This Row],[$/ UN NETO]]*DATAIN_COMPRAS__2[[#This Row],[IVA]]</f>
        <v>9900.002199999999</v>
      </c>
      <c r="K690" s="7">
        <f t="shared" si="15"/>
        <v>9900.002199999999</v>
      </c>
      <c r="L690" t="s">
        <v>237</v>
      </c>
    </row>
    <row r="691" spans="1:12" x14ac:dyDescent="0.35">
      <c r="A691" s="13">
        <v>45819</v>
      </c>
      <c r="B691" t="s">
        <v>80</v>
      </c>
      <c r="C691" t="s">
        <v>310</v>
      </c>
      <c r="E691" s="8">
        <v>12</v>
      </c>
      <c r="F691" s="1">
        <v>385.32</v>
      </c>
      <c r="H691">
        <v>1.21</v>
      </c>
      <c r="J691" s="2">
        <f>+DATAIN_COMPRAS__2[[#This Row],[$/ UN NETO]]*DATAIN_COMPRAS__2[[#This Row],[IVA]]</f>
        <v>466.23719999999997</v>
      </c>
      <c r="K691" s="7">
        <f t="shared" si="15"/>
        <v>5594.8464000000004</v>
      </c>
      <c r="L691" t="s">
        <v>158</v>
      </c>
    </row>
    <row r="692" spans="1:12" x14ac:dyDescent="0.35">
      <c r="A692" s="13">
        <v>45819</v>
      </c>
      <c r="B692" t="s">
        <v>80</v>
      </c>
      <c r="C692" t="s">
        <v>310</v>
      </c>
      <c r="E692" s="8">
        <v>12</v>
      </c>
      <c r="F692" s="1">
        <v>385.32</v>
      </c>
      <c r="H692">
        <v>1.21</v>
      </c>
      <c r="J692" s="2">
        <f>+DATAIN_COMPRAS__2[[#This Row],[$/ UN NETO]]*DATAIN_COMPRAS__2[[#This Row],[IVA]]</f>
        <v>466.23719999999997</v>
      </c>
      <c r="K692" s="7">
        <f t="shared" si="15"/>
        <v>5594.8464000000004</v>
      </c>
      <c r="L692" t="s">
        <v>158</v>
      </c>
    </row>
    <row r="693" spans="1:12" x14ac:dyDescent="0.35">
      <c r="A693" s="13">
        <v>45819</v>
      </c>
      <c r="B693" t="s">
        <v>80</v>
      </c>
      <c r="C693" t="s">
        <v>216</v>
      </c>
      <c r="E693" s="8">
        <v>2</v>
      </c>
      <c r="F693" s="1">
        <v>5477.52</v>
      </c>
      <c r="H693">
        <v>1.21</v>
      </c>
      <c r="J693" s="2">
        <f>+DATAIN_COMPRAS__2[[#This Row],[$/ UN NETO]]*DATAIN_COMPRAS__2[[#This Row],[IVA]]</f>
        <v>6627.7992000000004</v>
      </c>
      <c r="K693" s="7">
        <f t="shared" si="15"/>
        <v>13255.598400000001</v>
      </c>
      <c r="L693" t="s">
        <v>237</v>
      </c>
    </row>
    <row r="694" spans="1:12" x14ac:dyDescent="0.35">
      <c r="A694" s="13">
        <v>45819</v>
      </c>
      <c r="B694" t="s">
        <v>80</v>
      </c>
      <c r="C694" t="s">
        <v>314</v>
      </c>
      <c r="E694" s="8">
        <v>2</v>
      </c>
      <c r="F694" s="1">
        <v>495.87</v>
      </c>
      <c r="H694">
        <v>1.21</v>
      </c>
      <c r="J694" s="2">
        <f>+DATAIN_COMPRAS__2[[#This Row],[$/ UN NETO]]*DATAIN_COMPRAS__2[[#This Row],[IVA]]</f>
        <v>600.0027</v>
      </c>
      <c r="K694" s="7">
        <f t="shared" si="15"/>
        <v>1200.0054</v>
      </c>
      <c r="L694" t="s">
        <v>237</v>
      </c>
    </row>
    <row r="695" spans="1:12" x14ac:dyDescent="0.35">
      <c r="A695" s="13">
        <v>45819</v>
      </c>
      <c r="B695" t="s">
        <v>80</v>
      </c>
      <c r="C695" t="s">
        <v>307</v>
      </c>
      <c r="E695" s="8">
        <v>12</v>
      </c>
      <c r="F695" s="1">
        <v>156.18</v>
      </c>
      <c r="H695">
        <v>1.21</v>
      </c>
      <c r="J695" s="2">
        <f>+DATAIN_COMPRAS__2[[#This Row],[$/ UN NETO]]*DATAIN_COMPRAS__2[[#This Row],[IVA]]</f>
        <v>188.9778</v>
      </c>
      <c r="K695" s="7">
        <f t="shared" si="15"/>
        <v>2267.7336</v>
      </c>
      <c r="L695" t="s">
        <v>158</v>
      </c>
    </row>
    <row r="696" spans="1:12" x14ac:dyDescent="0.35">
      <c r="A696" s="13">
        <v>45819</v>
      </c>
      <c r="B696" t="s">
        <v>80</v>
      </c>
      <c r="C696" t="s">
        <v>307</v>
      </c>
      <c r="E696" s="8">
        <v>12</v>
      </c>
      <c r="F696" s="1">
        <v>156.18</v>
      </c>
      <c r="H696">
        <v>1.21</v>
      </c>
      <c r="J696" s="2">
        <f>+DATAIN_COMPRAS__2[[#This Row],[$/ UN NETO]]*DATAIN_COMPRAS__2[[#This Row],[IVA]]</f>
        <v>188.9778</v>
      </c>
      <c r="K696" s="7">
        <f t="shared" si="15"/>
        <v>2267.7336</v>
      </c>
      <c r="L696" t="s">
        <v>158</v>
      </c>
    </row>
    <row r="697" spans="1:12" x14ac:dyDescent="0.35">
      <c r="A697" s="13">
        <v>45819</v>
      </c>
      <c r="B697" t="s">
        <v>12</v>
      </c>
      <c r="C697" t="s">
        <v>27</v>
      </c>
      <c r="E697" s="8">
        <v>1</v>
      </c>
      <c r="F697" s="1">
        <f>2300/DATAIN_COMPRAS__2[[#This Row],[IVA]]</f>
        <v>2081.4479638009052</v>
      </c>
      <c r="H697">
        <v>1.105</v>
      </c>
      <c r="J697" s="2">
        <f>+DATAIN_COMPRAS__2[[#This Row],[$/ UN NETO]]*DATAIN_COMPRAS__2[[#This Row],[IVA]]</f>
        <v>2300</v>
      </c>
      <c r="K697" s="7">
        <f t="shared" si="15"/>
        <v>2300</v>
      </c>
      <c r="L697" t="s">
        <v>237</v>
      </c>
    </row>
    <row r="698" spans="1:12" x14ac:dyDescent="0.35">
      <c r="A698" s="13">
        <v>45819</v>
      </c>
      <c r="B698" t="s">
        <v>12</v>
      </c>
      <c r="C698" t="s">
        <v>26</v>
      </c>
      <c r="E698" s="8">
        <v>1</v>
      </c>
      <c r="F698" s="1">
        <f>1500/DATAIN_COMPRAS__2[[#This Row],[IVA]]</f>
        <v>1357.4660633484164</v>
      </c>
      <c r="H698">
        <v>1.105</v>
      </c>
      <c r="J698" s="2">
        <f>+DATAIN_COMPRAS__2[[#This Row],[$/ UN NETO]]*DATAIN_COMPRAS__2[[#This Row],[IVA]]</f>
        <v>1500</v>
      </c>
      <c r="K698" s="7">
        <f t="shared" si="15"/>
        <v>1500</v>
      </c>
      <c r="L698" t="s">
        <v>237</v>
      </c>
    </row>
    <row r="699" spans="1:12" x14ac:dyDescent="0.35">
      <c r="A699" s="13">
        <v>45819</v>
      </c>
      <c r="B699" t="s">
        <v>12</v>
      </c>
      <c r="C699" t="s">
        <v>45</v>
      </c>
      <c r="E699" s="8">
        <v>1</v>
      </c>
      <c r="F699" s="1">
        <f>1200/DATAIN_COMPRAS__2[[#This Row],[IVA]]</f>
        <v>1085.972850678733</v>
      </c>
      <c r="H699">
        <v>1.105</v>
      </c>
      <c r="J699" s="2">
        <f>+DATAIN_COMPRAS__2[[#This Row],[$/ UN NETO]]*DATAIN_COMPRAS__2[[#This Row],[IVA]]</f>
        <v>1200</v>
      </c>
      <c r="K699" s="7">
        <f t="shared" si="15"/>
        <v>1200</v>
      </c>
      <c r="L699" t="s">
        <v>237</v>
      </c>
    </row>
    <row r="700" spans="1:12" x14ac:dyDescent="0.35">
      <c r="A700" s="13">
        <v>45819</v>
      </c>
      <c r="B700" t="s">
        <v>12</v>
      </c>
      <c r="C700" t="s">
        <v>37</v>
      </c>
      <c r="E700" s="8">
        <v>1</v>
      </c>
      <c r="F700" s="1">
        <f>800*DATAIN_COMPRAS__2[[#This Row],[IVA]]</f>
        <v>884</v>
      </c>
      <c r="H700">
        <v>1.105</v>
      </c>
      <c r="J700" s="2">
        <f>+DATAIN_COMPRAS__2[[#This Row],[$/ UN NETO]]*DATAIN_COMPRAS__2[[#This Row],[IVA]]</f>
        <v>976.81999999999994</v>
      </c>
      <c r="K700" s="7">
        <f t="shared" si="15"/>
        <v>976.81999999999994</v>
      </c>
      <c r="L700" t="s">
        <v>237</v>
      </c>
    </row>
    <row r="701" spans="1:12" x14ac:dyDescent="0.35">
      <c r="A701" s="13">
        <v>45819</v>
      </c>
      <c r="B701" t="s">
        <v>12</v>
      </c>
      <c r="C701" t="s">
        <v>41</v>
      </c>
      <c r="E701" s="8">
        <v>1</v>
      </c>
      <c r="F701" s="1">
        <f>2300/DATAIN_COMPRAS__2[[#This Row],[IVA]]</f>
        <v>2081.4479638009052</v>
      </c>
      <c r="H701">
        <v>1.105</v>
      </c>
      <c r="J701" s="2">
        <f>+DATAIN_COMPRAS__2[[#This Row],[$/ UN NETO]]*DATAIN_COMPRAS__2[[#This Row],[IVA]]</f>
        <v>2300</v>
      </c>
      <c r="K701" s="7">
        <f t="shared" si="15"/>
        <v>2300</v>
      </c>
      <c r="L701" t="s">
        <v>237</v>
      </c>
    </row>
    <row r="702" spans="1:12" x14ac:dyDescent="0.35">
      <c r="A702" s="13">
        <v>45819</v>
      </c>
      <c r="B702" t="s">
        <v>12</v>
      </c>
      <c r="C702" t="s">
        <v>18</v>
      </c>
      <c r="E702" s="8">
        <v>0.5</v>
      </c>
      <c r="F702" s="1">
        <f>3800/DATAIN_COMPRAS__2[[#This Row],[IVA]]</f>
        <v>3438.9140271493211</v>
      </c>
      <c r="H702">
        <v>1.105</v>
      </c>
      <c r="J702" s="2">
        <f>+DATAIN_COMPRAS__2[[#This Row],[$/ UN NETO]]*DATAIN_COMPRAS__2[[#This Row],[IVA]]</f>
        <v>3799.9999999999995</v>
      </c>
      <c r="K702" s="7">
        <f t="shared" si="15"/>
        <v>1899.9999999999998</v>
      </c>
      <c r="L702" t="s">
        <v>237</v>
      </c>
    </row>
    <row r="703" spans="1:12" x14ac:dyDescent="0.35">
      <c r="A703" s="13">
        <v>45819</v>
      </c>
      <c r="B703" t="s">
        <v>12</v>
      </c>
      <c r="C703" t="s">
        <v>20</v>
      </c>
      <c r="E703" s="8">
        <v>1</v>
      </c>
      <c r="F703" s="1">
        <f>1300/DATAIN_COMPRAS__2[[#This Row],[IVA]]</f>
        <v>1176.4705882352941</v>
      </c>
      <c r="H703">
        <v>1.105</v>
      </c>
      <c r="J703" s="2">
        <f>+DATAIN_COMPRAS__2[[#This Row],[$/ UN NETO]]*DATAIN_COMPRAS__2[[#This Row],[IVA]]</f>
        <v>1300</v>
      </c>
      <c r="K703" s="7">
        <f t="shared" si="15"/>
        <v>1300</v>
      </c>
      <c r="L703" t="s">
        <v>237</v>
      </c>
    </row>
    <row r="704" spans="1:12" x14ac:dyDescent="0.35">
      <c r="A704" s="13">
        <v>45820</v>
      </c>
      <c r="B704" t="s">
        <v>181</v>
      </c>
      <c r="C704" t="s">
        <v>266</v>
      </c>
      <c r="E704" s="8">
        <v>20</v>
      </c>
      <c r="F704" s="1">
        <f>51782.64/5</f>
        <v>10356.528</v>
      </c>
      <c r="H704">
        <v>1.21</v>
      </c>
      <c r="J704" s="2">
        <f>+DATAIN_COMPRAS__2[[#This Row],[$/ UN NETO]]*DATAIN_COMPRAS__2[[#This Row],[IVA]]</f>
        <v>12531.398880000001</v>
      </c>
      <c r="K704" s="7">
        <f t="shared" si="15"/>
        <v>250627.97759999998</v>
      </c>
      <c r="L704" t="s">
        <v>158</v>
      </c>
    </row>
    <row r="705" spans="1:12" x14ac:dyDescent="0.35">
      <c r="A705" s="13">
        <v>45820</v>
      </c>
      <c r="B705" t="s">
        <v>256</v>
      </c>
      <c r="C705" t="s">
        <v>317</v>
      </c>
      <c r="E705" s="8">
        <v>10</v>
      </c>
      <c r="F705" s="1">
        <f>32355.36/20</f>
        <v>1617.768</v>
      </c>
      <c r="H705">
        <v>1.21</v>
      </c>
      <c r="J705" s="2">
        <f>+DATAIN_COMPRAS__2[[#This Row],[$/ UN NETO]]*DATAIN_COMPRAS__2[[#This Row],[IVA]]</f>
        <v>1957.49928</v>
      </c>
      <c r="K705" s="7">
        <f t="shared" si="15"/>
        <v>19574.9928</v>
      </c>
      <c r="L705" t="s">
        <v>237</v>
      </c>
    </row>
    <row r="706" spans="1:12" x14ac:dyDescent="0.35">
      <c r="A706" s="13">
        <v>45820</v>
      </c>
      <c r="B706" t="s">
        <v>256</v>
      </c>
      <c r="C706" t="s">
        <v>317</v>
      </c>
      <c r="E706" s="8">
        <v>10</v>
      </c>
      <c r="F706" s="1">
        <f>32355.36/20</f>
        <v>1617.768</v>
      </c>
      <c r="H706">
        <v>1.21</v>
      </c>
      <c r="J706" s="2">
        <f>+DATAIN_COMPRAS__2[[#This Row],[$/ UN NETO]]*DATAIN_COMPRAS__2[[#This Row],[IVA]]</f>
        <v>1957.49928</v>
      </c>
      <c r="K706" s="7">
        <f t="shared" si="15"/>
        <v>19574.9928</v>
      </c>
      <c r="L706" t="s">
        <v>158</v>
      </c>
    </row>
    <row r="707" spans="1:12" x14ac:dyDescent="0.35">
      <c r="A707" s="13">
        <v>45820</v>
      </c>
      <c r="B707" t="s">
        <v>256</v>
      </c>
      <c r="C707" t="s">
        <v>258</v>
      </c>
      <c r="E707" s="8">
        <v>5</v>
      </c>
      <c r="F707" s="1">
        <f>8992.3*1-DATAIN_COMPRAS__2[[#This Row],[DESC %]]</f>
        <v>8992.2999999999993</v>
      </c>
      <c r="H707">
        <v>1.21</v>
      </c>
      <c r="J707" s="2">
        <f>+DATAIN_COMPRAS__2[[#This Row],[$/ UN NETO]]*DATAIN_COMPRAS__2[[#This Row],[IVA]]</f>
        <v>10880.682999999999</v>
      </c>
      <c r="K707" s="7">
        <f t="shared" si="15"/>
        <v>54403.415000000001</v>
      </c>
      <c r="L707" t="s">
        <v>237</v>
      </c>
    </row>
    <row r="708" spans="1:12" x14ac:dyDescent="0.35">
      <c r="A708" s="13">
        <v>45820</v>
      </c>
      <c r="B708" t="s">
        <v>256</v>
      </c>
      <c r="C708" t="s">
        <v>259</v>
      </c>
      <c r="E708" s="8">
        <v>10</v>
      </c>
      <c r="F708" s="1">
        <f>9163.512</f>
        <v>9163.5120000000006</v>
      </c>
      <c r="H708">
        <v>1.21</v>
      </c>
      <c r="J708" s="2">
        <f>+DATAIN_COMPRAS__2[[#This Row],[$/ UN NETO]]*DATAIN_COMPRAS__2[[#This Row],[IVA]]</f>
        <v>11087.84952</v>
      </c>
      <c r="K708" s="7">
        <f t="shared" si="15"/>
        <v>110878.4952</v>
      </c>
      <c r="L708" t="s">
        <v>237</v>
      </c>
    </row>
    <row r="709" spans="1:12" x14ac:dyDescent="0.35">
      <c r="A709" s="13">
        <v>45820</v>
      </c>
      <c r="B709" t="s">
        <v>134</v>
      </c>
      <c r="C709" t="s">
        <v>276</v>
      </c>
      <c r="E709" s="8">
        <v>6</v>
      </c>
      <c r="F709" s="1">
        <f>4239.76/3</f>
        <v>1413.2533333333333</v>
      </c>
      <c r="H709">
        <v>1.21</v>
      </c>
      <c r="J709" s="2">
        <f>+DATAIN_COMPRAS__2[[#This Row],[$/ UN NETO]]*DATAIN_COMPRAS__2[[#This Row],[IVA]]</f>
        <v>1710.0365333333332</v>
      </c>
      <c r="K709" s="7">
        <f t="shared" si="15"/>
        <v>10260.2192</v>
      </c>
      <c r="L709" t="s">
        <v>237</v>
      </c>
    </row>
    <row r="710" spans="1:12" x14ac:dyDescent="0.35">
      <c r="A710" s="13">
        <v>45820</v>
      </c>
      <c r="B710" t="s">
        <v>134</v>
      </c>
      <c r="C710" s="14" t="s">
        <v>136</v>
      </c>
      <c r="E710" s="8">
        <v>16</v>
      </c>
      <c r="F710" s="1">
        <f>22479.34/8</f>
        <v>2809.9175</v>
      </c>
      <c r="H710">
        <v>1.21</v>
      </c>
      <c r="J710" s="2">
        <f>+DATAIN_COMPRAS__2[[#This Row],[$/ UN NETO]]*DATAIN_COMPRAS__2[[#This Row],[IVA]]</f>
        <v>3400.0001750000001</v>
      </c>
      <c r="K710" s="7">
        <f t="shared" si="15"/>
        <v>54400.002800000002</v>
      </c>
      <c r="L710" t="s">
        <v>237</v>
      </c>
    </row>
    <row r="711" spans="1:12" x14ac:dyDescent="0.35">
      <c r="A711" s="13">
        <v>45820</v>
      </c>
      <c r="B711" t="s">
        <v>134</v>
      </c>
      <c r="C711" t="s">
        <v>138</v>
      </c>
      <c r="E711" s="8">
        <v>2</v>
      </c>
      <c r="F711" s="1">
        <v>18573.98</v>
      </c>
      <c r="H711">
        <v>1.21</v>
      </c>
      <c r="J711" s="2">
        <f>+DATAIN_COMPRAS__2[[#This Row],[$/ UN NETO]]*DATAIN_COMPRAS__2[[#This Row],[IVA]]</f>
        <v>22474.515799999997</v>
      </c>
      <c r="K711" s="7">
        <f t="shared" si="15"/>
        <v>44949.031599999995</v>
      </c>
      <c r="L711" t="s">
        <v>237</v>
      </c>
    </row>
    <row r="712" spans="1:12" x14ac:dyDescent="0.35">
      <c r="A712" s="13">
        <v>45820</v>
      </c>
      <c r="B712" t="s">
        <v>12</v>
      </c>
      <c r="C712" t="s">
        <v>316</v>
      </c>
      <c r="E712" s="8">
        <v>0.2</v>
      </c>
      <c r="F712" s="1">
        <f>(3900/0.2)/DATAIN_COMPRAS__2[[#This Row],[IVA]]</f>
        <v>17647.058823529413</v>
      </c>
      <c r="H712">
        <v>1.105</v>
      </c>
      <c r="J712" s="2">
        <f>+DATAIN_COMPRAS__2[[#This Row],[$/ UN NETO]]*DATAIN_COMPRAS__2[[#This Row],[IVA]]</f>
        <v>19500</v>
      </c>
      <c r="K712" s="7">
        <f t="shared" si="15"/>
        <v>3900.0000000000005</v>
      </c>
      <c r="L712" t="s">
        <v>237</v>
      </c>
    </row>
    <row r="713" spans="1:12" x14ac:dyDescent="0.35">
      <c r="A713" s="13">
        <v>45821</v>
      </c>
      <c r="B713" t="s">
        <v>104</v>
      </c>
      <c r="C713" t="s">
        <v>105</v>
      </c>
      <c r="E713" s="8">
        <v>2</v>
      </c>
      <c r="F713" s="1">
        <v>10260</v>
      </c>
      <c r="H713">
        <v>1</v>
      </c>
      <c r="J713" s="2">
        <f>+DATAIN_COMPRAS__2[[#This Row],[$/ UN NETO]]*DATAIN_COMPRAS__2[[#This Row],[IVA]]</f>
        <v>10260</v>
      </c>
      <c r="K713" s="7">
        <f t="shared" si="15"/>
        <v>20520</v>
      </c>
      <c r="L713" t="s">
        <v>158</v>
      </c>
    </row>
    <row r="714" spans="1:12" x14ac:dyDescent="0.35">
      <c r="A714" s="13">
        <v>45821</v>
      </c>
      <c r="B714" t="s">
        <v>104</v>
      </c>
      <c r="C714" t="s">
        <v>105</v>
      </c>
      <c r="E714" s="8">
        <v>2</v>
      </c>
      <c r="F714" s="1">
        <v>10260</v>
      </c>
      <c r="H714">
        <v>1</v>
      </c>
      <c r="J714" s="2">
        <f>+DATAIN_COMPRAS__2[[#This Row],[$/ UN NETO]]*DATAIN_COMPRAS__2[[#This Row],[IVA]]</f>
        <v>10260</v>
      </c>
      <c r="K714" s="7">
        <f t="shared" si="15"/>
        <v>20520</v>
      </c>
      <c r="L714" t="s">
        <v>158</v>
      </c>
    </row>
    <row r="715" spans="1:12" x14ac:dyDescent="0.35">
      <c r="A715" s="13">
        <v>45822</v>
      </c>
      <c r="B715" t="s">
        <v>124</v>
      </c>
      <c r="C715" t="s">
        <v>125</v>
      </c>
      <c r="E715" s="8">
        <v>1</v>
      </c>
      <c r="F715" s="1">
        <f>+((42000+39000)/2)/1.21</f>
        <v>33471.074380165293</v>
      </c>
      <c r="H715">
        <v>1.21</v>
      </c>
      <c r="J715" s="2">
        <f>+DATAIN_COMPRAS__2[[#This Row],[$/ UN NETO]]*DATAIN_COMPRAS__2[[#This Row],[IVA]]</f>
        <v>40500.000000000007</v>
      </c>
      <c r="K715" s="7">
        <f t="shared" si="15"/>
        <v>40500.000000000007</v>
      </c>
      <c r="L715" t="s">
        <v>255</v>
      </c>
    </row>
    <row r="716" spans="1:12" x14ac:dyDescent="0.35">
      <c r="A716" s="13">
        <v>45822</v>
      </c>
      <c r="B716" t="s">
        <v>124</v>
      </c>
      <c r="C716" t="s">
        <v>126</v>
      </c>
      <c r="E716" s="8">
        <v>1</v>
      </c>
      <c r="F716" s="1">
        <f>+((17000+17000+15500)/3)/DATAIN_COMPRAS__2[[#This Row],[IVA]]</f>
        <v>13636.363636363636</v>
      </c>
      <c r="H716">
        <v>1.21</v>
      </c>
      <c r="J716" s="2">
        <f>+DATAIN_COMPRAS__2[[#This Row],[$/ UN NETO]]*DATAIN_COMPRAS__2[[#This Row],[IVA]]</f>
        <v>16500</v>
      </c>
      <c r="K716" s="7">
        <f t="shared" si="15"/>
        <v>16500</v>
      </c>
      <c r="L716" t="s">
        <v>255</v>
      </c>
    </row>
    <row r="717" spans="1:12" x14ac:dyDescent="0.35">
      <c r="A717" s="13">
        <v>45822</v>
      </c>
      <c r="B717" t="s">
        <v>48</v>
      </c>
      <c r="C717" t="str">
        <f>+UPPER("Crema Balde x 5Lt 44% MILKAUT")</f>
        <v>CREMA BALDE X 5LT 44% MILKAUT</v>
      </c>
      <c r="E717" s="8">
        <v>5</v>
      </c>
      <c r="F717" s="1">
        <f>41938.7603/5</f>
        <v>8387.7520600000007</v>
      </c>
      <c r="H717">
        <v>1.21</v>
      </c>
      <c r="I717">
        <v>0.06</v>
      </c>
      <c r="J717" s="2">
        <f>+DATAIN_COMPRAS__2[[#This Row],[$/ UN NETO]]*DATAIN_COMPRAS__2[[#This Row],[IVA]]</f>
        <v>10149.1799926</v>
      </c>
      <c r="K717" s="7">
        <f t="shared" si="15"/>
        <v>47701.145965219999</v>
      </c>
      <c r="L717" t="s">
        <v>158</v>
      </c>
    </row>
    <row r="718" spans="1:12" x14ac:dyDescent="0.35">
      <c r="A718" s="13">
        <v>45822</v>
      </c>
      <c r="B718" t="s">
        <v>174</v>
      </c>
      <c r="C718" t="s">
        <v>844</v>
      </c>
      <c r="E718" s="8">
        <v>30</v>
      </c>
      <c r="F718" s="1">
        <f>8801.65/30</f>
        <v>293.38833333333332</v>
      </c>
      <c r="H718">
        <v>1.21</v>
      </c>
      <c r="J718" s="2">
        <f>+DATAIN_COMPRAS__2[[#This Row],[$/ UN NETO]]*DATAIN_COMPRAS__2[[#This Row],[IVA]]</f>
        <v>354.99988333333329</v>
      </c>
      <c r="K718" s="7">
        <f t="shared" si="15"/>
        <v>10649.996499999999</v>
      </c>
      <c r="L718" t="s">
        <v>158</v>
      </c>
    </row>
    <row r="719" spans="1:12" x14ac:dyDescent="0.35">
      <c r="A719" s="13">
        <v>45822</v>
      </c>
      <c r="B719" t="s">
        <v>174</v>
      </c>
      <c r="C719" t="s">
        <v>175</v>
      </c>
      <c r="E719" s="8">
        <v>6</v>
      </c>
      <c r="F719" s="1">
        <f>47719.83/6</f>
        <v>7953.3050000000003</v>
      </c>
      <c r="H719">
        <v>1.21</v>
      </c>
      <c r="J719" s="2">
        <f>+DATAIN_COMPRAS__2[[#This Row],[$/ UN NETO]]*DATAIN_COMPRAS__2[[#This Row],[IVA]]</f>
        <v>9623.4990500000004</v>
      </c>
      <c r="K719" s="7">
        <f t="shared" si="15"/>
        <v>57740.994299999998</v>
      </c>
      <c r="L719" t="s">
        <v>158</v>
      </c>
    </row>
    <row r="720" spans="1:12" x14ac:dyDescent="0.35">
      <c r="A720" s="13">
        <v>45822</v>
      </c>
      <c r="B720" t="s">
        <v>12</v>
      </c>
      <c r="C720" t="s">
        <v>26</v>
      </c>
      <c r="E720" s="8">
        <v>2</v>
      </c>
      <c r="F720" s="1">
        <f>1500/DATAIN_COMPRAS__2[[#This Row],[IVA]]</f>
        <v>1357.4660633484164</v>
      </c>
      <c r="H720">
        <v>1.105</v>
      </c>
      <c r="J720" s="2">
        <f>+DATAIN_COMPRAS__2[[#This Row],[$/ UN NETO]]*DATAIN_COMPRAS__2[[#This Row],[IVA]]</f>
        <v>1500</v>
      </c>
      <c r="K720" s="7">
        <f t="shared" si="15"/>
        <v>3000</v>
      </c>
      <c r="L720" t="s">
        <v>237</v>
      </c>
    </row>
    <row r="721" spans="1:12" x14ac:dyDescent="0.35">
      <c r="A721" s="13">
        <v>45822</v>
      </c>
      <c r="B721" t="s">
        <v>12</v>
      </c>
      <c r="C721" t="s">
        <v>316</v>
      </c>
      <c r="E721" s="8">
        <v>0.2</v>
      </c>
      <c r="F721" s="1">
        <f>3800/0.2/DATAIN_COMPRAS__2[[#This Row],[IVA]]</f>
        <v>17194.570135746606</v>
      </c>
      <c r="H721">
        <v>1.105</v>
      </c>
      <c r="J721" s="2">
        <f>+DATAIN_COMPRAS__2[[#This Row],[$/ UN NETO]]*DATAIN_COMPRAS__2[[#This Row],[IVA]]</f>
        <v>19000</v>
      </c>
      <c r="K721" s="7">
        <f t="shared" si="15"/>
        <v>3800.0000000000005</v>
      </c>
      <c r="L721" t="s">
        <v>158</v>
      </c>
    </row>
    <row r="722" spans="1:12" x14ac:dyDescent="0.35">
      <c r="A722" s="13">
        <v>45822</v>
      </c>
      <c r="B722" t="s">
        <v>12</v>
      </c>
      <c r="C722" t="s">
        <v>25</v>
      </c>
      <c r="E722" s="8">
        <v>0.5</v>
      </c>
      <c r="F722" s="1">
        <f>5300/DATAIN_COMPRAS__2[[#This Row],[IVA]]</f>
        <v>4796.3800904977379</v>
      </c>
      <c r="H722">
        <v>1.105</v>
      </c>
      <c r="J722" s="2">
        <f>+DATAIN_COMPRAS__2[[#This Row],[$/ UN NETO]]*DATAIN_COMPRAS__2[[#This Row],[IVA]]</f>
        <v>5300</v>
      </c>
      <c r="K722" s="7">
        <f t="shared" si="15"/>
        <v>2650</v>
      </c>
      <c r="L722" t="s">
        <v>237</v>
      </c>
    </row>
    <row r="723" spans="1:12" x14ac:dyDescent="0.35">
      <c r="A723" s="13">
        <v>45822</v>
      </c>
      <c r="B723" t="s">
        <v>12</v>
      </c>
      <c r="C723" t="s">
        <v>25</v>
      </c>
      <c r="E723" s="8">
        <v>0.5</v>
      </c>
      <c r="F723" s="1">
        <f>5300/DATAIN_COMPRAS__2[[#This Row],[IVA]]</f>
        <v>4796.3800904977379</v>
      </c>
      <c r="H723">
        <v>1.105</v>
      </c>
      <c r="J723" s="2">
        <f>+DATAIN_COMPRAS__2[[#This Row],[$/ UN NETO]]*DATAIN_COMPRAS__2[[#This Row],[IVA]]</f>
        <v>5300</v>
      </c>
      <c r="K723" s="7">
        <f t="shared" si="15"/>
        <v>2650</v>
      </c>
      <c r="L723" t="s">
        <v>158</v>
      </c>
    </row>
    <row r="724" spans="1:12" x14ac:dyDescent="0.35">
      <c r="A724" s="13">
        <v>45822</v>
      </c>
      <c r="B724" t="s">
        <v>12</v>
      </c>
      <c r="C724" t="s">
        <v>300</v>
      </c>
      <c r="E724" s="8">
        <v>1</v>
      </c>
      <c r="F724" s="1">
        <f>1800/DATAIN_COMPRAS__2[[#This Row],[IVA]]</f>
        <v>1628.9592760180997</v>
      </c>
      <c r="H724">
        <v>1.105</v>
      </c>
      <c r="J724" s="2">
        <f>+DATAIN_COMPRAS__2[[#This Row],[$/ UN NETO]]*DATAIN_COMPRAS__2[[#This Row],[IVA]]</f>
        <v>1800</v>
      </c>
      <c r="K724" s="7">
        <f t="shared" si="15"/>
        <v>1800</v>
      </c>
      <c r="L724" t="s">
        <v>158</v>
      </c>
    </row>
    <row r="725" spans="1:12" x14ac:dyDescent="0.35">
      <c r="A725" s="13">
        <v>45822</v>
      </c>
      <c r="B725" t="s">
        <v>12</v>
      </c>
      <c r="C725" t="s">
        <v>318</v>
      </c>
      <c r="E725" s="8">
        <v>0.5</v>
      </c>
      <c r="F725" s="1">
        <f>4300/DATAIN_COMPRAS__2[[#This Row],[IVA]]</f>
        <v>3891.4027149321269</v>
      </c>
      <c r="H725">
        <v>1.105</v>
      </c>
      <c r="J725" s="2">
        <f>+DATAIN_COMPRAS__2[[#This Row],[$/ UN NETO]]*DATAIN_COMPRAS__2[[#This Row],[IVA]]</f>
        <v>4300</v>
      </c>
      <c r="K725" s="7">
        <f t="shared" si="15"/>
        <v>2150</v>
      </c>
      <c r="L725" t="s">
        <v>237</v>
      </c>
    </row>
    <row r="726" spans="1:12" x14ac:dyDescent="0.35">
      <c r="A726" s="13">
        <v>45822</v>
      </c>
      <c r="B726" t="s">
        <v>12</v>
      </c>
      <c r="C726" t="s">
        <v>318</v>
      </c>
      <c r="E726" s="8">
        <v>0.62</v>
      </c>
      <c r="F726" s="1">
        <f>4300/DATAIN_COMPRAS__2[[#This Row],[IVA]]</f>
        <v>3891.4027149321269</v>
      </c>
      <c r="H726">
        <v>1.105</v>
      </c>
      <c r="J726" s="2">
        <f>+DATAIN_COMPRAS__2[[#This Row],[$/ UN NETO]]*DATAIN_COMPRAS__2[[#This Row],[IVA]]</f>
        <v>4300</v>
      </c>
      <c r="K726" s="7">
        <f t="shared" si="15"/>
        <v>2666</v>
      </c>
      <c r="L726" t="s">
        <v>158</v>
      </c>
    </row>
    <row r="727" spans="1:12" x14ac:dyDescent="0.35">
      <c r="A727" s="13">
        <v>45822</v>
      </c>
      <c r="B727" t="s">
        <v>319</v>
      </c>
      <c r="C727" t="s">
        <v>125</v>
      </c>
      <c r="E727" s="8">
        <v>5</v>
      </c>
      <c r="F727">
        <f>53000/1.21</f>
        <v>43801.652892561986</v>
      </c>
      <c r="H727">
        <v>1.21</v>
      </c>
      <c r="I727">
        <v>0.1</v>
      </c>
      <c r="J727" s="2">
        <f>+DATAIN_COMPRAS__2[[#This Row],[$/ UN NETO]]*DATAIN_COMPRAS__2[[#This Row],[IVA]]</f>
        <v>53000</v>
      </c>
      <c r="K727" s="7">
        <f t="shared" si="15"/>
        <v>238500</v>
      </c>
      <c r="L727" t="s">
        <v>237</v>
      </c>
    </row>
    <row r="728" spans="1:12" x14ac:dyDescent="0.35">
      <c r="A728" s="13">
        <v>45824</v>
      </c>
      <c r="B728" t="s">
        <v>48</v>
      </c>
      <c r="C728" t="s">
        <v>321</v>
      </c>
      <c r="E728" s="8">
        <v>1</v>
      </c>
      <c r="F728">
        <f>3569.9/DATAIN_COMPRAS__2[[#This Row],[IVA]]</f>
        <v>2950.3305785123966</v>
      </c>
      <c r="H728">
        <v>1.21</v>
      </c>
      <c r="J728" s="2">
        <f>+DATAIN_COMPRAS__2[[#This Row],[$/ UN NETO]]*DATAIN_COMPRAS__2[[#This Row],[IVA]]</f>
        <v>3569.8999999999996</v>
      </c>
      <c r="K728" s="7">
        <f t="shared" si="15"/>
        <v>3569.8999999999996</v>
      </c>
      <c r="L728" t="s">
        <v>255</v>
      </c>
    </row>
    <row r="729" spans="1:12" x14ac:dyDescent="0.35">
      <c r="A729" s="13">
        <v>45824</v>
      </c>
      <c r="B729" t="s">
        <v>48</v>
      </c>
      <c r="C729" s="14" t="s">
        <v>327</v>
      </c>
      <c r="E729" s="8">
        <v>1</v>
      </c>
      <c r="F729" s="1"/>
      <c r="J729" s="2"/>
      <c r="K729" s="7"/>
      <c r="L729" t="s">
        <v>255</v>
      </c>
    </row>
    <row r="730" spans="1:12" x14ac:dyDescent="0.35">
      <c r="A730" s="13">
        <v>45824</v>
      </c>
      <c r="B730" t="s">
        <v>80</v>
      </c>
      <c r="C730" t="s">
        <v>322</v>
      </c>
      <c r="E730" s="8">
        <v>1</v>
      </c>
      <c r="F730" s="1"/>
      <c r="J730" s="2"/>
      <c r="K730" s="7"/>
      <c r="L730" t="s">
        <v>255</v>
      </c>
    </row>
    <row r="731" spans="1:12" x14ac:dyDescent="0.35">
      <c r="A731" s="13">
        <v>45824</v>
      </c>
      <c r="B731" t="s">
        <v>80</v>
      </c>
      <c r="C731" t="s">
        <v>323</v>
      </c>
      <c r="E731" s="8">
        <v>1</v>
      </c>
      <c r="F731" s="1"/>
      <c r="J731" s="2"/>
      <c r="K731" s="7"/>
      <c r="L731" t="s">
        <v>255</v>
      </c>
    </row>
    <row r="732" spans="1:12" x14ac:dyDescent="0.35">
      <c r="A732" s="13">
        <v>45824</v>
      </c>
      <c r="B732" t="s">
        <v>110</v>
      </c>
      <c r="C732" t="s">
        <v>320</v>
      </c>
      <c r="E732" s="8">
        <v>1</v>
      </c>
      <c r="F732" s="1">
        <f>14271.2/DATAIN_COMPRAS__2[[#This Row],[IVA]]</f>
        <v>11794.380165289258</v>
      </c>
      <c r="H732">
        <v>1.21</v>
      </c>
      <c r="J732" s="2">
        <f>+DATAIN_COMPRAS__2[[#This Row],[$/ UN NETO]]*DATAIN_COMPRAS__2[[#This Row],[IVA]]</f>
        <v>14271.200000000003</v>
      </c>
      <c r="K732" s="7">
        <f>(E732*F732)*(1-I732)*(H732)</f>
        <v>14271.200000000003</v>
      </c>
      <c r="L732" t="s">
        <v>255</v>
      </c>
    </row>
    <row r="733" spans="1:12" x14ac:dyDescent="0.35">
      <c r="A733" s="13">
        <v>45824</v>
      </c>
      <c r="B733" t="s">
        <v>12</v>
      </c>
      <c r="C733" t="s">
        <v>19</v>
      </c>
      <c r="E733" s="8">
        <v>2.06</v>
      </c>
      <c r="F733" s="1">
        <f>6300/DATAIN_COMPRAS__2[[#This Row],[IVA]]</f>
        <v>5206.6115702479337</v>
      </c>
      <c r="H733">
        <v>1.21</v>
      </c>
      <c r="J733" s="2">
        <f>+DATAIN_COMPRAS__2[[#This Row],[$/ UN NETO]]*DATAIN_COMPRAS__2[[#This Row],[IVA]]</f>
        <v>6300</v>
      </c>
      <c r="K733" s="7">
        <f>(E733*F733)*(1-I733)*(H733)</f>
        <v>12978</v>
      </c>
      <c r="L733" t="s">
        <v>237</v>
      </c>
    </row>
    <row r="734" spans="1:12" x14ac:dyDescent="0.35">
      <c r="A734" s="13">
        <v>45824</v>
      </c>
      <c r="B734" t="s">
        <v>12</v>
      </c>
      <c r="C734" t="s">
        <v>18</v>
      </c>
      <c r="E734" s="8">
        <v>0.5</v>
      </c>
      <c r="F734" s="1">
        <f>3800/DATAIN_COMPRAS__2[[#This Row],[IVA]]</f>
        <v>3140.495867768595</v>
      </c>
      <c r="H734">
        <v>1.21</v>
      </c>
      <c r="J734" s="2">
        <f>+DATAIN_COMPRAS__2[[#This Row],[$/ UN NETO]]*DATAIN_COMPRAS__2[[#This Row],[IVA]]</f>
        <v>3800</v>
      </c>
      <c r="K734" s="7">
        <f>(E734*F734)*(1-I734)*(H734)</f>
        <v>1900</v>
      </c>
      <c r="L734" t="s">
        <v>237</v>
      </c>
    </row>
    <row r="735" spans="1:12" x14ac:dyDescent="0.35">
      <c r="A735" s="13">
        <v>45824</v>
      </c>
      <c r="B735" t="s">
        <v>324</v>
      </c>
      <c r="C735" s="14" t="s">
        <v>326</v>
      </c>
      <c r="E735" s="8">
        <v>1</v>
      </c>
      <c r="F735" s="1"/>
      <c r="J735" s="2"/>
      <c r="K735" s="7"/>
      <c r="L735" t="s">
        <v>255</v>
      </c>
    </row>
    <row r="736" spans="1:12" x14ac:dyDescent="0.35">
      <c r="A736" s="13">
        <v>45824</v>
      </c>
      <c r="B736" t="s">
        <v>324</v>
      </c>
      <c r="C736" s="14" t="s">
        <v>328</v>
      </c>
      <c r="E736" s="8">
        <v>1</v>
      </c>
      <c r="F736" s="1"/>
      <c r="J736" s="2"/>
      <c r="K736" s="7"/>
      <c r="L736" t="s">
        <v>255</v>
      </c>
    </row>
    <row r="737" spans="1:12" x14ac:dyDescent="0.35">
      <c r="A737" s="13">
        <v>45824</v>
      </c>
      <c r="B737" t="s">
        <v>324</v>
      </c>
      <c r="C737" s="14" t="s">
        <v>325</v>
      </c>
      <c r="E737" s="8">
        <v>1</v>
      </c>
      <c r="F737" s="1"/>
      <c r="J737" s="2"/>
      <c r="K737" s="7"/>
      <c r="L737" t="s">
        <v>255</v>
      </c>
    </row>
    <row r="738" spans="1:12" x14ac:dyDescent="0.35">
      <c r="A738" s="13">
        <v>45824</v>
      </c>
      <c r="B738" t="s">
        <v>199</v>
      </c>
      <c r="C738" s="14" t="s">
        <v>329</v>
      </c>
      <c r="E738" s="8">
        <v>1</v>
      </c>
      <c r="F738" s="1"/>
      <c r="J738" s="2"/>
      <c r="K738" s="7"/>
      <c r="L738" t="s">
        <v>255</v>
      </c>
    </row>
    <row r="739" spans="1:12" x14ac:dyDescent="0.35">
      <c r="A739" s="13">
        <v>45825</v>
      </c>
      <c r="B739" t="s">
        <v>185</v>
      </c>
      <c r="C739" t="s">
        <v>187</v>
      </c>
      <c r="E739" s="8">
        <v>100</v>
      </c>
      <c r="F739" s="1">
        <f>24486/25</f>
        <v>979.44</v>
      </c>
      <c r="H739">
        <v>1</v>
      </c>
      <c r="J739" s="2">
        <f>+DATAIN_COMPRAS__2[[#This Row],[$/ UN NETO]]*DATAIN_COMPRAS__2[[#This Row],[IVA]]</f>
        <v>979.44</v>
      </c>
      <c r="K739" s="7">
        <f t="shared" ref="K739:K802" si="16">(E739*F739)*(1-I739)*(H739)</f>
        <v>97944</v>
      </c>
      <c r="L739" t="s">
        <v>158</v>
      </c>
    </row>
    <row r="740" spans="1:12" x14ac:dyDescent="0.35">
      <c r="A740" s="13">
        <v>45825</v>
      </c>
      <c r="B740" t="s">
        <v>185</v>
      </c>
      <c r="C740" t="s">
        <v>186</v>
      </c>
      <c r="E740" s="8">
        <v>50</v>
      </c>
      <c r="F740" s="1">
        <f>25866/5</f>
        <v>5173.2</v>
      </c>
      <c r="H740">
        <v>1</v>
      </c>
      <c r="J740" s="2">
        <f>+DATAIN_COMPRAS__2[[#This Row],[$/ UN NETO]]*DATAIN_COMPRAS__2[[#This Row],[IVA]]</f>
        <v>5173.2</v>
      </c>
      <c r="K740" s="7">
        <f t="shared" si="16"/>
        <v>258660</v>
      </c>
      <c r="L740" t="s">
        <v>158</v>
      </c>
    </row>
    <row r="741" spans="1:12" x14ac:dyDescent="0.35">
      <c r="A741" s="13">
        <v>45825</v>
      </c>
      <c r="B741" t="s">
        <v>48</v>
      </c>
      <c r="C741" t="s">
        <v>66</v>
      </c>
      <c r="E741" s="8">
        <v>5</v>
      </c>
      <c r="F741" s="1">
        <f>22987.8478/5</f>
        <v>4597.5695599999999</v>
      </c>
      <c r="H741">
        <v>1.21</v>
      </c>
      <c r="I741">
        <v>0.06</v>
      </c>
      <c r="J741" s="2">
        <f>+DATAIN_COMPRAS__2[[#This Row],[$/ UN NETO]]*DATAIN_COMPRAS__2[[#This Row],[IVA]]</f>
        <v>5563.0591675999995</v>
      </c>
      <c r="K741" s="7">
        <f t="shared" si="16"/>
        <v>26146.378087720001</v>
      </c>
      <c r="L741" t="s">
        <v>158</v>
      </c>
    </row>
    <row r="742" spans="1:12" x14ac:dyDescent="0.35">
      <c r="A742" s="13">
        <v>45825</v>
      </c>
      <c r="B742" t="s">
        <v>48</v>
      </c>
      <c r="C742" t="s">
        <v>116</v>
      </c>
      <c r="E742" s="8">
        <v>10</v>
      </c>
      <c r="F742" s="1">
        <v>791.15710000000001</v>
      </c>
      <c r="H742">
        <v>1.21</v>
      </c>
      <c r="I742">
        <v>0.06</v>
      </c>
      <c r="J742" s="2">
        <f>+DATAIN_COMPRAS__2[[#This Row],[$/ UN NETO]]*DATAIN_COMPRAS__2[[#This Row],[IVA]]</f>
        <v>957.30009099999995</v>
      </c>
      <c r="K742" s="7">
        <f t="shared" si="16"/>
        <v>8998.6208553999986</v>
      </c>
      <c r="L742" t="s">
        <v>237</v>
      </c>
    </row>
    <row r="743" spans="1:12" x14ac:dyDescent="0.35">
      <c r="A743" s="13">
        <v>45825</v>
      </c>
      <c r="B743" t="s">
        <v>48</v>
      </c>
      <c r="C743" t="s">
        <v>61</v>
      </c>
      <c r="E743" s="8">
        <v>2</v>
      </c>
      <c r="F743" s="1">
        <v>910.75429999999994</v>
      </c>
      <c r="H743">
        <v>1.21</v>
      </c>
      <c r="I743">
        <v>0.06</v>
      </c>
      <c r="J743" s="2">
        <f>+DATAIN_COMPRAS__2[[#This Row],[$/ UN NETO]]*DATAIN_COMPRAS__2[[#This Row],[IVA]]</f>
        <v>1102.0127029999999</v>
      </c>
      <c r="K743" s="7">
        <f t="shared" si="16"/>
        <v>2071.7838816399999</v>
      </c>
      <c r="L743" t="s">
        <v>237</v>
      </c>
    </row>
    <row r="744" spans="1:12" x14ac:dyDescent="0.35">
      <c r="A744" s="13">
        <v>45825</v>
      </c>
      <c r="B744" t="s">
        <v>48</v>
      </c>
      <c r="C744" t="str">
        <f>+UPPER("Crema Balde x 5Lt 44% MILKAUT")</f>
        <v>CREMA BALDE X 5LT 44% MILKAUT</v>
      </c>
      <c r="E744" s="8">
        <v>5</v>
      </c>
      <c r="F744" s="1">
        <f>41938.7603/5</f>
        <v>8387.7520600000007</v>
      </c>
      <c r="H744">
        <v>1.21</v>
      </c>
      <c r="I744">
        <v>0.06</v>
      </c>
      <c r="J744" s="2">
        <f>+DATAIN_COMPRAS__2[[#This Row],[$/ UN NETO]]*DATAIN_COMPRAS__2[[#This Row],[IVA]]</f>
        <v>10149.1799926</v>
      </c>
      <c r="K744" s="7">
        <f t="shared" si="16"/>
        <v>47701.145965219999</v>
      </c>
      <c r="L744" t="s">
        <v>158</v>
      </c>
    </row>
    <row r="745" spans="1:12" x14ac:dyDescent="0.35">
      <c r="A745" s="13">
        <v>45825</v>
      </c>
      <c r="B745" t="s">
        <v>48</v>
      </c>
      <c r="C745" t="s">
        <v>55</v>
      </c>
      <c r="E745" s="8">
        <v>2</v>
      </c>
      <c r="F745" s="1">
        <v>885.94470000000001</v>
      </c>
      <c r="H745">
        <v>1.21</v>
      </c>
      <c r="I745">
        <v>0.06</v>
      </c>
      <c r="J745" s="2">
        <f>+DATAIN_COMPRAS__2[[#This Row],[$/ UN NETO]]*DATAIN_COMPRAS__2[[#This Row],[IVA]]</f>
        <v>1071.9930870000001</v>
      </c>
      <c r="K745" s="7">
        <f t="shared" si="16"/>
        <v>2015.3470035599998</v>
      </c>
      <c r="L745" t="s">
        <v>237</v>
      </c>
    </row>
    <row r="746" spans="1:12" x14ac:dyDescent="0.35">
      <c r="A746" s="13">
        <v>45825</v>
      </c>
      <c r="B746" t="s">
        <v>48</v>
      </c>
      <c r="C746" t="s">
        <v>73</v>
      </c>
      <c r="E746" s="8">
        <v>3.2</v>
      </c>
      <c r="F746" s="1">
        <v>14723.029699999999</v>
      </c>
      <c r="H746">
        <v>1.21</v>
      </c>
      <c r="I746">
        <v>0.06</v>
      </c>
      <c r="J746" s="2">
        <f>+DATAIN_COMPRAS__2[[#This Row],[$/ UN NETO]]*DATAIN_COMPRAS__2[[#This Row],[IVA]]</f>
        <v>17814.865936999999</v>
      </c>
      <c r="K746" s="7">
        <f t="shared" si="16"/>
        <v>53587.116738495992</v>
      </c>
      <c r="L746" t="s">
        <v>237</v>
      </c>
    </row>
    <row r="747" spans="1:12" x14ac:dyDescent="0.35">
      <c r="A747" s="13">
        <v>45825</v>
      </c>
      <c r="B747" t="s">
        <v>48</v>
      </c>
      <c r="C747" t="s">
        <v>321</v>
      </c>
      <c r="E747" s="8">
        <v>1</v>
      </c>
      <c r="F747">
        <v>3154.3355999999999</v>
      </c>
      <c r="H747">
        <v>1.21</v>
      </c>
      <c r="I747">
        <v>0.06</v>
      </c>
      <c r="J747" s="2">
        <f>+DATAIN_COMPRAS__2[[#This Row],[$/ UN NETO]]*DATAIN_COMPRAS__2[[#This Row],[IVA]]</f>
        <v>3816.7460759999999</v>
      </c>
      <c r="K747" s="7">
        <f t="shared" si="16"/>
        <v>3587.7413114399992</v>
      </c>
      <c r="L747" t="s">
        <v>158</v>
      </c>
    </row>
    <row r="748" spans="1:12" x14ac:dyDescent="0.35">
      <c r="A748" s="13">
        <v>45825</v>
      </c>
      <c r="B748" t="s">
        <v>48</v>
      </c>
      <c r="C748" t="s">
        <v>250</v>
      </c>
      <c r="E748" s="8">
        <v>2</v>
      </c>
      <c r="F748" s="1">
        <v>1039.5</v>
      </c>
      <c r="H748">
        <v>1.21</v>
      </c>
      <c r="J748" s="2">
        <f>+DATAIN_COMPRAS__2[[#This Row],[$/ UN NETO]]*DATAIN_COMPRAS__2[[#This Row],[IVA]]</f>
        <v>1257.7950000000001</v>
      </c>
      <c r="K748" s="7">
        <f t="shared" si="16"/>
        <v>2515.59</v>
      </c>
      <c r="L748" t="s">
        <v>237</v>
      </c>
    </row>
    <row r="749" spans="1:12" x14ac:dyDescent="0.35">
      <c r="A749" s="13">
        <v>45825</v>
      </c>
      <c r="B749" t="s">
        <v>48</v>
      </c>
      <c r="C749" t="s">
        <v>248</v>
      </c>
      <c r="E749" s="8">
        <v>2</v>
      </c>
      <c r="F749" s="1">
        <v>780.12</v>
      </c>
      <c r="H749">
        <v>1.21</v>
      </c>
      <c r="J749" s="2">
        <f>+DATAIN_COMPRAS__2[[#This Row],[$/ UN NETO]]*DATAIN_COMPRAS__2[[#This Row],[IVA]]</f>
        <v>943.9452</v>
      </c>
      <c r="K749" s="7">
        <f t="shared" si="16"/>
        <v>1887.8904</v>
      </c>
      <c r="L749" t="s">
        <v>237</v>
      </c>
    </row>
    <row r="750" spans="1:12" x14ac:dyDescent="0.35">
      <c r="A750" s="13">
        <v>45825</v>
      </c>
      <c r="B750" t="s">
        <v>48</v>
      </c>
      <c r="C750" t="s">
        <v>54</v>
      </c>
      <c r="E750" s="8">
        <v>2</v>
      </c>
      <c r="F750" s="1">
        <v>793.46929999999998</v>
      </c>
      <c r="H750">
        <v>1.21</v>
      </c>
      <c r="I750">
        <v>0.06</v>
      </c>
      <c r="J750" s="2">
        <f>+DATAIN_COMPRAS__2[[#This Row],[$/ UN NETO]]*DATAIN_COMPRAS__2[[#This Row],[IVA]]</f>
        <v>960.09785299999999</v>
      </c>
      <c r="K750" s="7">
        <f t="shared" si="16"/>
        <v>1804.98396364</v>
      </c>
      <c r="L750" t="s">
        <v>237</v>
      </c>
    </row>
    <row r="751" spans="1:12" x14ac:dyDescent="0.35">
      <c r="A751" s="13">
        <v>45825</v>
      </c>
      <c r="B751" t="s">
        <v>71</v>
      </c>
      <c r="C751" t="s">
        <v>224</v>
      </c>
      <c r="E751" s="8">
        <v>2</v>
      </c>
      <c r="F751" s="1">
        <f>4622/DATAIN_COMPRAS__2[[#This Row],[IVA]]</f>
        <v>3819.8347107438017</v>
      </c>
      <c r="H751">
        <v>1.21</v>
      </c>
      <c r="J751" s="2">
        <f>+DATAIN_COMPRAS__2[[#This Row],[$/ UN NETO]]*DATAIN_COMPRAS__2[[#This Row],[IVA]]</f>
        <v>4622</v>
      </c>
      <c r="K751" s="7">
        <f t="shared" si="16"/>
        <v>9244</v>
      </c>
      <c r="L751" t="s">
        <v>237</v>
      </c>
    </row>
    <row r="752" spans="1:12" x14ac:dyDescent="0.35">
      <c r="A752" s="13">
        <v>45825</v>
      </c>
      <c r="B752" t="s">
        <v>71</v>
      </c>
      <c r="C752" t="s">
        <v>72</v>
      </c>
      <c r="E752" s="8">
        <v>2</v>
      </c>
      <c r="F752" s="1">
        <f>7298/DATAIN_COMPRAS__2[[#This Row],[IVA]]</f>
        <v>6031.4049586776864</v>
      </c>
      <c r="H752">
        <v>1.21</v>
      </c>
      <c r="J752" s="2">
        <f>+DATAIN_COMPRAS__2[[#This Row],[$/ UN NETO]]*DATAIN_COMPRAS__2[[#This Row],[IVA]]</f>
        <v>7298</v>
      </c>
      <c r="K752" s="7">
        <f t="shared" si="16"/>
        <v>14596</v>
      </c>
      <c r="L752" t="s">
        <v>237</v>
      </c>
    </row>
    <row r="753" spans="1:12" x14ac:dyDescent="0.35">
      <c r="A753" s="13">
        <v>45825</v>
      </c>
      <c r="B753" t="s">
        <v>12</v>
      </c>
      <c r="C753" t="s">
        <v>19</v>
      </c>
      <c r="E753" s="8">
        <v>2.0499999999999998</v>
      </c>
      <c r="F753" s="1">
        <f>6300/DATAIN_COMPRAS__2[[#This Row],[IVA]]</f>
        <v>5701.3574660633485</v>
      </c>
      <c r="H753">
        <v>1.105</v>
      </c>
      <c r="J753" s="2">
        <f>+DATAIN_COMPRAS__2[[#This Row],[$/ UN NETO]]*DATAIN_COMPRAS__2[[#This Row],[IVA]]</f>
        <v>6300</v>
      </c>
      <c r="K753" s="7">
        <f t="shared" si="16"/>
        <v>12915</v>
      </c>
      <c r="L753" t="s">
        <v>237</v>
      </c>
    </row>
    <row r="754" spans="1:12" x14ac:dyDescent="0.35">
      <c r="A754" s="13">
        <v>45825</v>
      </c>
      <c r="B754" t="s">
        <v>179</v>
      </c>
      <c r="C754" t="s">
        <v>163</v>
      </c>
      <c r="E754" s="8">
        <v>1</v>
      </c>
      <c r="F754" s="1">
        <f>(16055.11/10)/1.21</f>
        <v>1326.8685950413224</v>
      </c>
      <c r="H754">
        <v>1.21</v>
      </c>
      <c r="J754" s="2">
        <f>+DATAIN_COMPRAS__2[[#This Row],[$/ UN NETO]]*DATAIN_COMPRAS__2[[#This Row],[IVA]]</f>
        <v>1605.511</v>
      </c>
      <c r="K754" s="7">
        <f t="shared" si="16"/>
        <v>1605.511</v>
      </c>
      <c r="L754" t="s">
        <v>255</v>
      </c>
    </row>
    <row r="755" spans="1:12" x14ac:dyDescent="0.35">
      <c r="A755" s="13">
        <v>45825</v>
      </c>
      <c r="B755" t="s">
        <v>179</v>
      </c>
      <c r="C755" t="s">
        <v>320</v>
      </c>
      <c r="E755" s="8">
        <v>1</v>
      </c>
      <c r="F755" s="1">
        <f>16552.11/1.21</f>
        <v>13679.429752066117</v>
      </c>
      <c r="H755">
        <v>1.21</v>
      </c>
      <c r="J755" s="2">
        <f>+DATAIN_COMPRAS__2[[#This Row],[$/ UN NETO]]*DATAIN_COMPRAS__2[[#This Row],[IVA]]</f>
        <v>16552.11</v>
      </c>
      <c r="K755" s="7">
        <f t="shared" si="16"/>
        <v>16552.11</v>
      </c>
      <c r="L755" t="s">
        <v>255</v>
      </c>
    </row>
    <row r="756" spans="1:12" x14ac:dyDescent="0.35">
      <c r="A756" s="13">
        <v>45825</v>
      </c>
      <c r="B756" t="s">
        <v>179</v>
      </c>
      <c r="C756" t="s">
        <v>166</v>
      </c>
      <c r="E756" s="8">
        <v>1</v>
      </c>
      <c r="F756" s="1">
        <f>(10301.13/25)/1.21</f>
        <v>340.53322314049586</v>
      </c>
      <c r="H756">
        <v>1.21</v>
      </c>
      <c r="J756" s="2">
        <f>+DATAIN_COMPRAS__2[[#This Row],[$/ UN NETO]]*DATAIN_COMPRAS__2[[#This Row],[IVA]]</f>
        <v>412.04519999999997</v>
      </c>
      <c r="K756" s="7">
        <f t="shared" si="16"/>
        <v>412.04519999999997</v>
      </c>
      <c r="L756" t="s">
        <v>255</v>
      </c>
    </row>
    <row r="757" spans="1:12" x14ac:dyDescent="0.35">
      <c r="A757" s="13">
        <v>45825</v>
      </c>
      <c r="B757" t="s">
        <v>75</v>
      </c>
      <c r="C757" t="s">
        <v>76</v>
      </c>
      <c r="E757" s="8">
        <v>96</v>
      </c>
      <c r="F757" s="1">
        <v>1101.4100000000001</v>
      </c>
      <c r="H757">
        <v>1.21</v>
      </c>
      <c r="J757" s="2">
        <f>+DATAIN_COMPRAS__2[[#This Row],[$/ UN NETO]]*DATAIN_COMPRAS__2[[#This Row],[IVA]]</f>
        <v>1332.7061000000001</v>
      </c>
      <c r="K757" s="7">
        <f t="shared" si="16"/>
        <v>127939.78560000002</v>
      </c>
      <c r="L757" t="s">
        <v>237</v>
      </c>
    </row>
    <row r="758" spans="1:12" x14ac:dyDescent="0.35">
      <c r="A758" s="13">
        <v>45826</v>
      </c>
      <c r="B758" t="s">
        <v>309</v>
      </c>
      <c r="C758" t="s">
        <v>316</v>
      </c>
      <c r="E758" s="8">
        <v>1</v>
      </c>
      <c r="F758" s="1">
        <v>11000</v>
      </c>
      <c r="H758">
        <v>1</v>
      </c>
      <c r="J758" s="2">
        <f>+DATAIN_COMPRAS__2[[#This Row],[$/ UN NETO]]*DATAIN_COMPRAS__2[[#This Row],[IVA]]</f>
        <v>11000</v>
      </c>
      <c r="K758" s="7">
        <f t="shared" si="16"/>
        <v>11000</v>
      </c>
      <c r="L758" t="s">
        <v>237</v>
      </c>
    </row>
    <row r="759" spans="1:12" x14ac:dyDescent="0.35">
      <c r="A759" s="13">
        <v>45826</v>
      </c>
      <c r="B759" t="s">
        <v>309</v>
      </c>
      <c r="C759" t="s">
        <v>316</v>
      </c>
      <c r="E759" s="8">
        <v>1</v>
      </c>
      <c r="F759" s="1">
        <v>11000</v>
      </c>
      <c r="H759">
        <v>1</v>
      </c>
      <c r="J759" s="2">
        <f>+DATAIN_COMPRAS__2[[#This Row],[$/ UN NETO]]*DATAIN_COMPRAS__2[[#This Row],[IVA]]</f>
        <v>11000</v>
      </c>
      <c r="K759" s="7">
        <f t="shared" si="16"/>
        <v>11000</v>
      </c>
      <c r="L759" t="s">
        <v>237</v>
      </c>
    </row>
    <row r="760" spans="1:12" x14ac:dyDescent="0.35">
      <c r="A760" s="13">
        <v>45826</v>
      </c>
      <c r="B760" t="s">
        <v>309</v>
      </c>
      <c r="C760" t="s">
        <v>331</v>
      </c>
      <c r="E760" s="8">
        <v>7</v>
      </c>
      <c r="F760" s="1">
        <v>714.28571428571433</v>
      </c>
      <c r="H760">
        <v>1</v>
      </c>
      <c r="J760" s="2">
        <f>+DATAIN_COMPRAS__2[[#This Row],[$/ UN NETO]]*DATAIN_COMPRAS__2[[#This Row],[IVA]]</f>
        <v>714.28571428571433</v>
      </c>
      <c r="K760" s="7">
        <f t="shared" si="16"/>
        <v>5000</v>
      </c>
      <c r="L760" t="s">
        <v>237</v>
      </c>
    </row>
    <row r="761" spans="1:12" x14ac:dyDescent="0.35">
      <c r="A761" s="13">
        <v>45826</v>
      </c>
      <c r="B761" t="s">
        <v>309</v>
      </c>
      <c r="C761" t="s">
        <v>331</v>
      </c>
      <c r="E761" s="8">
        <v>7</v>
      </c>
      <c r="F761" s="1">
        <v>714.28571428571433</v>
      </c>
      <c r="H761">
        <v>1</v>
      </c>
      <c r="J761" s="2">
        <f>+DATAIN_COMPRAS__2[[#This Row],[$/ UN NETO]]*DATAIN_COMPRAS__2[[#This Row],[IVA]]</f>
        <v>714.28571428571433</v>
      </c>
      <c r="K761" s="7">
        <f t="shared" si="16"/>
        <v>5000</v>
      </c>
      <c r="L761" t="s">
        <v>158</v>
      </c>
    </row>
    <row r="762" spans="1:12" x14ac:dyDescent="0.35">
      <c r="A762" s="13">
        <v>45826</v>
      </c>
      <c r="B762" t="s">
        <v>309</v>
      </c>
      <c r="C762" t="s">
        <v>332</v>
      </c>
      <c r="E762" s="8">
        <v>28</v>
      </c>
      <c r="F762" s="1">
        <v>928.57142857142856</v>
      </c>
      <c r="H762">
        <v>1</v>
      </c>
      <c r="J762" s="2">
        <f>+DATAIN_COMPRAS__2[[#This Row],[$/ UN NETO]]*DATAIN_COMPRAS__2[[#This Row],[IVA]]</f>
        <v>928.57142857142856</v>
      </c>
      <c r="K762" s="7">
        <f t="shared" si="16"/>
        <v>26000</v>
      </c>
      <c r="L762" t="s">
        <v>237</v>
      </c>
    </row>
    <row r="763" spans="1:12" x14ac:dyDescent="0.35">
      <c r="A763" s="13">
        <v>45826</v>
      </c>
      <c r="B763" t="s">
        <v>309</v>
      </c>
      <c r="C763" t="s">
        <v>18</v>
      </c>
      <c r="E763" s="8">
        <v>5</v>
      </c>
      <c r="F763" s="1">
        <v>2400</v>
      </c>
      <c r="H763">
        <v>1</v>
      </c>
      <c r="J763" s="2">
        <f>+DATAIN_COMPRAS__2[[#This Row],[$/ UN NETO]]*DATAIN_COMPRAS__2[[#This Row],[IVA]]</f>
        <v>2400</v>
      </c>
      <c r="K763" s="7">
        <f t="shared" si="16"/>
        <v>12000</v>
      </c>
      <c r="L763" t="s">
        <v>237</v>
      </c>
    </row>
    <row r="764" spans="1:12" x14ac:dyDescent="0.35">
      <c r="A764" s="13">
        <v>45826</v>
      </c>
      <c r="B764" t="s">
        <v>80</v>
      </c>
      <c r="C764" t="s">
        <v>87</v>
      </c>
      <c r="E764" s="8">
        <v>1</v>
      </c>
      <c r="F764" s="1">
        <v>4958.68</v>
      </c>
      <c r="H764">
        <v>1.21</v>
      </c>
      <c r="J764" s="2">
        <f>+DATAIN_COMPRAS__2[[#This Row],[$/ UN NETO]]*DATAIN_COMPRAS__2[[#This Row],[IVA]]</f>
        <v>6000.0028000000002</v>
      </c>
      <c r="K764" s="7">
        <f t="shared" si="16"/>
        <v>6000.0028000000002</v>
      </c>
      <c r="L764" t="s">
        <v>158</v>
      </c>
    </row>
    <row r="765" spans="1:12" x14ac:dyDescent="0.35">
      <c r="A765" s="13">
        <v>45826</v>
      </c>
      <c r="B765" t="s">
        <v>80</v>
      </c>
      <c r="C765" t="s">
        <v>330</v>
      </c>
      <c r="E765" s="8">
        <v>10</v>
      </c>
      <c r="F765" s="1">
        <f>1000/DATAIN_COMPRAS__2[[#This Row],[IVA]]</f>
        <v>826.44628099173553</v>
      </c>
      <c r="H765">
        <v>1.21</v>
      </c>
      <c r="J765" s="2">
        <f>+DATAIN_COMPRAS__2[[#This Row],[$/ UN NETO]]*DATAIN_COMPRAS__2[[#This Row],[IVA]]</f>
        <v>1000</v>
      </c>
      <c r="K765" s="7">
        <f t="shared" si="16"/>
        <v>10000</v>
      </c>
      <c r="L765" t="s">
        <v>237</v>
      </c>
    </row>
    <row r="766" spans="1:12" x14ac:dyDescent="0.35">
      <c r="A766" s="13">
        <v>45826</v>
      </c>
      <c r="B766" t="s">
        <v>80</v>
      </c>
      <c r="C766" t="s">
        <v>271</v>
      </c>
      <c r="E766" s="8">
        <v>5</v>
      </c>
      <c r="F766" s="1">
        <v>4462.8100000000004</v>
      </c>
      <c r="H766">
        <v>1.21</v>
      </c>
      <c r="J766" s="2">
        <f>+DATAIN_COMPRAS__2[[#This Row],[$/ UN NETO]]*DATAIN_COMPRAS__2[[#This Row],[IVA]]</f>
        <v>5400.0001000000002</v>
      </c>
      <c r="K766" s="7">
        <f t="shared" si="16"/>
        <v>27000.000500000002</v>
      </c>
      <c r="L766" t="s">
        <v>158</v>
      </c>
    </row>
    <row r="767" spans="1:12" x14ac:dyDescent="0.35">
      <c r="A767" s="13">
        <v>45826</v>
      </c>
      <c r="B767" t="s">
        <v>80</v>
      </c>
      <c r="C767" t="s">
        <v>271</v>
      </c>
      <c r="E767" s="8">
        <v>5</v>
      </c>
      <c r="F767" s="1">
        <f>1080/DATAIN_COMPRAS__2[[#This Row],[IVA]]</f>
        <v>892.56198347107443</v>
      </c>
      <c r="H767">
        <v>1.21</v>
      </c>
      <c r="J767" s="2">
        <f>+DATAIN_COMPRAS__2[[#This Row],[$/ UN NETO]]*DATAIN_COMPRAS__2[[#This Row],[IVA]]</f>
        <v>1080</v>
      </c>
      <c r="K767" s="7">
        <f t="shared" si="16"/>
        <v>5400</v>
      </c>
      <c r="L767" t="s">
        <v>237</v>
      </c>
    </row>
    <row r="768" spans="1:12" x14ac:dyDescent="0.35">
      <c r="A768" s="13">
        <v>45826</v>
      </c>
      <c r="B768" t="s">
        <v>80</v>
      </c>
      <c r="C768" t="s">
        <v>306</v>
      </c>
      <c r="E768" s="8">
        <v>24</v>
      </c>
      <c r="F768" s="1">
        <f>497.35/DATAIN_COMPRAS__2[[#This Row],[IVA]]</f>
        <v>411.03305785123968</v>
      </c>
      <c r="H768">
        <v>1.21</v>
      </c>
      <c r="J768" s="2">
        <f>+DATAIN_COMPRAS__2[[#This Row],[$/ UN NETO]]*DATAIN_COMPRAS__2[[#This Row],[IVA]]</f>
        <v>497.34999999999997</v>
      </c>
      <c r="K768" s="7">
        <f t="shared" si="16"/>
        <v>11936.4</v>
      </c>
      <c r="L768" t="s">
        <v>237</v>
      </c>
    </row>
    <row r="769" spans="1:12" x14ac:dyDescent="0.35">
      <c r="A769" s="13">
        <v>45826</v>
      </c>
      <c r="B769" t="s">
        <v>80</v>
      </c>
      <c r="C769" t="s">
        <v>216</v>
      </c>
      <c r="E769" s="8">
        <v>2</v>
      </c>
      <c r="F769" s="1">
        <v>6494.01</v>
      </c>
      <c r="H769">
        <v>1.21</v>
      </c>
      <c r="J769" s="2">
        <f>+DATAIN_COMPRAS__2[[#This Row],[$/ UN NETO]]*DATAIN_COMPRAS__2[[#This Row],[IVA]]</f>
        <v>7857.7520999999997</v>
      </c>
      <c r="K769" s="7">
        <f t="shared" si="16"/>
        <v>15715.504199999999</v>
      </c>
      <c r="L769" t="s">
        <v>158</v>
      </c>
    </row>
    <row r="770" spans="1:12" x14ac:dyDescent="0.35">
      <c r="A770" s="13">
        <v>45826</v>
      </c>
      <c r="B770" t="s">
        <v>80</v>
      </c>
      <c r="C770" t="s">
        <v>216</v>
      </c>
      <c r="E770" s="8">
        <v>2</v>
      </c>
      <c r="F770" s="1">
        <f>7857.75/DATAIN_COMPRAS__2[[#This Row],[IVA]]</f>
        <v>6494.0082644628101</v>
      </c>
      <c r="H770">
        <v>1.21</v>
      </c>
      <c r="J770" s="2">
        <f>+DATAIN_COMPRAS__2[[#This Row],[$/ UN NETO]]*DATAIN_COMPRAS__2[[#This Row],[IVA]]</f>
        <v>7857.75</v>
      </c>
      <c r="K770" s="7">
        <f t="shared" si="16"/>
        <v>15715.5</v>
      </c>
      <c r="L770" t="s">
        <v>237</v>
      </c>
    </row>
    <row r="771" spans="1:12" x14ac:dyDescent="0.35">
      <c r="A771" s="13">
        <v>45826</v>
      </c>
      <c r="B771" t="s">
        <v>80</v>
      </c>
      <c r="C771" t="s">
        <v>221</v>
      </c>
      <c r="E771" s="8">
        <v>8</v>
      </c>
      <c r="F771" s="1">
        <v>929.75</v>
      </c>
      <c r="H771">
        <v>1.21</v>
      </c>
      <c r="J771" s="2">
        <f>+DATAIN_COMPRAS__2[[#This Row],[$/ UN NETO]]*DATAIN_COMPRAS__2[[#This Row],[IVA]]</f>
        <v>1124.9974999999999</v>
      </c>
      <c r="K771" s="7">
        <f t="shared" si="16"/>
        <v>8999.98</v>
      </c>
      <c r="L771" t="s">
        <v>158</v>
      </c>
    </row>
    <row r="772" spans="1:12" x14ac:dyDescent="0.35">
      <c r="A772" s="13">
        <v>45826</v>
      </c>
      <c r="B772" t="s">
        <v>80</v>
      </c>
      <c r="C772" t="s">
        <v>221</v>
      </c>
      <c r="E772" s="8">
        <v>16</v>
      </c>
      <c r="F772" s="1">
        <f>1125/DATAIN_COMPRAS__2[[#This Row],[IVA]]</f>
        <v>929.75206611570252</v>
      </c>
      <c r="H772">
        <v>1.21</v>
      </c>
      <c r="J772" s="2">
        <f>+DATAIN_COMPRAS__2[[#This Row],[$/ UN NETO]]*DATAIN_COMPRAS__2[[#This Row],[IVA]]</f>
        <v>1125</v>
      </c>
      <c r="K772" s="7">
        <f t="shared" si="16"/>
        <v>18000</v>
      </c>
      <c r="L772" t="s">
        <v>237</v>
      </c>
    </row>
    <row r="773" spans="1:12" x14ac:dyDescent="0.35">
      <c r="A773" s="13">
        <v>45826</v>
      </c>
      <c r="B773" t="s">
        <v>80</v>
      </c>
      <c r="C773" t="s">
        <v>845</v>
      </c>
      <c r="E773" s="8">
        <v>10</v>
      </c>
      <c r="F773" s="1">
        <f>230/DATAIN_COMPRAS__2[[#This Row],[IVA]]</f>
        <v>190.08264462809919</v>
      </c>
      <c r="H773">
        <v>1.21</v>
      </c>
      <c r="J773" s="2">
        <f>+DATAIN_COMPRAS__2[[#This Row],[$/ UN NETO]]*DATAIN_COMPRAS__2[[#This Row],[IVA]]</f>
        <v>230</v>
      </c>
      <c r="K773" s="7">
        <f t="shared" si="16"/>
        <v>2300</v>
      </c>
      <c r="L773" t="s">
        <v>237</v>
      </c>
    </row>
    <row r="774" spans="1:12" x14ac:dyDescent="0.35">
      <c r="A774" s="13">
        <v>45826</v>
      </c>
      <c r="B774" t="s">
        <v>80</v>
      </c>
      <c r="C774" t="s">
        <v>307</v>
      </c>
      <c r="E774" s="8">
        <v>24</v>
      </c>
      <c r="F774" s="1">
        <f>30/DATAIN_COMPRAS__2[[#This Row],[IVA]]</f>
        <v>24.793388429752067</v>
      </c>
      <c r="H774">
        <v>1.21</v>
      </c>
      <c r="J774" s="2">
        <f>+DATAIN_COMPRAS__2[[#This Row],[$/ UN NETO]]*DATAIN_COMPRAS__2[[#This Row],[IVA]]</f>
        <v>30</v>
      </c>
      <c r="K774" s="7">
        <f t="shared" si="16"/>
        <v>720</v>
      </c>
      <c r="L774" t="s">
        <v>237</v>
      </c>
    </row>
    <row r="775" spans="1:12" x14ac:dyDescent="0.35">
      <c r="A775" s="13">
        <v>45826</v>
      </c>
      <c r="B775" t="s">
        <v>110</v>
      </c>
      <c r="C775" t="s">
        <v>111</v>
      </c>
      <c r="E775" s="8">
        <v>1</v>
      </c>
      <c r="F775" s="1">
        <v>1840.91</v>
      </c>
      <c r="H775">
        <v>1.21</v>
      </c>
      <c r="J775" s="2">
        <f>+DATAIN_COMPRAS__2[[#This Row],[$/ UN NETO]]*DATAIN_COMPRAS__2[[#This Row],[IVA]]</f>
        <v>2227.5011</v>
      </c>
      <c r="K775" s="7">
        <f t="shared" si="16"/>
        <v>2227.5011</v>
      </c>
      <c r="L775" t="s">
        <v>158</v>
      </c>
    </row>
    <row r="776" spans="1:12" x14ac:dyDescent="0.35">
      <c r="A776" s="13">
        <v>45826</v>
      </c>
      <c r="B776" t="s">
        <v>110</v>
      </c>
      <c r="C776" t="s">
        <v>111</v>
      </c>
      <c r="E776" s="8">
        <v>5</v>
      </c>
      <c r="F776" s="1">
        <v>1840.91</v>
      </c>
      <c r="H776">
        <v>1.21</v>
      </c>
      <c r="J776" s="2">
        <f>+DATAIN_COMPRAS__2[[#This Row],[$/ UN NETO]]*DATAIN_COMPRAS__2[[#This Row],[IVA]]</f>
        <v>2227.5011</v>
      </c>
      <c r="K776" s="7">
        <f t="shared" si="16"/>
        <v>11137.505500000001</v>
      </c>
      <c r="L776" t="s">
        <v>237</v>
      </c>
    </row>
    <row r="777" spans="1:12" x14ac:dyDescent="0.35">
      <c r="A777" s="13">
        <v>45826</v>
      </c>
      <c r="B777" t="s">
        <v>12</v>
      </c>
      <c r="C777" t="s">
        <v>41</v>
      </c>
      <c r="E777" s="8">
        <v>2</v>
      </c>
      <c r="F777" s="1">
        <f>2300/DATAIN_COMPRAS__2[[#This Row],[IVA]]</f>
        <v>2081.4479638009052</v>
      </c>
      <c r="H777">
        <v>1.105</v>
      </c>
      <c r="J777" s="2">
        <f>+DATAIN_COMPRAS__2[[#This Row],[$/ UN NETO]]*DATAIN_COMPRAS__2[[#This Row],[IVA]]</f>
        <v>2300</v>
      </c>
      <c r="K777" s="7">
        <f t="shared" si="16"/>
        <v>4600</v>
      </c>
      <c r="L777" t="s">
        <v>237</v>
      </c>
    </row>
    <row r="778" spans="1:12" x14ac:dyDescent="0.35">
      <c r="A778" s="13">
        <v>45826</v>
      </c>
      <c r="B778" t="s">
        <v>12</v>
      </c>
      <c r="C778" t="s">
        <v>19</v>
      </c>
      <c r="E778" s="8">
        <v>0.5</v>
      </c>
      <c r="F778" s="1">
        <f>52000/DATAIN_COMPRAS__2[[#This Row],[IVA]]</f>
        <v>47058.823529411762</v>
      </c>
      <c r="H778">
        <v>1.105</v>
      </c>
      <c r="J778" s="2">
        <f>+DATAIN_COMPRAS__2[[#This Row],[$/ UN NETO]]*DATAIN_COMPRAS__2[[#This Row],[IVA]]</f>
        <v>51999.999999999993</v>
      </c>
      <c r="K778" s="7">
        <f t="shared" si="16"/>
        <v>25999.999999999996</v>
      </c>
      <c r="L778" t="s">
        <v>237</v>
      </c>
    </row>
    <row r="779" spans="1:12" x14ac:dyDescent="0.35">
      <c r="A779" s="13">
        <v>45826</v>
      </c>
      <c r="B779" t="s">
        <v>12</v>
      </c>
      <c r="C779" t="s">
        <v>241</v>
      </c>
      <c r="E779" s="8">
        <v>1</v>
      </c>
      <c r="F779" s="1">
        <f>3300/DATAIN_COMPRAS__2[[#This Row],[IVA]]</f>
        <v>2986.4253393665158</v>
      </c>
      <c r="H779">
        <v>1.105</v>
      </c>
      <c r="J779" s="2">
        <f>+DATAIN_COMPRAS__2[[#This Row],[$/ UN NETO]]*DATAIN_COMPRAS__2[[#This Row],[IVA]]</f>
        <v>3300</v>
      </c>
      <c r="K779" s="7">
        <f t="shared" si="16"/>
        <v>3300</v>
      </c>
      <c r="L779" t="s">
        <v>237</v>
      </c>
    </row>
    <row r="780" spans="1:12" x14ac:dyDescent="0.35">
      <c r="A780" s="13">
        <v>45826</v>
      </c>
      <c r="B780" t="s">
        <v>12</v>
      </c>
      <c r="C780" t="s">
        <v>22</v>
      </c>
      <c r="E780" s="8">
        <v>1</v>
      </c>
      <c r="F780">
        <f>2100/DATAIN_COMPRAS__2[[#This Row],[IVA]]</f>
        <v>1900.4524886877828</v>
      </c>
      <c r="H780">
        <v>1.105</v>
      </c>
      <c r="J780" s="2">
        <f>+DATAIN_COMPRAS__2[[#This Row],[$/ UN NETO]]*DATAIN_COMPRAS__2[[#This Row],[IVA]]</f>
        <v>2100</v>
      </c>
      <c r="K780" s="7">
        <f t="shared" si="16"/>
        <v>2100</v>
      </c>
      <c r="L780" t="s">
        <v>237</v>
      </c>
    </row>
    <row r="781" spans="1:12" x14ac:dyDescent="0.35">
      <c r="A781" s="13">
        <v>45827</v>
      </c>
      <c r="B781" t="s">
        <v>256</v>
      </c>
      <c r="C781" t="s">
        <v>258</v>
      </c>
      <c r="E781" s="8">
        <v>5.05</v>
      </c>
      <c r="F781" s="1">
        <v>8962.2999999999993</v>
      </c>
      <c r="H781">
        <v>1.21</v>
      </c>
      <c r="J781" s="2">
        <f>+DATAIN_COMPRAS__2[[#This Row],[$/ UN NETO]]*DATAIN_COMPRAS__2[[#This Row],[IVA]]</f>
        <v>10844.382999999998</v>
      </c>
      <c r="K781" s="7">
        <f t="shared" si="16"/>
        <v>54764.134149999998</v>
      </c>
      <c r="L781" t="s">
        <v>237</v>
      </c>
    </row>
    <row r="782" spans="1:12" x14ac:dyDescent="0.35">
      <c r="A782" s="13">
        <v>45827</v>
      </c>
      <c r="B782" t="s">
        <v>256</v>
      </c>
      <c r="C782" t="s">
        <v>160</v>
      </c>
      <c r="E782" s="8">
        <v>2.4</v>
      </c>
      <c r="F782" s="1">
        <v>8625.0350999999991</v>
      </c>
      <c r="H782">
        <v>1.21</v>
      </c>
      <c r="J782" s="2">
        <f>+DATAIN_COMPRAS__2[[#This Row],[$/ UN NETO]]*DATAIN_COMPRAS__2[[#This Row],[IVA]]</f>
        <v>10436.292470999999</v>
      </c>
      <c r="K782" s="7">
        <f t="shared" si="16"/>
        <v>25047.101930399996</v>
      </c>
      <c r="L782" t="s">
        <v>237</v>
      </c>
    </row>
    <row r="783" spans="1:12" x14ac:dyDescent="0.35">
      <c r="A783" s="13">
        <v>45827</v>
      </c>
      <c r="B783" t="s">
        <v>256</v>
      </c>
      <c r="C783" t="s">
        <v>259</v>
      </c>
      <c r="E783" s="8">
        <v>5</v>
      </c>
      <c r="F783" s="1">
        <v>9163.5120000000006</v>
      </c>
      <c r="H783">
        <v>1.21</v>
      </c>
      <c r="J783" s="2">
        <f>+DATAIN_COMPRAS__2[[#This Row],[$/ UN NETO]]*DATAIN_COMPRAS__2[[#This Row],[IVA]]</f>
        <v>11087.84952</v>
      </c>
      <c r="K783" s="7">
        <f t="shared" si="16"/>
        <v>55439.247600000002</v>
      </c>
      <c r="L783" t="s">
        <v>237</v>
      </c>
    </row>
    <row r="784" spans="1:12" x14ac:dyDescent="0.35">
      <c r="A784" s="13">
        <v>45827</v>
      </c>
      <c r="B784" t="s">
        <v>179</v>
      </c>
      <c r="C784" t="s">
        <v>163</v>
      </c>
      <c r="E784" s="8">
        <v>10</v>
      </c>
      <c r="F784" s="1">
        <f>13967.04/10</f>
        <v>1396.7040000000002</v>
      </c>
      <c r="H784">
        <v>1.21</v>
      </c>
      <c r="I784">
        <v>0.05</v>
      </c>
      <c r="J784" s="2">
        <f>+DATAIN_COMPRAS__2[[#This Row],[$/ UN NETO]]*DATAIN_COMPRAS__2[[#This Row],[IVA]]</f>
        <v>1690.0118400000001</v>
      </c>
      <c r="K784" s="7">
        <f t="shared" si="16"/>
        <v>16055.11248</v>
      </c>
      <c r="L784" t="s">
        <v>158</v>
      </c>
    </row>
    <row r="785" spans="1:12" x14ac:dyDescent="0.35">
      <c r="A785" s="13">
        <v>45827</v>
      </c>
      <c r="B785" t="s">
        <v>179</v>
      </c>
      <c r="C785" t="s">
        <v>320</v>
      </c>
      <c r="E785" s="8">
        <v>1</v>
      </c>
      <c r="F785">
        <v>14400</v>
      </c>
      <c r="H785">
        <v>1.21</v>
      </c>
      <c r="I785">
        <v>0.05</v>
      </c>
      <c r="J785" s="2">
        <f>+DATAIN_COMPRAS__2[[#This Row],[$/ UN NETO]]*DATAIN_COMPRAS__2[[#This Row],[IVA]]</f>
        <v>17424</v>
      </c>
      <c r="K785" s="7">
        <f t="shared" si="16"/>
        <v>16552.8</v>
      </c>
      <c r="L785" t="s">
        <v>158</v>
      </c>
    </row>
    <row r="786" spans="1:12" x14ac:dyDescent="0.35">
      <c r="A786" s="13">
        <v>45827</v>
      </c>
      <c r="B786" t="s">
        <v>179</v>
      </c>
      <c r="C786" t="s">
        <v>166</v>
      </c>
      <c r="E786" s="8">
        <v>25</v>
      </c>
      <c r="F786" s="1">
        <f>8961.4/25</f>
        <v>358.45599999999996</v>
      </c>
      <c r="H786">
        <v>1.21</v>
      </c>
      <c r="I786">
        <v>0.05</v>
      </c>
      <c r="J786" s="2">
        <f>+DATAIN_COMPRAS__2[[#This Row],[$/ UN NETO]]*DATAIN_COMPRAS__2[[#This Row],[IVA]]</f>
        <v>433.73175999999995</v>
      </c>
      <c r="K786" s="7">
        <f t="shared" si="16"/>
        <v>10301.129300000001</v>
      </c>
      <c r="L786" t="s">
        <v>158</v>
      </c>
    </row>
    <row r="787" spans="1:12" x14ac:dyDescent="0.35">
      <c r="A787" s="13">
        <v>45829</v>
      </c>
      <c r="B787" t="s">
        <v>12</v>
      </c>
      <c r="C787" t="s">
        <v>28</v>
      </c>
      <c r="E787" s="8">
        <v>2</v>
      </c>
      <c r="F787" s="1">
        <v>1500</v>
      </c>
      <c r="H787">
        <v>1</v>
      </c>
      <c r="J787" s="2">
        <f>+DATAIN_COMPRAS__2[[#This Row],[$/ UN NETO]]*DATAIN_COMPRAS__2[[#This Row],[IVA]]</f>
        <v>1500</v>
      </c>
      <c r="K787" s="7">
        <f t="shared" si="16"/>
        <v>3000</v>
      </c>
      <c r="L787" t="s">
        <v>237</v>
      </c>
    </row>
    <row r="788" spans="1:12" x14ac:dyDescent="0.35">
      <c r="A788" s="13">
        <v>45831</v>
      </c>
      <c r="B788" t="s">
        <v>48</v>
      </c>
      <c r="C788" s="14" t="s">
        <v>116</v>
      </c>
      <c r="E788" s="8">
        <v>10</v>
      </c>
      <c r="F788" s="1">
        <v>746.69420000000002</v>
      </c>
      <c r="H788">
        <v>1.21</v>
      </c>
      <c r="I788">
        <v>0.06</v>
      </c>
      <c r="J788" s="2">
        <f>+DATAIN_COMPRAS__2[[#This Row],[$/ UN NETO]]*DATAIN_COMPRAS__2[[#This Row],[IVA]]</f>
        <v>903.49998200000005</v>
      </c>
      <c r="K788" s="7">
        <f t="shared" si="16"/>
        <v>8492.8998307999991</v>
      </c>
      <c r="L788" t="s">
        <v>237</v>
      </c>
    </row>
    <row r="789" spans="1:12" x14ac:dyDescent="0.35">
      <c r="A789" s="13">
        <v>45831</v>
      </c>
      <c r="B789" t="s">
        <v>48</v>
      </c>
      <c r="C789" t="s">
        <v>61</v>
      </c>
      <c r="E789" s="8">
        <v>2</v>
      </c>
      <c r="F789" s="1">
        <v>910.75429999999994</v>
      </c>
      <c r="H789">
        <v>1.21</v>
      </c>
      <c r="I789">
        <v>0.06</v>
      </c>
      <c r="J789" s="2">
        <f>+DATAIN_COMPRAS__2[[#This Row],[$/ UN NETO]]*DATAIN_COMPRAS__2[[#This Row],[IVA]]</f>
        <v>1102.0127029999999</v>
      </c>
      <c r="K789" s="7">
        <f t="shared" si="16"/>
        <v>2071.7838816399999</v>
      </c>
      <c r="L789" t="s">
        <v>237</v>
      </c>
    </row>
    <row r="790" spans="1:12" x14ac:dyDescent="0.35">
      <c r="A790" s="13">
        <v>45831</v>
      </c>
      <c r="B790" t="s">
        <v>48</v>
      </c>
      <c r="C790" t="s">
        <v>321</v>
      </c>
      <c r="E790" s="8">
        <v>3</v>
      </c>
      <c r="F790" s="1">
        <v>2928.4427999999998</v>
      </c>
      <c r="H790">
        <v>1.21</v>
      </c>
      <c r="J790" s="2">
        <f>+DATAIN_COMPRAS__2[[#This Row],[$/ UN NETO]]*DATAIN_COMPRAS__2[[#This Row],[IVA]]</f>
        <v>3543.4157879999998</v>
      </c>
      <c r="K790" s="7">
        <f t="shared" si="16"/>
        <v>10630.247363999997</v>
      </c>
      <c r="L790" t="s">
        <v>158</v>
      </c>
    </row>
    <row r="791" spans="1:12" x14ac:dyDescent="0.35">
      <c r="A791" s="13">
        <v>45831</v>
      </c>
      <c r="B791" t="s">
        <v>48</v>
      </c>
      <c r="C791" t="s">
        <v>144</v>
      </c>
      <c r="E791" s="8">
        <v>2</v>
      </c>
      <c r="F791" s="1">
        <v>2757.0248000000001</v>
      </c>
      <c r="H791">
        <v>1.21</v>
      </c>
      <c r="J791" s="2">
        <f>+DATAIN_COMPRAS__2[[#This Row],[$/ UN NETO]]*DATAIN_COMPRAS__2[[#This Row],[IVA]]</f>
        <v>3336.000008</v>
      </c>
      <c r="K791" s="7">
        <f t="shared" si="16"/>
        <v>6672.000016</v>
      </c>
      <c r="L791" t="s">
        <v>158</v>
      </c>
    </row>
    <row r="792" spans="1:12" x14ac:dyDescent="0.35">
      <c r="A792" s="13">
        <v>45831</v>
      </c>
      <c r="B792" t="s">
        <v>48</v>
      </c>
      <c r="C792" t="s">
        <v>58</v>
      </c>
      <c r="E792" s="8">
        <v>1</v>
      </c>
      <c r="F792" s="1">
        <v>21962</v>
      </c>
      <c r="H792">
        <v>1.21</v>
      </c>
      <c r="I792">
        <v>0.06</v>
      </c>
      <c r="J792" s="2">
        <f>+DATAIN_COMPRAS__2[[#This Row],[$/ UN NETO]]*DATAIN_COMPRAS__2[[#This Row],[IVA]]</f>
        <v>26574.02</v>
      </c>
      <c r="K792" s="7">
        <f t="shared" si="16"/>
        <v>24979.578799999999</v>
      </c>
      <c r="L792" t="s">
        <v>237</v>
      </c>
    </row>
    <row r="793" spans="1:12" x14ac:dyDescent="0.35">
      <c r="A793" s="13">
        <v>45831</v>
      </c>
      <c r="B793" t="s">
        <v>48</v>
      </c>
      <c r="C793" t="s">
        <v>250</v>
      </c>
      <c r="E793" s="8">
        <v>2</v>
      </c>
      <c r="F793" s="1">
        <v>1039.5</v>
      </c>
      <c r="H793">
        <v>1.21</v>
      </c>
      <c r="J793" s="2">
        <f>+DATAIN_COMPRAS__2[[#This Row],[$/ UN NETO]]*DATAIN_COMPRAS__2[[#This Row],[IVA]]</f>
        <v>1257.7950000000001</v>
      </c>
      <c r="K793" s="7">
        <f t="shared" si="16"/>
        <v>2515.59</v>
      </c>
      <c r="L793" t="s">
        <v>237</v>
      </c>
    </row>
    <row r="794" spans="1:12" x14ac:dyDescent="0.35">
      <c r="A794" s="13">
        <v>45831</v>
      </c>
      <c r="B794" t="s">
        <v>48</v>
      </c>
      <c r="C794" t="s">
        <v>248</v>
      </c>
      <c r="E794" s="8">
        <v>2</v>
      </c>
      <c r="F794" s="1">
        <v>780.12</v>
      </c>
      <c r="H794">
        <v>1.21</v>
      </c>
      <c r="J794" s="2">
        <f>+DATAIN_COMPRAS__2[[#This Row],[$/ UN NETO]]*DATAIN_COMPRAS__2[[#This Row],[IVA]]</f>
        <v>943.9452</v>
      </c>
      <c r="K794" s="7">
        <f t="shared" si="16"/>
        <v>1887.8904</v>
      </c>
      <c r="L794" t="s">
        <v>237</v>
      </c>
    </row>
    <row r="795" spans="1:12" x14ac:dyDescent="0.35">
      <c r="A795" s="13">
        <v>45831</v>
      </c>
      <c r="B795" t="s">
        <v>174</v>
      </c>
      <c r="C795" t="s">
        <v>176</v>
      </c>
      <c r="E795" s="8">
        <v>6</v>
      </c>
      <c r="F795" s="1">
        <v>8371.9</v>
      </c>
      <c r="H795">
        <v>1.21</v>
      </c>
      <c r="J795" s="2">
        <f>+DATAIN_COMPRAS__2[[#This Row],[$/ UN NETO]]*DATAIN_COMPRAS__2[[#This Row],[IVA]]</f>
        <v>10129.999</v>
      </c>
      <c r="K795" s="7">
        <f t="shared" si="16"/>
        <v>60779.993999999992</v>
      </c>
      <c r="L795" t="s">
        <v>158</v>
      </c>
    </row>
    <row r="796" spans="1:12" x14ac:dyDescent="0.35">
      <c r="A796" s="13">
        <v>45831</v>
      </c>
      <c r="B796" t="s">
        <v>174</v>
      </c>
      <c r="C796" t="s">
        <v>175</v>
      </c>
      <c r="E796" s="8">
        <v>6</v>
      </c>
      <c r="F796" s="1">
        <v>8371.9</v>
      </c>
      <c r="H796">
        <v>1.21</v>
      </c>
      <c r="J796" s="2">
        <f>+DATAIN_COMPRAS__2[[#This Row],[$/ UN NETO]]*DATAIN_COMPRAS__2[[#This Row],[IVA]]</f>
        <v>10129.999</v>
      </c>
      <c r="K796" s="7">
        <f t="shared" si="16"/>
        <v>60779.993999999992</v>
      </c>
      <c r="L796" t="s">
        <v>158</v>
      </c>
    </row>
    <row r="797" spans="1:12" x14ac:dyDescent="0.35">
      <c r="A797" s="13">
        <v>45831</v>
      </c>
      <c r="B797" t="s">
        <v>174</v>
      </c>
      <c r="C797" s="14" t="s">
        <v>177</v>
      </c>
      <c r="E797" s="8">
        <v>2</v>
      </c>
      <c r="F797" s="1">
        <v>1214.8800000000001</v>
      </c>
      <c r="H797">
        <v>1.21</v>
      </c>
      <c r="J797" s="2">
        <f>+DATAIN_COMPRAS__2[[#This Row],[$/ UN NETO]]*DATAIN_COMPRAS__2[[#This Row],[IVA]]</f>
        <v>1470.0048000000002</v>
      </c>
      <c r="K797" s="7">
        <f t="shared" si="16"/>
        <v>2940.0096000000003</v>
      </c>
      <c r="L797" t="s">
        <v>158</v>
      </c>
    </row>
    <row r="798" spans="1:12" x14ac:dyDescent="0.35">
      <c r="A798" s="13">
        <v>45831</v>
      </c>
      <c r="B798" t="s">
        <v>174</v>
      </c>
      <c r="C798" s="14" t="s">
        <v>200</v>
      </c>
      <c r="E798" s="8">
        <v>1</v>
      </c>
      <c r="F798" s="1">
        <v>11123.97</v>
      </c>
      <c r="H798">
        <v>1.21</v>
      </c>
      <c r="J798" s="2">
        <f>+DATAIN_COMPRAS__2[[#This Row],[$/ UN NETO]]*DATAIN_COMPRAS__2[[#This Row],[IVA]]</f>
        <v>13460.003699999999</v>
      </c>
      <c r="K798" s="7">
        <f t="shared" si="16"/>
        <v>13460.003699999999</v>
      </c>
      <c r="L798" t="s">
        <v>158</v>
      </c>
    </row>
    <row r="799" spans="1:12" x14ac:dyDescent="0.35">
      <c r="A799" s="13">
        <v>45831</v>
      </c>
      <c r="B799" t="s">
        <v>110</v>
      </c>
      <c r="C799" t="s">
        <v>111</v>
      </c>
      <c r="E799" s="8">
        <v>1</v>
      </c>
      <c r="F799" s="1">
        <v>1840.91</v>
      </c>
      <c r="H799">
        <v>1.21</v>
      </c>
      <c r="J799" s="2">
        <f>+DATAIN_COMPRAS__2[[#This Row],[$/ UN NETO]]*DATAIN_COMPRAS__2[[#This Row],[IVA]]</f>
        <v>2227.5011</v>
      </c>
      <c r="K799" s="7">
        <f t="shared" si="16"/>
        <v>2227.5011</v>
      </c>
      <c r="L799" t="s">
        <v>158</v>
      </c>
    </row>
    <row r="800" spans="1:12" x14ac:dyDescent="0.35">
      <c r="A800" s="13">
        <v>45831</v>
      </c>
      <c r="B800" t="s">
        <v>110</v>
      </c>
      <c r="C800" t="s">
        <v>836</v>
      </c>
      <c r="E800" s="8">
        <v>1</v>
      </c>
      <c r="F800" s="1">
        <v>19524.7</v>
      </c>
      <c r="H800">
        <v>1.21</v>
      </c>
      <c r="J800" s="2">
        <f>+DATAIN_COMPRAS__2[[#This Row],[$/ UN NETO]]*DATAIN_COMPRAS__2[[#This Row],[IVA]]</f>
        <v>23624.886999999999</v>
      </c>
      <c r="K800" s="7">
        <f t="shared" si="16"/>
        <v>23624.886999999999</v>
      </c>
      <c r="L800" t="s">
        <v>158</v>
      </c>
    </row>
    <row r="801" spans="1:12" x14ac:dyDescent="0.35">
      <c r="A801" s="13">
        <v>45831</v>
      </c>
      <c r="B801" t="s">
        <v>12</v>
      </c>
      <c r="C801" t="s">
        <v>26</v>
      </c>
      <c r="E801" s="8">
        <v>3</v>
      </c>
      <c r="F801" s="1">
        <f>1500/DATAIN_COMPRAS__2[[#This Row],[IVA]]</f>
        <v>1357.4660633484164</v>
      </c>
      <c r="H801">
        <v>1.105</v>
      </c>
      <c r="J801" s="2">
        <f>+DATAIN_COMPRAS__2[[#This Row],[$/ UN NETO]]*DATAIN_COMPRAS__2[[#This Row],[IVA]]</f>
        <v>1500</v>
      </c>
      <c r="K801" s="7">
        <f t="shared" si="16"/>
        <v>4500</v>
      </c>
      <c r="L801" t="s">
        <v>237</v>
      </c>
    </row>
    <row r="802" spans="1:12" x14ac:dyDescent="0.35">
      <c r="A802" s="13">
        <v>45831</v>
      </c>
      <c r="B802" t="s">
        <v>12</v>
      </c>
      <c r="C802" t="s">
        <v>45</v>
      </c>
      <c r="E802" s="8">
        <v>1</v>
      </c>
      <c r="F802" s="1">
        <f>1200/DATAIN_COMPRAS__2[[#This Row],[IVA]]</f>
        <v>1085.972850678733</v>
      </c>
      <c r="H802">
        <v>1.105</v>
      </c>
      <c r="J802" s="2">
        <f>+DATAIN_COMPRAS__2[[#This Row],[$/ UN NETO]]*DATAIN_COMPRAS__2[[#This Row],[IVA]]</f>
        <v>1200</v>
      </c>
      <c r="K802" s="7">
        <f t="shared" si="16"/>
        <v>1200</v>
      </c>
      <c r="L802" t="s">
        <v>237</v>
      </c>
    </row>
    <row r="803" spans="1:12" x14ac:dyDescent="0.35">
      <c r="A803" s="13">
        <v>45831</v>
      </c>
      <c r="B803" t="s">
        <v>12</v>
      </c>
      <c r="C803" t="s">
        <v>41</v>
      </c>
      <c r="E803" s="8">
        <v>2</v>
      </c>
      <c r="F803" s="1">
        <f>4600/DATAIN_COMPRAS__2[[#This Row],[IVA]]</f>
        <v>4162.8959276018104</v>
      </c>
      <c r="H803">
        <v>1.105</v>
      </c>
      <c r="J803" s="2">
        <f>+DATAIN_COMPRAS__2[[#This Row],[$/ UN NETO]]*DATAIN_COMPRAS__2[[#This Row],[IVA]]</f>
        <v>4600</v>
      </c>
      <c r="K803" s="7">
        <f t="shared" ref="K803:K866" si="17">(E803*F803)*(1-I803)*(H803)</f>
        <v>9200</v>
      </c>
      <c r="L803" t="s">
        <v>237</v>
      </c>
    </row>
    <row r="804" spans="1:12" x14ac:dyDescent="0.35">
      <c r="A804" s="13">
        <v>45831</v>
      </c>
      <c r="B804" t="s">
        <v>12</v>
      </c>
      <c r="C804" t="s">
        <v>35</v>
      </c>
      <c r="E804" s="8">
        <v>1</v>
      </c>
      <c r="F804" s="1">
        <f>2300/DATAIN_COMPRAS__2[[#This Row],[IVA]]</f>
        <v>2081.4479638009052</v>
      </c>
      <c r="H804">
        <v>1.105</v>
      </c>
      <c r="J804" s="2">
        <f>+DATAIN_COMPRAS__2[[#This Row],[$/ UN NETO]]*DATAIN_COMPRAS__2[[#This Row],[IVA]]</f>
        <v>2300</v>
      </c>
      <c r="K804" s="7">
        <f t="shared" si="17"/>
        <v>2300</v>
      </c>
      <c r="L804" t="s">
        <v>158</v>
      </c>
    </row>
    <row r="805" spans="1:12" x14ac:dyDescent="0.35">
      <c r="A805" s="13">
        <v>45831</v>
      </c>
      <c r="B805" t="s">
        <v>12</v>
      </c>
      <c r="C805" t="s">
        <v>20</v>
      </c>
      <c r="E805" s="8">
        <v>1</v>
      </c>
      <c r="F805" s="1">
        <f>1000/DATAIN_COMPRAS__2[[#This Row],[IVA]]</f>
        <v>904.97737556561083</v>
      </c>
      <c r="H805">
        <v>1.105</v>
      </c>
      <c r="J805" s="2">
        <f>+DATAIN_COMPRAS__2[[#This Row],[$/ UN NETO]]*DATAIN_COMPRAS__2[[#This Row],[IVA]]</f>
        <v>1000</v>
      </c>
      <c r="K805" s="7">
        <f t="shared" si="17"/>
        <v>1000</v>
      </c>
      <c r="L805" t="s">
        <v>237</v>
      </c>
    </row>
    <row r="806" spans="1:12" x14ac:dyDescent="0.35">
      <c r="A806" s="13">
        <v>45831</v>
      </c>
      <c r="B806" t="s">
        <v>12</v>
      </c>
      <c r="C806" t="s">
        <v>22</v>
      </c>
      <c r="E806" s="8">
        <v>1</v>
      </c>
      <c r="F806" s="1">
        <f>2100/DATAIN_COMPRAS__2[[#This Row],[IVA]]</f>
        <v>1900.4524886877828</v>
      </c>
      <c r="H806">
        <v>1.105</v>
      </c>
      <c r="J806" s="2">
        <f>+DATAIN_COMPRAS__2[[#This Row],[$/ UN NETO]]*DATAIN_COMPRAS__2[[#This Row],[IVA]]</f>
        <v>2100</v>
      </c>
      <c r="K806" s="7">
        <f t="shared" si="17"/>
        <v>2100</v>
      </c>
      <c r="L806" t="s">
        <v>237</v>
      </c>
    </row>
    <row r="807" spans="1:12" x14ac:dyDescent="0.35">
      <c r="A807" s="13">
        <v>45832</v>
      </c>
      <c r="B807" t="s">
        <v>48</v>
      </c>
      <c r="C807" s="14" t="s">
        <v>69</v>
      </c>
      <c r="E807" s="8">
        <v>4</v>
      </c>
      <c r="F807" s="1">
        <v>7550.0780000000004</v>
      </c>
      <c r="H807">
        <v>1.21</v>
      </c>
      <c r="I807">
        <v>0.06</v>
      </c>
      <c r="J807" s="2">
        <f>+DATAIN_COMPRAS__2[[#This Row],[$/ UN NETO]]*DATAIN_COMPRAS__2[[#This Row],[IVA]]</f>
        <v>9135.5943800000005</v>
      </c>
      <c r="K807" s="7">
        <f t="shared" si="17"/>
        <v>34349.834868800004</v>
      </c>
      <c r="L807" t="s">
        <v>237</v>
      </c>
    </row>
    <row r="808" spans="1:12" x14ac:dyDescent="0.35">
      <c r="A808" s="13">
        <v>45832</v>
      </c>
      <c r="B808" t="s">
        <v>181</v>
      </c>
      <c r="C808" t="str">
        <f>+UPPER("Crema Balde x 5Lt 44% MILKAUT")</f>
        <v>CREMA BALDE X 5LT 44% MILKAUT</v>
      </c>
      <c r="E808" s="8">
        <v>5</v>
      </c>
      <c r="F808" s="1">
        <f>37714.88/5</f>
        <v>7542.9759999999997</v>
      </c>
      <c r="H808">
        <v>1.21</v>
      </c>
      <c r="J808" s="2">
        <f>+DATAIN_COMPRAS__2[[#This Row],[$/ UN NETO]]*DATAIN_COMPRAS__2[[#This Row],[IVA]]</f>
        <v>9127.0009599999994</v>
      </c>
      <c r="K808" s="7">
        <f t="shared" si="17"/>
        <v>45635.004799999995</v>
      </c>
      <c r="L808" t="s">
        <v>158</v>
      </c>
    </row>
    <row r="809" spans="1:12" x14ac:dyDescent="0.35">
      <c r="A809" s="13">
        <v>45832</v>
      </c>
      <c r="B809" t="s">
        <v>181</v>
      </c>
      <c r="C809" t="s">
        <v>266</v>
      </c>
      <c r="E809" s="8">
        <v>20</v>
      </c>
      <c r="F809" s="1">
        <f>56780.99/5</f>
        <v>11356.198</v>
      </c>
      <c r="H809">
        <v>1.21</v>
      </c>
      <c r="J809" s="2">
        <f>+DATAIN_COMPRAS__2[[#This Row],[$/ UN NETO]]*DATAIN_COMPRAS__2[[#This Row],[IVA]]</f>
        <v>13740.99958</v>
      </c>
      <c r="K809" s="7">
        <f t="shared" si="17"/>
        <v>274819.99160000001</v>
      </c>
      <c r="L809" t="s">
        <v>158</v>
      </c>
    </row>
    <row r="810" spans="1:12" x14ac:dyDescent="0.35">
      <c r="A810" s="13">
        <v>45832</v>
      </c>
      <c r="B810" t="s">
        <v>256</v>
      </c>
      <c r="C810" t="s">
        <v>258</v>
      </c>
      <c r="E810" s="8">
        <v>5.03</v>
      </c>
      <c r="F810" s="1">
        <v>8992.2999999999993</v>
      </c>
      <c r="H810">
        <v>1.21</v>
      </c>
      <c r="J810" s="2">
        <f>+DATAIN_COMPRAS__2[[#This Row],[$/ UN NETO]]*DATAIN_COMPRAS__2[[#This Row],[IVA]]</f>
        <v>10880.682999999999</v>
      </c>
      <c r="K810" s="7">
        <f t="shared" si="17"/>
        <v>54729.835489999998</v>
      </c>
      <c r="L810" t="s">
        <v>237</v>
      </c>
    </row>
    <row r="811" spans="1:12" x14ac:dyDescent="0.35">
      <c r="A811" s="13">
        <v>45832</v>
      </c>
      <c r="B811" t="s">
        <v>256</v>
      </c>
      <c r="C811" t="s">
        <v>259</v>
      </c>
      <c r="E811" s="8">
        <v>10.050000000000001</v>
      </c>
      <c r="F811" s="1">
        <v>9163.5120000000006</v>
      </c>
      <c r="H811">
        <v>1.21</v>
      </c>
      <c r="J811" s="2">
        <f>+DATAIN_COMPRAS__2[[#This Row],[$/ UN NETO]]*DATAIN_COMPRAS__2[[#This Row],[IVA]]</f>
        <v>11087.84952</v>
      </c>
      <c r="K811" s="7">
        <f t="shared" si="17"/>
        <v>111432.88767600001</v>
      </c>
      <c r="L811" t="s">
        <v>237</v>
      </c>
    </row>
    <row r="812" spans="1:12" x14ac:dyDescent="0.35">
      <c r="A812" s="13">
        <v>45832</v>
      </c>
      <c r="B812" t="s">
        <v>75</v>
      </c>
      <c r="C812" t="s">
        <v>77</v>
      </c>
      <c r="E812" s="8">
        <v>12</v>
      </c>
      <c r="F812" s="1">
        <v>1101.4100000000001</v>
      </c>
      <c r="H812">
        <v>1.21</v>
      </c>
      <c r="J812" s="2">
        <f>+DATAIN_COMPRAS__2[[#This Row],[$/ UN NETO]]*DATAIN_COMPRAS__2[[#This Row],[IVA]]</f>
        <v>1332.7061000000001</v>
      </c>
      <c r="K812" s="7">
        <f t="shared" si="17"/>
        <v>15992.473200000002</v>
      </c>
      <c r="L812" t="s">
        <v>237</v>
      </c>
    </row>
    <row r="813" spans="1:12" x14ac:dyDescent="0.35">
      <c r="A813" s="13">
        <v>45832</v>
      </c>
      <c r="B813" t="s">
        <v>75</v>
      </c>
      <c r="C813" t="s">
        <v>78</v>
      </c>
      <c r="E813" s="8">
        <v>12</v>
      </c>
      <c r="F813" s="1">
        <v>1182.56</v>
      </c>
      <c r="H813">
        <v>1.21</v>
      </c>
      <c r="J813" s="2">
        <f>+DATAIN_COMPRAS__2[[#This Row],[$/ UN NETO]]*DATAIN_COMPRAS__2[[#This Row],[IVA]]</f>
        <v>1430.8975999999998</v>
      </c>
      <c r="K813" s="7">
        <f t="shared" si="17"/>
        <v>17170.771199999999</v>
      </c>
      <c r="L813" t="s">
        <v>237</v>
      </c>
    </row>
    <row r="814" spans="1:12" x14ac:dyDescent="0.35">
      <c r="A814" s="13">
        <v>45832</v>
      </c>
      <c r="B814" t="s">
        <v>75</v>
      </c>
      <c r="C814" t="s">
        <v>76</v>
      </c>
      <c r="E814" s="8">
        <v>96</v>
      </c>
      <c r="F814" s="1">
        <v>1101.4100000000001</v>
      </c>
      <c r="H814">
        <v>1.21</v>
      </c>
      <c r="J814" s="2">
        <f>+DATAIN_COMPRAS__2[[#This Row],[$/ UN NETO]]*DATAIN_COMPRAS__2[[#This Row],[IVA]]</f>
        <v>1332.7061000000001</v>
      </c>
      <c r="K814" s="7">
        <f t="shared" si="17"/>
        <v>127939.78560000002</v>
      </c>
      <c r="L814" t="s">
        <v>237</v>
      </c>
    </row>
    <row r="815" spans="1:12" x14ac:dyDescent="0.35">
      <c r="A815" s="13">
        <v>45832</v>
      </c>
      <c r="B815" t="s">
        <v>75</v>
      </c>
      <c r="C815" t="s">
        <v>76</v>
      </c>
      <c r="E815" s="8">
        <v>24</v>
      </c>
      <c r="F815" s="1">
        <v>1101.4100000000001</v>
      </c>
      <c r="H815">
        <v>1.21</v>
      </c>
      <c r="J815" s="2">
        <f>+DATAIN_COMPRAS__2[[#This Row],[$/ UN NETO]]*DATAIN_COMPRAS__2[[#This Row],[IVA]]</f>
        <v>1332.7061000000001</v>
      </c>
      <c r="K815" s="7">
        <f t="shared" si="17"/>
        <v>31984.946400000004</v>
      </c>
      <c r="L815" t="s">
        <v>158</v>
      </c>
    </row>
    <row r="816" spans="1:12" x14ac:dyDescent="0.35">
      <c r="A816" s="13">
        <v>45835</v>
      </c>
      <c r="B816" t="s">
        <v>179</v>
      </c>
      <c r="C816" t="s">
        <v>180</v>
      </c>
      <c r="E816" s="8">
        <v>10</v>
      </c>
      <c r="F816" s="1">
        <f>14527.92/4</f>
        <v>3631.98</v>
      </c>
      <c r="H816">
        <v>1.21</v>
      </c>
      <c r="I816">
        <v>0.05</v>
      </c>
      <c r="J816" s="2">
        <f>+DATAIN_COMPRAS__2[[#This Row],[$/ UN NETO]]*DATAIN_COMPRAS__2[[#This Row],[IVA]]</f>
        <v>4394.6957999999995</v>
      </c>
      <c r="K816" s="7">
        <f t="shared" si="17"/>
        <v>41749.610099999998</v>
      </c>
      <c r="L816" t="s">
        <v>158</v>
      </c>
    </row>
    <row r="817" spans="1:12" x14ac:dyDescent="0.35">
      <c r="A817" s="13">
        <v>45836</v>
      </c>
      <c r="B817" t="s">
        <v>48</v>
      </c>
      <c r="C817" t="s">
        <v>846</v>
      </c>
      <c r="E817" s="8">
        <v>8</v>
      </c>
      <c r="F817" s="1">
        <f>19208.2044/4</f>
        <v>4802.0510999999997</v>
      </c>
      <c r="H817">
        <v>1.21</v>
      </c>
      <c r="I817">
        <v>0.06</v>
      </c>
      <c r="J817" s="2">
        <f>+DATAIN_COMPRAS__2[[#This Row],[$/ UN NETO]]*DATAIN_COMPRAS__2[[#This Row],[IVA]]</f>
        <v>5810.4818309999991</v>
      </c>
      <c r="K817" s="7">
        <f t="shared" si="17"/>
        <v>43694.823369119993</v>
      </c>
      <c r="L817" t="s">
        <v>237</v>
      </c>
    </row>
    <row r="818" spans="1:12" x14ac:dyDescent="0.35">
      <c r="A818" s="13">
        <v>45836</v>
      </c>
      <c r="B818" t="s">
        <v>48</v>
      </c>
      <c r="C818" t="s">
        <v>833</v>
      </c>
      <c r="E818" s="8">
        <v>3.5</v>
      </c>
      <c r="F818" s="1">
        <f>19208.0044/3.5</f>
        <v>5488.0012571428579</v>
      </c>
      <c r="H818">
        <v>1.21</v>
      </c>
      <c r="I818">
        <v>0.06</v>
      </c>
      <c r="J818" s="2">
        <f>+DATAIN_COMPRAS__2[[#This Row],[$/ UN NETO]]*DATAIN_COMPRAS__2[[#This Row],[IVA]]</f>
        <v>6640.4815211428577</v>
      </c>
      <c r="K818" s="7">
        <f t="shared" si="17"/>
        <v>21847.184204559999</v>
      </c>
      <c r="L818" t="s">
        <v>158</v>
      </c>
    </row>
    <row r="819" spans="1:12" x14ac:dyDescent="0.35">
      <c r="A819" s="13">
        <v>45836</v>
      </c>
      <c r="B819" t="s">
        <v>48</v>
      </c>
      <c r="C819" t="s">
        <v>333</v>
      </c>
      <c r="E819" s="8">
        <f>0.19*6</f>
        <v>1.1400000000000001</v>
      </c>
      <c r="F819" s="1">
        <v>5325.6751999999997</v>
      </c>
      <c r="H819">
        <v>1.21</v>
      </c>
      <c r="I819">
        <v>0.06</v>
      </c>
      <c r="J819" s="2">
        <f>+DATAIN_COMPRAS__2[[#This Row],[$/ UN NETO]]*DATAIN_COMPRAS__2[[#This Row],[IVA]]</f>
        <v>6444.0669919999991</v>
      </c>
      <c r="K819" s="7">
        <f t="shared" si="17"/>
        <v>6905.4621886271998</v>
      </c>
      <c r="L819" t="s">
        <v>237</v>
      </c>
    </row>
    <row r="820" spans="1:12" x14ac:dyDescent="0.35">
      <c r="A820" s="13">
        <v>45836</v>
      </c>
      <c r="B820" t="s">
        <v>80</v>
      </c>
      <c r="C820" t="s">
        <v>88</v>
      </c>
      <c r="E820" s="8">
        <v>100</v>
      </c>
      <c r="F820" s="1">
        <f>1570.25/100</f>
        <v>15.702500000000001</v>
      </c>
      <c r="H820">
        <v>1.21</v>
      </c>
      <c r="J820" s="2">
        <f>+DATAIN_COMPRAS__2[[#This Row],[$/ UN NETO]]*DATAIN_COMPRAS__2[[#This Row],[IVA]]</f>
        <v>19.000025000000001</v>
      </c>
      <c r="K820" s="7">
        <f t="shared" si="17"/>
        <v>1900.0025000000001</v>
      </c>
      <c r="L820" t="s">
        <v>237</v>
      </c>
    </row>
    <row r="821" spans="1:12" x14ac:dyDescent="0.35">
      <c r="A821" s="13">
        <v>45836</v>
      </c>
      <c r="B821" t="s">
        <v>80</v>
      </c>
      <c r="C821" t="s">
        <v>271</v>
      </c>
      <c r="E821" s="8">
        <v>5</v>
      </c>
      <c r="F821" s="1">
        <f>4542.42/5</f>
        <v>908.48400000000004</v>
      </c>
      <c r="H821">
        <v>1.21</v>
      </c>
      <c r="J821" s="2">
        <f>+DATAIN_COMPRAS__2[[#This Row],[$/ UN NETO]]*DATAIN_COMPRAS__2[[#This Row],[IVA]]</f>
        <v>1099.2656400000001</v>
      </c>
      <c r="K821" s="7">
        <f t="shared" si="17"/>
        <v>5496.3281999999999</v>
      </c>
      <c r="L821" t="s">
        <v>237</v>
      </c>
    </row>
    <row r="822" spans="1:12" x14ac:dyDescent="0.35">
      <c r="A822" s="13">
        <v>45838</v>
      </c>
      <c r="B822" t="s">
        <v>185</v>
      </c>
      <c r="C822" t="s">
        <v>189</v>
      </c>
      <c r="E822" s="8">
        <v>25</v>
      </c>
      <c r="F822" s="1">
        <f>899.88/H822</f>
        <v>899.88</v>
      </c>
      <c r="H822">
        <v>1</v>
      </c>
      <c r="J822" s="2">
        <f>+DATAIN_COMPRAS__2[[#This Row],[$/ UN NETO]]*DATAIN_COMPRAS__2[[#This Row],[IVA]]</f>
        <v>899.88</v>
      </c>
      <c r="K822" s="7">
        <f t="shared" si="17"/>
        <v>22497</v>
      </c>
      <c r="L822" t="s">
        <v>158</v>
      </c>
    </row>
    <row r="823" spans="1:12" x14ac:dyDescent="0.35">
      <c r="A823" s="13">
        <v>45838</v>
      </c>
      <c r="B823" t="s">
        <v>185</v>
      </c>
      <c r="C823" t="s">
        <v>187</v>
      </c>
      <c r="E823" s="8">
        <f>8*25</f>
        <v>200</v>
      </c>
      <c r="F823" s="1">
        <f>881.52/1.21</f>
        <v>728.52892561983469</v>
      </c>
      <c r="H823">
        <v>1</v>
      </c>
      <c r="J823" s="2">
        <f>+DATAIN_COMPRAS__2[[#This Row],[$/ UN NETO]]*DATAIN_COMPRAS__2[[#This Row],[IVA]]</f>
        <v>728.52892561983469</v>
      </c>
      <c r="K823" s="7">
        <f t="shared" si="17"/>
        <v>145705.78512396693</v>
      </c>
      <c r="L823" t="s">
        <v>158</v>
      </c>
    </row>
    <row r="824" spans="1:12" x14ac:dyDescent="0.35">
      <c r="A824" s="13">
        <v>45838</v>
      </c>
      <c r="B824" t="s">
        <v>185</v>
      </c>
      <c r="C824" t="s">
        <v>186</v>
      </c>
      <c r="E824" s="8">
        <f>2*25</f>
        <v>50</v>
      </c>
      <c r="F824" s="1">
        <f>931.16/DATAIN_COMPRAS__2[[#This Row],[IVA]]</f>
        <v>931.16</v>
      </c>
      <c r="H824">
        <v>1</v>
      </c>
      <c r="J824" s="2">
        <f>+DATAIN_COMPRAS__2[[#This Row],[$/ UN NETO]]*DATAIN_COMPRAS__2[[#This Row],[IVA]]</f>
        <v>931.16</v>
      </c>
      <c r="K824" s="7">
        <f t="shared" si="17"/>
        <v>46558</v>
      </c>
      <c r="L824" t="s">
        <v>158</v>
      </c>
    </row>
    <row r="825" spans="1:12" x14ac:dyDescent="0.35">
      <c r="A825" s="13">
        <v>45838</v>
      </c>
      <c r="B825" t="s">
        <v>185</v>
      </c>
      <c r="C825" t="s">
        <v>188</v>
      </c>
      <c r="E825" s="8">
        <v>25</v>
      </c>
      <c r="F825" s="1">
        <f>1393.24/H825</f>
        <v>1393.24</v>
      </c>
      <c r="H825">
        <v>1</v>
      </c>
      <c r="J825" s="2">
        <f>+DATAIN_COMPRAS__2[[#This Row],[$/ UN NETO]]*DATAIN_COMPRAS__2[[#This Row],[IVA]]</f>
        <v>1393.24</v>
      </c>
      <c r="K825" s="7">
        <f t="shared" si="17"/>
        <v>34831</v>
      </c>
      <c r="L825" t="s">
        <v>158</v>
      </c>
    </row>
    <row r="826" spans="1:12" x14ac:dyDescent="0.35">
      <c r="A826" s="13">
        <v>45838</v>
      </c>
      <c r="B826" t="s">
        <v>48</v>
      </c>
      <c r="C826" t="s">
        <v>79</v>
      </c>
      <c r="E826" s="8">
        <v>2</v>
      </c>
      <c r="F826" s="1">
        <v>4943.8546999999999</v>
      </c>
      <c r="H826">
        <v>1.21</v>
      </c>
      <c r="I826">
        <v>0.06</v>
      </c>
      <c r="J826" s="2">
        <f>+DATAIN_COMPRAS__2[[#This Row],[$/ UN NETO]]*DATAIN_COMPRAS__2[[#This Row],[IVA]]</f>
        <v>5982.0641869999999</v>
      </c>
      <c r="K826" s="7">
        <f t="shared" si="17"/>
        <v>11246.280671559998</v>
      </c>
      <c r="L826" t="s">
        <v>237</v>
      </c>
    </row>
    <row r="827" spans="1:12" x14ac:dyDescent="0.35">
      <c r="A827" s="13">
        <v>45838</v>
      </c>
      <c r="B827" t="s">
        <v>48</v>
      </c>
      <c r="C827" t="s">
        <v>266</v>
      </c>
      <c r="E827" s="8">
        <v>2.5</v>
      </c>
      <c r="F827" s="1">
        <f>25337.0938/2.5</f>
        <v>10134.837519999999</v>
      </c>
      <c r="H827">
        <v>1.21</v>
      </c>
      <c r="I827">
        <v>0.06</v>
      </c>
      <c r="J827" s="2">
        <f>+DATAIN_COMPRAS__2[[#This Row],[$/ UN NETO]]*DATAIN_COMPRAS__2[[#This Row],[IVA]]</f>
        <v>12263.153399199999</v>
      </c>
      <c r="K827" s="7">
        <f t="shared" si="17"/>
        <v>28818.410488119996</v>
      </c>
      <c r="L827" t="s">
        <v>237</v>
      </c>
    </row>
    <row r="828" spans="1:12" x14ac:dyDescent="0.35">
      <c r="A828" s="13">
        <v>45838</v>
      </c>
      <c r="B828" t="s">
        <v>48</v>
      </c>
      <c r="C828" t="s">
        <v>250</v>
      </c>
      <c r="E828" s="8">
        <v>2</v>
      </c>
      <c r="F828" s="1">
        <v>1039.5</v>
      </c>
      <c r="H828">
        <v>1.21</v>
      </c>
      <c r="J828" s="2">
        <f>+DATAIN_COMPRAS__2[[#This Row],[$/ UN NETO]]*DATAIN_COMPRAS__2[[#This Row],[IVA]]</f>
        <v>1257.7950000000001</v>
      </c>
      <c r="K828" s="7">
        <f t="shared" si="17"/>
        <v>2515.59</v>
      </c>
      <c r="L828" t="s">
        <v>237</v>
      </c>
    </row>
    <row r="829" spans="1:12" x14ac:dyDescent="0.35">
      <c r="A829" s="13">
        <v>45838</v>
      </c>
      <c r="B829" t="s">
        <v>48</v>
      </c>
      <c r="C829" t="s">
        <v>248</v>
      </c>
      <c r="E829" s="8">
        <v>2</v>
      </c>
      <c r="F829" s="1">
        <v>780.12</v>
      </c>
      <c r="H829">
        <v>1.21</v>
      </c>
      <c r="J829" s="2">
        <f>+DATAIN_COMPRAS__2[[#This Row],[$/ UN NETO]]*DATAIN_COMPRAS__2[[#This Row],[IVA]]</f>
        <v>943.9452</v>
      </c>
      <c r="K829" s="7">
        <f t="shared" si="17"/>
        <v>1887.8904</v>
      </c>
      <c r="L829" t="s">
        <v>237</v>
      </c>
    </row>
    <row r="830" spans="1:12" x14ac:dyDescent="0.35">
      <c r="A830" s="13">
        <v>45838</v>
      </c>
      <c r="B830" t="s">
        <v>48</v>
      </c>
      <c r="C830" t="s">
        <v>54</v>
      </c>
      <c r="E830" s="8">
        <v>2</v>
      </c>
      <c r="F830" s="1">
        <v>849.42899999999997</v>
      </c>
      <c r="H830">
        <v>1.21</v>
      </c>
      <c r="I830">
        <v>0.06</v>
      </c>
      <c r="J830" s="2">
        <f>+DATAIN_COMPRAS__2[[#This Row],[$/ UN NETO]]*DATAIN_COMPRAS__2[[#This Row],[IVA]]</f>
        <v>1027.80909</v>
      </c>
      <c r="K830" s="7">
        <f t="shared" si="17"/>
        <v>1932.2810891999995</v>
      </c>
      <c r="L830" t="s">
        <v>237</v>
      </c>
    </row>
    <row r="831" spans="1:12" x14ac:dyDescent="0.35">
      <c r="A831" s="13">
        <v>45838</v>
      </c>
      <c r="B831" t="s">
        <v>181</v>
      </c>
      <c r="C831" t="s">
        <v>116</v>
      </c>
      <c r="E831" s="8">
        <v>10</v>
      </c>
      <c r="F831" s="1">
        <f>790/DATAIN_COMPRAS__2[[#This Row],[IVA]]</f>
        <v>652.89256198347107</v>
      </c>
      <c r="H831">
        <v>1.21</v>
      </c>
      <c r="I831">
        <v>0</v>
      </c>
      <c r="J831" s="2">
        <f>+DATAIN_COMPRAS__2[[#This Row],[$/ UN NETO]]*DATAIN_COMPRAS__2[[#This Row],[IVA]]</f>
        <v>790</v>
      </c>
      <c r="K831" s="7">
        <f t="shared" si="17"/>
        <v>7899.9999999999991</v>
      </c>
      <c r="L831" t="s">
        <v>237</v>
      </c>
    </row>
    <row r="832" spans="1:12" x14ac:dyDescent="0.35">
      <c r="A832" s="13">
        <v>45838</v>
      </c>
      <c r="B832" t="s">
        <v>110</v>
      </c>
      <c r="C832" t="s">
        <v>165</v>
      </c>
      <c r="E832" s="8">
        <v>10</v>
      </c>
      <c r="F832" s="1">
        <v>1335</v>
      </c>
      <c r="H832">
        <v>1.21</v>
      </c>
      <c r="J832" s="2">
        <f>+DATAIN_COMPRAS__2[[#This Row],[$/ UN NETO]]*DATAIN_COMPRAS__2[[#This Row],[IVA]]</f>
        <v>1615.35</v>
      </c>
      <c r="K832" s="7">
        <f t="shared" si="17"/>
        <v>16153.5</v>
      </c>
      <c r="L832" t="s">
        <v>158</v>
      </c>
    </row>
    <row r="833" spans="1:12" x14ac:dyDescent="0.35">
      <c r="A833" s="13">
        <v>45838</v>
      </c>
      <c r="B833" t="s">
        <v>110</v>
      </c>
      <c r="C833" t="s">
        <v>112</v>
      </c>
      <c r="E833" s="8">
        <v>1</v>
      </c>
      <c r="F833" s="1">
        <f>4200.19*2</f>
        <v>8400.3799999999992</v>
      </c>
      <c r="H833">
        <v>1.21</v>
      </c>
      <c r="J833" s="2">
        <f>+DATAIN_COMPRAS__2[[#This Row],[$/ UN NETO]]*DATAIN_COMPRAS__2[[#This Row],[IVA]]</f>
        <v>10164.459799999999</v>
      </c>
      <c r="K833" s="7">
        <f t="shared" si="17"/>
        <v>10164.459799999999</v>
      </c>
      <c r="L833" t="s">
        <v>158</v>
      </c>
    </row>
    <row r="834" spans="1:12" x14ac:dyDescent="0.35">
      <c r="A834" s="13">
        <v>45838</v>
      </c>
      <c r="B834" t="s">
        <v>12</v>
      </c>
      <c r="C834" t="s">
        <v>41</v>
      </c>
      <c r="E834" s="8">
        <v>2</v>
      </c>
      <c r="F834" s="1">
        <f>2300/DATAIN_COMPRAS__2[[#This Row],[IVA]]</f>
        <v>2081.4479638009052</v>
      </c>
      <c r="H834">
        <v>1.105</v>
      </c>
      <c r="J834" s="2">
        <f>+DATAIN_COMPRAS__2[[#This Row],[$/ UN NETO]]*DATAIN_COMPRAS__2[[#This Row],[IVA]]</f>
        <v>2300</v>
      </c>
      <c r="K834" s="7">
        <f t="shared" si="17"/>
        <v>4600</v>
      </c>
      <c r="L834" t="s">
        <v>237</v>
      </c>
    </row>
    <row r="835" spans="1:12" x14ac:dyDescent="0.35">
      <c r="A835" s="13">
        <v>45838</v>
      </c>
      <c r="B835" t="s">
        <v>12</v>
      </c>
      <c r="C835" t="s">
        <v>29</v>
      </c>
      <c r="E835" s="8">
        <v>1</v>
      </c>
      <c r="F835" s="1">
        <f>900/DATAIN_COMPRAS__2[[#This Row],[IVA]]</f>
        <v>814.47963800904984</v>
      </c>
      <c r="H835">
        <v>1.105</v>
      </c>
      <c r="J835" s="2">
        <f>+DATAIN_COMPRAS__2[[#This Row],[$/ UN NETO]]*DATAIN_COMPRAS__2[[#This Row],[IVA]]</f>
        <v>900</v>
      </c>
      <c r="K835" s="7">
        <f t="shared" si="17"/>
        <v>900</v>
      </c>
      <c r="L835" t="s">
        <v>237</v>
      </c>
    </row>
    <row r="836" spans="1:12" x14ac:dyDescent="0.35">
      <c r="A836" s="13">
        <v>45838</v>
      </c>
      <c r="B836" t="s">
        <v>12</v>
      </c>
      <c r="C836" t="s">
        <v>28</v>
      </c>
      <c r="E836" s="8">
        <v>1</v>
      </c>
      <c r="F836" s="1">
        <f>1800/DATAIN_COMPRAS__2[[#This Row],[IVA]]</f>
        <v>1628.9592760180997</v>
      </c>
      <c r="H836">
        <v>1.105</v>
      </c>
      <c r="J836" s="2">
        <f>+DATAIN_COMPRAS__2[[#This Row],[$/ UN NETO]]*DATAIN_COMPRAS__2[[#This Row],[IVA]]</f>
        <v>1800</v>
      </c>
      <c r="K836" s="7">
        <f t="shared" si="17"/>
        <v>1800</v>
      </c>
      <c r="L836" t="s">
        <v>237</v>
      </c>
    </row>
    <row r="837" spans="1:12" x14ac:dyDescent="0.35">
      <c r="A837" s="13">
        <v>45838</v>
      </c>
      <c r="B837" t="s">
        <v>12</v>
      </c>
      <c r="C837" t="s">
        <v>22</v>
      </c>
      <c r="E837" s="8">
        <v>1</v>
      </c>
      <c r="F837" s="1">
        <f>2800/DATAIN_COMPRAS__2[[#This Row],[IVA]]</f>
        <v>2533.9366515837105</v>
      </c>
      <c r="H837">
        <v>1.105</v>
      </c>
      <c r="J837" s="2">
        <f>+DATAIN_COMPRAS__2[[#This Row],[$/ UN NETO]]*DATAIN_COMPRAS__2[[#This Row],[IVA]]</f>
        <v>2800</v>
      </c>
      <c r="K837" s="7">
        <f t="shared" si="17"/>
        <v>2800</v>
      </c>
      <c r="L837" t="s">
        <v>237</v>
      </c>
    </row>
    <row r="838" spans="1:12" x14ac:dyDescent="0.35">
      <c r="A838" s="13">
        <v>45839</v>
      </c>
      <c r="B838" t="s">
        <v>309</v>
      </c>
      <c r="C838" t="s">
        <v>316</v>
      </c>
      <c r="E838" s="8">
        <f>6/8</f>
        <v>0.75</v>
      </c>
      <c r="F838" s="1">
        <v>10500</v>
      </c>
      <c r="H838">
        <v>1</v>
      </c>
      <c r="J838" s="2">
        <f>+DATAIN_COMPRAS__2[[#This Row],[$/ UN NETO]]*DATAIN_COMPRAS__2[[#This Row],[IVA]]</f>
        <v>10500</v>
      </c>
      <c r="K838" s="7">
        <f t="shared" si="17"/>
        <v>7875</v>
      </c>
      <c r="L838" t="s">
        <v>158</v>
      </c>
    </row>
    <row r="839" spans="1:12" x14ac:dyDescent="0.35">
      <c r="A839" s="13">
        <v>45839</v>
      </c>
      <c r="B839" t="s">
        <v>309</v>
      </c>
      <c r="C839" t="s">
        <v>316</v>
      </c>
      <c r="E839" s="8">
        <f>2/8</f>
        <v>0.25</v>
      </c>
      <c r="F839" s="1">
        <v>10500</v>
      </c>
      <c r="H839">
        <v>1</v>
      </c>
      <c r="J839" s="2">
        <f>+DATAIN_COMPRAS__2[[#This Row],[$/ UN NETO]]*DATAIN_COMPRAS__2[[#This Row],[IVA]]</f>
        <v>10500</v>
      </c>
      <c r="K839" s="7">
        <f t="shared" si="17"/>
        <v>2625</v>
      </c>
      <c r="L839" t="s">
        <v>237</v>
      </c>
    </row>
    <row r="840" spans="1:12" x14ac:dyDescent="0.35">
      <c r="A840" s="13">
        <v>45839</v>
      </c>
      <c r="B840" t="s">
        <v>309</v>
      </c>
      <c r="C840" t="s">
        <v>331</v>
      </c>
      <c r="E840" s="8">
        <v>7</v>
      </c>
      <c r="F840" s="1">
        <v>785.71428571428567</v>
      </c>
      <c r="H840">
        <v>1</v>
      </c>
      <c r="J840" s="2">
        <f>+DATAIN_COMPRAS__2[[#This Row],[$/ UN NETO]]*DATAIN_COMPRAS__2[[#This Row],[IVA]]</f>
        <v>785.71428571428567</v>
      </c>
      <c r="K840" s="7">
        <f t="shared" si="17"/>
        <v>5500</v>
      </c>
      <c r="L840" t="s">
        <v>158</v>
      </c>
    </row>
    <row r="841" spans="1:12" x14ac:dyDescent="0.35">
      <c r="A841" s="13">
        <v>45839</v>
      </c>
      <c r="B841" t="s">
        <v>309</v>
      </c>
      <c r="C841" t="s">
        <v>331</v>
      </c>
      <c r="E841" s="8">
        <v>7</v>
      </c>
      <c r="F841" s="1">
        <v>785.71428571428567</v>
      </c>
      <c r="H841">
        <v>1</v>
      </c>
      <c r="J841" s="2">
        <f>+DATAIN_COMPRAS__2[[#This Row],[$/ UN NETO]]*DATAIN_COMPRAS__2[[#This Row],[IVA]]</f>
        <v>785.71428571428567</v>
      </c>
      <c r="K841" s="7">
        <f t="shared" si="17"/>
        <v>5500</v>
      </c>
      <c r="L841" t="s">
        <v>237</v>
      </c>
    </row>
    <row r="842" spans="1:12" x14ac:dyDescent="0.35">
      <c r="A842" s="13">
        <v>45839</v>
      </c>
      <c r="B842" t="s">
        <v>309</v>
      </c>
      <c r="C842" t="s">
        <v>15</v>
      </c>
      <c r="E842" s="8">
        <v>9</v>
      </c>
      <c r="F842" s="1">
        <v>944.44444444444446</v>
      </c>
      <c r="H842">
        <v>1</v>
      </c>
      <c r="J842" s="2">
        <f>+DATAIN_COMPRAS__2[[#This Row],[$/ UN NETO]]*DATAIN_COMPRAS__2[[#This Row],[IVA]]</f>
        <v>944.44444444444446</v>
      </c>
      <c r="K842" s="7">
        <f t="shared" si="17"/>
        <v>8500</v>
      </c>
      <c r="L842" t="s">
        <v>237</v>
      </c>
    </row>
    <row r="843" spans="1:12" x14ac:dyDescent="0.35">
      <c r="A843" s="13">
        <v>45839</v>
      </c>
      <c r="B843" t="s">
        <v>309</v>
      </c>
      <c r="C843" t="s">
        <v>15</v>
      </c>
      <c r="E843" s="8">
        <v>9</v>
      </c>
      <c r="F843" s="1">
        <v>944.44444444444446</v>
      </c>
      <c r="H843">
        <v>1</v>
      </c>
      <c r="J843" s="2">
        <f>+DATAIN_COMPRAS__2[[#This Row],[$/ UN NETO]]*DATAIN_COMPRAS__2[[#This Row],[IVA]]</f>
        <v>944.44444444444446</v>
      </c>
      <c r="K843" s="7">
        <f t="shared" si="17"/>
        <v>8500</v>
      </c>
      <c r="L843" t="s">
        <v>158</v>
      </c>
    </row>
    <row r="844" spans="1:12" x14ac:dyDescent="0.35">
      <c r="A844" s="13">
        <v>45839</v>
      </c>
      <c r="B844" t="s">
        <v>309</v>
      </c>
      <c r="C844" t="s">
        <v>332</v>
      </c>
      <c r="E844" s="8">
        <v>28</v>
      </c>
      <c r="F844" s="1">
        <v>857.14285714285711</v>
      </c>
      <c r="H844">
        <v>1</v>
      </c>
      <c r="J844" s="2">
        <f>+DATAIN_COMPRAS__2[[#This Row],[$/ UN NETO]]*DATAIN_COMPRAS__2[[#This Row],[IVA]]</f>
        <v>857.14285714285711</v>
      </c>
      <c r="K844" s="7">
        <f t="shared" si="17"/>
        <v>24000</v>
      </c>
      <c r="L844" t="s">
        <v>237</v>
      </c>
    </row>
    <row r="845" spans="1:12" x14ac:dyDescent="0.35">
      <c r="A845" s="13">
        <v>45839</v>
      </c>
      <c r="B845" t="s">
        <v>309</v>
      </c>
      <c r="C845" t="s">
        <v>17</v>
      </c>
      <c r="E845" s="8">
        <v>9</v>
      </c>
      <c r="F845" s="1">
        <v>1166.6666666666667</v>
      </c>
      <c r="H845">
        <v>1</v>
      </c>
      <c r="J845" s="2">
        <f>+DATAIN_COMPRAS__2[[#This Row],[$/ UN NETO]]*DATAIN_COMPRAS__2[[#This Row],[IVA]]</f>
        <v>1166.6666666666667</v>
      </c>
      <c r="K845" s="7">
        <f t="shared" si="17"/>
        <v>10500</v>
      </c>
      <c r="L845" t="s">
        <v>158</v>
      </c>
    </row>
    <row r="846" spans="1:12" x14ac:dyDescent="0.35">
      <c r="A846" s="13">
        <v>45839</v>
      </c>
      <c r="B846" t="s">
        <v>309</v>
      </c>
      <c r="C846" t="s">
        <v>17</v>
      </c>
      <c r="E846" s="8">
        <v>9</v>
      </c>
      <c r="F846" s="1">
        <v>1166.6666666666667</v>
      </c>
      <c r="H846">
        <v>1</v>
      </c>
      <c r="J846" s="2">
        <f>+DATAIN_COMPRAS__2[[#This Row],[$/ UN NETO]]*DATAIN_COMPRAS__2[[#This Row],[IVA]]</f>
        <v>1166.6666666666667</v>
      </c>
      <c r="K846" s="7">
        <f t="shared" si="17"/>
        <v>10500</v>
      </c>
      <c r="L846" t="s">
        <v>237</v>
      </c>
    </row>
    <row r="847" spans="1:12" x14ac:dyDescent="0.35">
      <c r="A847" s="13">
        <v>45839</v>
      </c>
      <c r="B847" t="s">
        <v>309</v>
      </c>
      <c r="C847" t="s">
        <v>18</v>
      </c>
      <c r="E847" s="8">
        <v>5</v>
      </c>
      <c r="F847" s="1">
        <v>3000</v>
      </c>
      <c r="H847">
        <v>1</v>
      </c>
      <c r="J847" s="2">
        <f>+DATAIN_COMPRAS__2[[#This Row],[$/ UN NETO]]*DATAIN_COMPRAS__2[[#This Row],[IVA]]</f>
        <v>3000</v>
      </c>
      <c r="K847" s="7">
        <f t="shared" si="17"/>
        <v>15000</v>
      </c>
      <c r="L847" t="s">
        <v>237</v>
      </c>
    </row>
    <row r="848" spans="1:12" x14ac:dyDescent="0.35">
      <c r="A848" s="13">
        <v>45839</v>
      </c>
      <c r="B848" t="s">
        <v>80</v>
      </c>
      <c r="C848" t="s">
        <v>299</v>
      </c>
      <c r="E848" s="8">
        <v>2</v>
      </c>
      <c r="F848" s="1">
        <f>1300/DATAIN_COMPRAS__2[[#This Row],[IVA]]</f>
        <v>1074.3801652892562</v>
      </c>
      <c r="H848">
        <v>1.21</v>
      </c>
      <c r="J848" s="2">
        <f>+DATAIN_COMPRAS__2[[#This Row],[$/ UN NETO]]*DATAIN_COMPRAS__2[[#This Row],[IVA]]</f>
        <v>1300</v>
      </c>
      <c r="K848" s="7">
        <f t="shared" si="17"/>
        <v>2600</v>
      </c>
      <c r="L848" t="s">
        <v>158</v>
      </c>
    </row>
    <row r="849" spans="1:12" x14ac:dyDescent="0.35">
      <c r="A849" s="13">
        <v>45839</v>
      </c>
      <c r="B849" t="s">
        <v>80</v>
      </c>
      <c r="C849" t="s">
        <v>87</v>
      </c>
      <c r="E849" s="8">
        <v>1</v>
      </c>
      <c r="F849" s="1">
        <f>6000/DATAIN_COMPRAS__2[[#This Row],[IVA]]</f>
        <v>4958.6776859504134</v>
      </c>
      <c r="H849">
        <v>1.21</v>
      </c>
      <c r="J849" s="2">
        <f>+DATAIN_COMPRAS__2[[#This Row],[$/ UN NETO]]*DATAIN_COMPRAS__2[[#This Row],[IVA]]</f>
        <v>6000</v>
      </c>
      <c r="K849" s="7">
        <f t="shared" si="17"/>
        <v>6000</v>
      </c>
      <c r="L849" t="s">
        <v>158</v>
      </c>
    </row>
    <row r="850" spans="1:12" x14ac:dyDescent="0.35">
      <c r="A850" s="13">
        <v>45839</v>
      </c>
      <c r="B850" t="s">
        <v>80</v>
      </c>
      <c r="C850" t="s">
        <v>86</v>
      </c>
      <c r="E850" s="8">
        <v>30</v>
      </c>
      <c r="F850" s="1">
        <v>164.1</v>
      </c>
      <c r="H850">
        <v>1.21</v>
      </c>
      <c r="J850" s="2">
        <f>+DATAIN_COMPRAS__2[[#This Row],[$/ UN NETO]]*DATAIN_COMPRAS__2[[#This Row],[IVA]]</f>
        <v>198.56099999999998</v>
      </c>
      <c r="K850" s="7">
        <f t="shared" si="17"/>
        <v>5956.83</v>
      </c>
      <c r="L850" t="s">
        <v>237</v>
      </c>
    </row>
    <row r="851" spans="1:12" x14ac:dyDescent="0.35">
      <c r="A851" s="13">
        <v>45839</v>
      </c>
      <c r="B851" t="s">
        <v>80</v>
      </c>
      <c r="C851" t="s">
        <v>282</v>
      </c>
      <c r="E851" s="8">
        <v>24</v>
      </c>
      <c r="F851" s="1">
        <v>41.32</v>
      </c>
      <c r="H851">
        <v>1.21</v>
      </c>
      <c r="J851" s="2">
        <f>+DATAIN_COMPRAS__2[[#This Row],[$/ UN NETO]]*DATAIN_COMPRAS__2[[#This Row],[IVA]]</f>
        <v>49.997199999999999</v>
      </c>
      <c r="K851" s="7">
        <f t="shared" si="17"/>
        <v>1199.9328</v>
      </c>
      <c r="L851" t="s">
        <v>237</v>
      </c>
    </row>
    <row r="852" spans="1:12" x14ac:dyDescent="0.35">
      <c r="A852" s="13">
        <v>45839</v>
      </c>
      <c r="B852" t="s">
        <v>80</v>
      </c>
      <c r="C852" t="s">
        <v>226</v>
      </c>
      <c r="E852" s="8">
        <v>1</v>
      </c>
      <c r="F852" s="1">
        <f>7800/DATAIN_COMPRAS__2[[#This Row],[IVA]]</f>
        <v>6446.2809917355371</v>
      </c>
      <c r="H852">
        <v>1.21</v>
      </c>
      <c r="J852" s="2">
        <f>+DATAIN_COMPRAS__2[[#This Row],[$/ UN NETO]]*DATAIN_COMPRAS__2[[#This Row],[IVA]]</f>
        <v>7800</v>
      </c>
      <c r="K852" s="7">
        <f t="shared" si="17"/>
        <v>7800</v>
      </c>
      <c r="L852" t="s">
        <v>158</v>
      </c>
    </row>
    <row r="853" spans="1:12" x14ac:dyDescent="0.35">
      <c r="A853" s="13">
        <v>45839</v>
      </c>
      <c r="B853" t="s">
        <v>80</v>
      </c>
      <c r="C853" t="s">
        <v>336</v>
      </c>
      <c r="E853" s="8">
        <v>1</v>
      </c>
      <c r="F853" s="1">
        <v>826.45</v>
      </c>
      <c r="H853">
        <v>1.21</v>
      </c>
      <c r="J853" s="2">
        <f>+DATAIN_COMPRAS__2[[#This Row],[$/ UN NETO]]*DATAIN_COMPRAS__2[[#This Row],[IVA]]</f>
        <v>1000.0045</v>
      </c>
      <c r="K853" s="7">
        <f t="shared" si="17"/>
        <v>1000.0045</v>
      </c>
      <c r="L853" t="s">
        <v>237</v>
      </c>
    </row>
    <row r="854" spans="1:12" x14ac:dyDescent="0.35">
      <c r="A854" s="13">
        <v>45839</v>
      </c>
      <c r="B854" t="s">
        <v>80</v>
      </c>
      <c r="C854" t="s">
        <v>337</v>
      </c>
      <c r="E854" s="8">
        <v>2</v>
      </c>
      <c r="F854" s="1">
        <f>600/DATAIN_COMPRAS__2[[#This Row],[IVA]]</f>
        <v>495.86776859504135</v>
      </c>
      <c r="H854">
        <v>1.21</v>
      </c>
      <c r="J854" s="2">
        <f>+DATAIN_COMPRAS__2[[#This Row],[$/ UN NETO]]*DATAIN_COMPRAS__2[[#This Row],[IVA]]</f>
        <v>600</v>
      </c>
      <c r="K854" s="7">
        <f t="shared" si="17"/>
        <v>1200</v>
      </c>
      <c r="L854" t="s">
        <v>158</v>
      </c>
    </row>
    <row r="855" spans="1:12" x14ac:dyDescent="0.35">
      <c r="A855" s="13">
        <v>45839</v>
      </c>
      <c r="B855" t="s">
        <v>80</v>
      </c>
      <c r="C855" t="s">
        <v>94</v>
      </c>
      <c r="E855" s="8">
        <v>5</v>
      </c>
      <c r="F855" s="1">
        <v>1074.3800000000001</v>
      </c>
      <c r="H855">
        <v>1.21</v>
      </c>
      <c r="J855" s="2">
        <f>+DATAIN_COMPRAS__2[[#This Row],[$/ UN NETO]]*DATAIN_COMPRAS__2[[#This Row],[IVA]]</f>
        <v>1299.9998000000001</v>
      </c>
      <c r="K855" s="7">
        <f t="shared" si="17"/>
        <v>6499.9990000000007</v>
      </c>
      <c r="L855" t="s">
        <v>237</v>
      </c>
    </row>
    <row r="856" spans="1:12" x14ac:dyDescent="0.35">
      <c r="A856" s="13">
        <v>45839</v>
      </c>
      <c r="B856" t="s">
        <v>80</v>
      </c>
      <c r="C856" t="s">
        <v>303</v>
      </c>
      <c r="E856" s="8">
        <v>30</v>
      </c>
      <c r="F856" s="1">
        <v>181.82</v>
      </c>
      <c r="H856">
        <v>1.21</v>
      </c>
      <c r="J856" s="2">
        <f>+DATAIN_COMPRAS__2[[#This Row],[$/ UN NETO]]*DATAIN_COMPRAS__2[[#This Row],[IVA]]</f>
        <v>220.00219999999999</v>
      </c>
      <c r="K856" s="7">
        <f t="shared" si="17"/>
        <v>6600.0659999999989</v>
      </c>
      <c r="L856" t="s">
        <v>237</v>
      </c>
    </row>
    <row r="857" spans="1:12" x14ac:dyDescent="0.35">
      <c r="A857" s="13">
        <v>45839</v>
      </c>
      <c r="B857" t="s">
        <v>181</v>
      </c>
      <c r="C857" t="s">
        <v>335</v>
      </c>
      <c r="E857" s="8">
        <v>10</v>
      </c>
      <c r="F857" s="1">
        <v>652.89</v>
      </c>
      <c r="H857">
        <v>1.21</v>
      </c>
      <c r="J857" s="2">
        <f>+DATAIN_COMPRAS__2[[#This Row],[$/ UN NETO]]*DATAIN_COMPRAS__2[[#This Row],[IVA]]</f>
        <v>789.99689999999998</v>
      </c>
      <c r="K857" s="7">
        <f t="shared" si="17"/>
        <v>7899.9689999999991</v>
      </c>
      <c r="L857" t="s">
        <v>158</v>
      </c>
    </row>
    <row r="858" spans="1:12" x14ac:dyDescent="0.35">
      <c r="A858" s="13">
        <v>45839</v>
      </c>
      <c r="B858" t="s">
        <v>181</v>
      </c>
      <c r="C858" t="s">
        <v>334</v>
      </c>
      <c r="E858" s="8">
        <v>12</v>
      </c>
      <c r="F858" s="1">
        <v>1092.56</v>
      </c>
      <c r="H858">
        <v>1.21</v>
      </c>
      <c r="J858" s="2">
        <f>+DATAIN_COMPRAS__2[[#This Row],[$/ UN NETO]]*DATAIN_COMPRAS__2[[#This Row],[IVA]]</f>
        <v>1321.9975999999999</v>
      </c>
      <c r="K858" s="7">
        <f t="shared" si="17"/>
        <v>15863.971199999998</v>
      </c>
      <c r="L858" t="s">
        <v>237</v>
      </c>
    </row>
    <row r="859" spans="1:12" x14ac:dyDescent="0.35">
      <c r="A859" s="13">
        <v>45839</v>
      </c>
      <c r="B859" t="s">
        <v>181</v>
      </c>
      <c r="C859" t="s">
        <v>266</v>
      </c>
      <c r="E859" s="8">
        <f>4*5</f>
        <v>20</v>
      </c>
      <c r="F859" s="1">
        <f>49820.66/5</f>
        <v>9964.1320000000014</v>
      </c>
      <c r="H859">
        <v>1.21</v>
      </c>
      <c r="J859" s="2">
        <f>+DATAIN_COMPRAS__2[[#This Row],[$/ UN NETO]]*DATAIN_COMPRAS__2[[#This Row],[IVA]]</f>
        <v>12056.599720000002</v>
      </c>
      <c r="K859" s="7">
        <f t="shared" si="17"/>
        <v>241131.9944</v>
      </c>
      <c r="L859" t="s">
        <v>158</v>
      </c>
    </row>
    <row r="860" spans="1:12" x14ac:dyDescent="0.35">
      <c r="A860" s="13">
        <v>45839</v>
      </c>
      <c r="B860" t="s">
        <v>75</v>
      </c>
      <c r="C860" t="s">
        <v>76</v>
      </c>
      <c r="E860" s="8">
        <v>96</v>
      </c>
      <c r="F860" s="1">
        <v>1101.4100000000001</v>
      </c>
      <c r="H860">
        <v>1.21</v>
      </c>
      <c r="J860" s="2">
        <f>+DATAIN_COMPRAS__2[[#This Row],[$/ UN NETO]]*DATAIN_COMPRAS__2[[#This Row],[IVA]]</f>
        <v>1332.7061000000001</v>
      </c>
      <c r="K860" s="7">
        <f t="shared" si="17"/>
        <v>127939.78560000002</v>
      </c>
      <c r="L860" t="s">
        <v>237</v>
      </c>
    </row>
    <row r="861" spans="1:12" x14ac:dyDescent="0.35">
      <c r="A861" s="13">
        <v>45841</v>
      </c>
      <c r="B861" t="s">
        <v>256</v>
      </c>
      <c r="C861" t="s">
        <v>258</v>
      </c>
      <c r="E861" s="8">
        <v>5</v>
      </c>
      <c r="F861" s="1">
        <v>8992.2999999999993</v>
      </c>
      <c r="H861">
        <v>1.21</v>
      </c>
      <c r="J861" s="2">
        <f>+DATAIN_COMPRAS__2[[#This Row],[$/ UN NETO]]*DATAIN_COMPRAS__2[[#This Row],[IVA]]</f>
        <v>10880.682999999999</v>
      </c>
      <c r="K861" s="7">
        <f t="shared" si="17"/>
        <v>54403.415000000001</v>
      </c>
      <c r="L861" t="s">
        <v>237</v>
      </c>
    </row>
    <row r="862" spans="1:12" x14ac:dyDescent="0.35">
      <c r="A862" s="13">
        <v>45841</v>
      </c>
      <c r="B862" t="s">
        <v>256</v>
      </c>
      <c r="C862" t="s">
        <v>160</v>
      </c>
      <c r="E862" s="8">
        <v>5.69</v>
      </c>
      <c r="F862" s="1">
        <v>8625.0350999999991</v>
      </c>
      <c r="H862">
        <v>1.21</v>
      </c>
      <c r="J862" s="2">
        <f>+DATAIN_COMPRAS__2[[#This Row],[$/ UN NETO]]*DATAIN_COMPRAS__2[[#This Row],[IVA]]</f>
        <v>10436.292470999999</v>
      </c>
      <c r="K862" s="7">
        <f t="shared" si="17"/>
        <v>59382.504159989992</v>
      </c>
      <c r="L862" t="s">
        <v>158</v>
      </c>
    </row>
    <row r="863" spans="1:12" x14ac:dyDescent="0.35">
      <c r="A863" s="13">
        <v>45841</v>
      </c>
      <c r="B863" t="s">
        <v>256</v>
      </c>
      <c r="C863" t="s">
        <v>259</v>
      </c>
      <c r="E863" s="8">
        <v>10.08</v>
      </c>
      <c r="F863" s="1">
        <v>9163.5120000000006</v>
      </c>
      <c r="H863">
        <v>1.21</v>
      </c>
      <c r="J863" s="2">
        <f>+DATAIN_COMPRAS__2[[#This Row],[$/ UN NETO]]*DATAIN_COMPRAS__2[[#This Row],[IVA]]</f>
        <v>11087.84952</v>
      </c>
      <c r="K863" s="7">
        <f t="shared" si="17"/>
        <v>111765.52316159999</v>
      </c>
      <c r="L863" t="s">
        <v>237</v>
      </c>
    </row>
    <row r="864" spans="1:12" x14ac:dyDescent="0.35">
      <c r="A864" s="17">
        <v>45845</v>
      </c>
      <c r="B864" t="s">
        <v>134</v>
      </c>
      <c r="C864" t="s">
        <v>362</v>
      </c>
      <c r="E864" s="8">
        <v>100</v>
      </c>
      <c r="F864" s="1">
        <f>47164.62/100</f>
        <v>471.64620000000002</v>
      </c>
      <c r="H864">
        <v>1</v>
      </c>
      <c r="J864" s="2">
        <f>+DATAIN_COMPRAS__2[[#This Row],[$/ UN NETO]]*DATAIN_COMPRAS__2[[#This Row],[IVA]]</f>
        <v>471.64620000000002</v>
      </c>
      <c r="K864" s="7">
        <f t="shared" si="17"/>
        <v>47164.62</v>
      </c>
      <c r="L864" t="s">
        <v>158</v>
      </c>
    </row>
    <row r="865" spans="1:12" x14ac:dyDescent="0.35">
      <c r="A865" s="13">
        <v>45846</v>
      </c>
      <c r="B865" t="s">
        <v>48</v>
      </c>
      <c r="C865" t="s">
        <v>66</v>
      </c>
      <c r="E865" s="8">
        <v>5</v>
      </c>
      <c r="F865" s="1">
        <f>22987.8478/5</f>
        <v>4597.5695599999999</v>
      </c>
      <c r="H865">
        <v>1.21</v>
      </c>
      <c r="I865">
        <v>0.06</v>
      </c>
      <c r="J865" s="2">
        <f>+DATAIN_COMPRAS__2[[#This Row],[$/ UN NETO]]*DATAIN_COMPRAS__2[[#This Row],[IVA]]</f>
        <v>5563.0591675999995</v>
      </c>
      <c r="K865" s="7">
        <f t="shared" si="17"/>
        <v>26146.378087720001</v>
      </c>
      <c r="L865" t="s">
        <v>237</v>
      </c>
    </row>
    <row r="866" spans="1:12" x14ac:dyDescent="0.35">
      <c r="A866" s="13">
        <v>45846</v>
      </c>
      <c r="B866" t="s">
        <v>48</v>
      </c>
      <c r="C866" t="s">
        <v>57</v>
      </c>
      <c r="E866" s="8">
        <v>1</v>
      </c>
      <c r="F866" s="1">
        <v>1121.73</v>
      </c>
      <c r="H866">
        <v>1.21</v>
      </c>
      <c r="I866">
        <v>0.06</v>
      </c>
      <c r="J866" s="2">
        <f>+DATAIN_COMPRAS__2[[#This Row],[$/ UN NETO]]*DATAIN_COMPRAS__2[[#This Row],[IVA]]</f>
        <v>1357.2933</v>
      </c>
      <c r="K866" s="7">
        <f t="shared" si="17"/>
        <v>1275.8557019999998</v>
      </c>
      <c r="L866" t="s">
        <v>237</v>
      </c>
    </row>
    <row r="867" spans="1:12" x14ac:dyDescent="0.35">
      <c r="A867" s="13">
        <v>45846</v>
      </c>
      <c r="B867" t="s">
        <v>48</v>
      </c>
      <c r="C867" t="s">
        <v>61</v>
      </c>
      <c r="E867" s="8">
        <v>2</v>
      </c>
      <c r="F867" s="1">
        <v>910.75429999999994</v>
      </c>
      <c r="H867">
        <v>1.21</v>
      </c>
      <c r="I867">
        <v>0.06</v>
      </c>
      <c r="J867" s="2">
        <f>+DATAIN_COMPRAS__2[[#This Row],[$/ UN NETO]]*DATAIN_COMPRAS__2[[#This Row],[IVA]]</f>
        <v>1102.0127029999999</v>
      </c>
      <c r="K867" s="7">
        <f t="shared" ref="K867:K930" si="18">(E867*F867)*(1-I867)*(H867)</f>
        <v>2071.7838816399999</v>
      </c>
      <c r="L867" t="s">
        <v>237</v>
      </c>
    </row>
    <row r="868" spans="1:12" x14ac:dyDescent="0.35">
      <c r="A868" s="13">
        <v>45846</v>
      </c>
      <c r="B868" t="s">
        <v>48</v>
      </c>
      <c r="C868" t="s">
        <v>358</v>
      </c>
      <c r="E868" s="8">
        <v>2</v>
      </c>
      <c r="F868" s="1">
        <v>1506.7895000000001</v>
      </c>
      <c r="H868">
        <v>1.21</v>
      </c>
      <c r="J868" s="2">
        <f>+DATAIN_COMPRAS__2[[#This Row],[$/ UN NETO]]*DATAIN_COMPRAS__2[[#This Row],[IVA]]</f>
        <v>1823.215295</v>
      </c>
      <c r="K868" s="7">
        <f t="shared" si="18"/>
        <v>3646.4305899999999</v>
      </c>
      <c r="L868" t="s">
        <v>158</v>
      </c>
    </row>
    <row r="869" spans="1:12" x14ac:dyDescent="0.35">
      <c r="A869" s="13">
        <v>45846</v>
      </c>
      <c r="B869" t="s">
        <v>48</v>
      </c>
      <c r="C869" t="s">
        <v>55</v>
      </c>
      <c r="E869" s="8">
        <v>1</v>
      </c>
      <c r="F869" s="1">
        <v>879.9633</v>
      </c>
      <c r="H869">
        <v>1.21</v>
      </c>
      <c r="I869">
        <v>0.06</v>
      </c>
      <c r="J869" s="2">
        <f>+DATAIN_COMPRAS__2[[#This Row],[$/ UN NETO]]*DATAIN_COMPRAS__2[[#This Row],[IVA]]</f>
        <v>1064.7555929999999</v>
      </c>
      <c r="K869" s="7">
        <f t="shared" si="18"/>
        <v>1000.8702574199999</v>
      </c>
      <c r="L869" t="s">
        <v>237</v>
      </c>
    </row>
    <row r="870" spans="1:12" x14ac:dyDescent="0.35">
      <c r="A870" s="13">
        <v>45846</v>
      </c>
      <c r="B870" t="s">
        <v>48</v>
      </c>
      <c r="C870" t="s">
        <v>357</v>
      </c>
      <c r="E870" s="8">
        <v>1</v>
      </c>
      <c r="F870" s="1">
        <v>21059.0838</v>
      </c>
      <c r="H870">
        <v>1.21</v>
      </c>
      <c r="J870" s="2">
        <f>+DATAIN_COMPRAS__2[[#This Row],[$/ UN NETO]]*DATAIN_COMPRAS__2[[#This Row],[IVA]]</f>
        <v>25481.491397999998</v>
      </c>
      <c r="K870" s="7">
        <f t="shared" si="18"/>
        <v>25481.491397999998</v>
      </c>
      <c r="L870" t="s">
        <v>158</v>
      </c>
    </row>
    <row r="871" spans="1:12" x14ac:dyDescent="0.35">
      <c r="A871" s="13">
        <v>45846</v>
      </c>
      <c r="B871" t="s">
        <v>48</v>
      </c>
      <c r="C871" t="s">
        <v>321</v>
      </c>
      <c r="E871" s="8">
        <v>4</v>
      </c>
      <c r="F871" s="1">
        <v>2928.4427999999998</v>
      </c>
      <c r="H871">
        <v>1.21</v>
      </c>
      <c r="J871" s="2">
        <f>+DATAIN_COMPRAS__2[[#This Row],[$/ UN NETO]]*DATAIN_COMPRAS__2[[#This Row],[IVA]]</f>
        <v>3543.4157879999998</v>
      </c>
      <c r="K871" s="7">
        <f t="shared" si="18"/>
        <v>14173.663151999999</v>
      </c>
      <c r="L871" t="s">
        <v>158</v>
      </c>
    </row>
    <row r="872" spans="1:12" x14ac:dyDescent="0.35">
      <c r="A872" s="13">
        <v>45846</v>
      </c>
      <c r="B872" t="s">
        <v>48</v>
      </c>
      <c r="C872" t="s">
        <v>144</v>
      </c>
      <c r="E872" s="8">
        <v>1</v>
      </c>
      <c r="F872" s="1">
        <v>2757.0248000000001</v>
      </c>
      <c r="H872">
        <v>1.21</v>
      </c>
      <c r="I872">
        <v>0.06</v>
      </c>
      <c r="J872" s="2">
        <f>+DATAIN_COMPRAS__2[[#This Row],[$/ UN NETO]]*DATAIN_COMPRAS__2[[#This Row],[IVA]]</f>
        <v>3336.000008</v>
      </c>
      <c r="K872" s="7">
        <f t="shared" si="18"/>
        <v>3135.8400075200002</v>
      </c>
      <c r="L872" t="s">
        <v>237</v>
      </c>
    </row>
    <row r="873" spans="1:12" x14ac:dyDescent="0.35">
      <c r="A873" s="13">
        <v>45846</v>
      </c>
      <c r="B873" t="s">
        <v>48</v>
      </c>
      <c r="C873" t="s">
        <v>144</v>
      </c>
      <c r="E873" s="8">
        <v>2</v>
      </c>
      <c r="F873" s="1">
        <v>2757.0248000000001</v>
      </c>
      <c r="H873">
        <v>1.21</v>
      </c>
      <c r="J873" s="2">
        <f>+DATAIN_COMPRAS__2[[#This Row],[$/ UN NETO]]*DATAIN_COMPRAS__2[[#This Row],[IVA]]</f>
        <v>3336.000008</v>
      </c>
      <c r="K873" s="7">
        <f t="shared" si="18"/>
        <v>6672.000016</v>
      </c>
      <c r="L873" t="s">
        <v>158</v>
      </c>
    </row>
    <row r="874" spans="1:12" x14ac:dyDescent="0.35">
      <c r="A874" s="13">
        <v>45846</v>
      </c>
      <c r="B874" t="s">
        <v>48</v>
      </c>
      <c r="C874" t="s">
        <v>50</v>
      </c>
      <c r="E874" s="8">
        <v>2.5</v>
      </c>
      <c r="F874" s="1">
        <f>25337.0938/2.5</f>
        <v>10134.837519999999</v>
      </c>
      <c r="H874">
        <v>1.21</v>
      </c>
      <c r="I874">
        <v>0.06</v>
      </c>
      <c r="J874" s="2">
        <f>+DATAIN_COMPRAS__2[[#This Row],[$/ UN NETO]]*DATAIN_COMPRAS__2[[#This Row],[IVA]]</f>
        <v>12263.153399199999</v>
      </c>
      <c r="K874" s="7">
        <f t="shared" si="18"/>
        <v>28818.410488119996</v>
      </c>
      <c r="L874" t="s">
        <v>237</v>
      </c>
    </row>
    <row r="875" spans="1:12" x14ac:dyDescent="0.35">
      <c r="A875" s="13">
        <v>45846</v>
      </c>
      <c r="B875" t="s">
        <v>48</v>
      </c>
      <c r="C875" t="s">
        <v>70</v>
      </c>
      <c r="E875" s="8">
        <v>1</v>
      </c>
      <c r="F875" s="1">
        <v>6449.6</v>
      </c>
      <c r="H875">
        <v>1.21</v>
      </c>
      <c r="I875">
        <v>0.06</v>
      </c>
      <c r="J875" s="2">
        <f>+DATAIN_COMPRAS__2[[#This Row],[$/ UN NETO]]*DATAIN_COMPRAS__2[[#This Row],[IVA]]</f>
        <v>7804.0160000000005</v>
      </c>
      <c r="K875" s="7">
        <f t="shared" si="18"/>
        <v>7335.7750399999995</v>
      </c>
      <c r="L875" t="s">
        <v>237</v>
      </c>
    </row>
    <row r="876" spans="1:12" x14ac:dyDescent="0.35">
      <c r="A876" s="13">
        <v>45846</v>
      </c>
      <c r="B876" t="s">
        <v>48</v>
      </c>
      <c r="C876" t="s">
        <v>53</v>
      </c>
      <c r="E876" s="8">
        <v>2</v>
      </c>
      <c r="F876" s="1">
        <v>1039.5</v>
      </c>
      <c r="H876">
        <v>1.21</v>
      </c>
      <c r="J876" s="2">
        <f>+DATAIN_COMPRAS__2[[#This Row],[$/ UN NETO]]*DATAIN_COMPRAS__2[[#This Row],[IVA]]</f>
        <v>1257.7950000000001</v>
      </c>
      <c r="K876" s="7">
        <f t="shared" si="18"/>
        <v>2515.59</v>
      </c>
      <c r="L876" t="s">
        <v>237</v>
      </c>
    </row>
    <row r="877" spans="1:12" x14ac:dyDescent="0.35">
      <c r="A877" s="13">
        <v>45846</v>
      </c>
      <c r="B877" t="s">
        <v>48</v>
      </c>
      <c r="C877" t="s">
        <v>833</v>
      </c>
      <c r="E877" s="8">
        <v>7</v>
      </c>
      <c r="F877" s="1">
        <f>19208.0044/3.5</f>
        <v>5488.0012571428579</v>
      </c>
      <c r="H877">
        <v>1.21</v>
      </c>
      <c r="I877">
        <v>0.06</v>
      </c>
      <c r="J877" s="2">
        <f>+DATAIN_COMPRAS__2[[#This Row],[$/ UN NETO]]*DATAIN_COMPRAS__2[[#This Row],[IVA]]</f>
        <v>6640.4815211428577</v>
      </c>
      <c r="K877" s="7">
        <f t="shared" si="18"/>
        <v>43694.368409119998</v>
      </c>
      <c r="L877" t="s">
        <v>237</v>
      </c>
    </row>
    <row r="878" spans="1:12" x14ac:dyDescent="0.35">
      <c r="A878" s="13">
        <v>45846</v>
      </c>
      <c r="B878" t="s">
        <v>48</v>
      </c>
      <c r="C878" t="s">
        <v>248</v>
      </c>
      <c r="E878" s="8">
        <v>1</v>
      </c>
      <c r="F878" s="1">
        <v>780.12</v>
      </c>
      <c r="H878">
        <v>1.21</v>
      </c>
      <c r="J878" s="2">
        <f>+DATAIN_COMPRAS__2[[#This Row],[$/ UN NETO]]*DATAIN_COMPRAS__2[[#This Row],[IVA]]</f>
        <v>943.9452</v>
      </c>
      <c r="K878" s="7">
        <f t="shared" si="18"/>
        <v>943.9452</v>
      </c>
      <c r="L878" t="s">
        <v>237</v>
      </c>
    </row>
    <row r="879" spans="1:12" x14ac:dyDescent="0.35">
      <c r="A879" s="13">
        <v>45846</v>
      </c>
      <c r="B879" t="s">
        <v>48</v>
      </c>
      <c r="C879" t="s">
        <v>343</v>
      </c>
      <c r="E879" s="8">
        <v>1</v>
      </c>
      <c r="F879" s="1">
        <v>3727.5351999999998</v>
      </c>
      <c r="H879">
        <v>1.21</v>
      </c>
      <c r="I879">
        <v>0.06</v>
      </c>
      <c r="J879" s="2">
        <f>+DATAIN_COMPRAS__2[[#This Row],[$/ UN NETO]]*DATAIN_COMPRAS__2[[#This Row],[IVA]]</f>
        <v>4510.3175919999994</v>
      </c>
      <c r="K879" s="7">
        <f t="shared" si="18"/>
        <v>4239.6985364799993</v>
      </c>
      <c r="L879" t="s">
        <v>237</v>
      </c>
    </row>
    <row r="880" spans="1:12" x14ac:dyDescent="0.35">
      <c r="A880" s="13">
        <v>45846</v>
      </c>
      <c r="B880" t="s">
        <v>48</v>
      </c>
      <c r="C880" t="s">
        <v>54</v>
      </c>
      <c r="E880" s="8">
        <v>2</v>
      </c>
      <c r="F880" s="1">
        <v>793.46910000000003</v>
      </c>
      <c r="H880">
        <v>1.21</v>
      </c>
      <c r="I880">
        <v>0.06</v>
      </c>
      <c r="J880" s="2">
        <f>+DATAIN_COMPRAS__2[[#This Row],[$/ UN NETO]]*DATAIN_COMPRAS__2[[#This Row],[IVA]]</f>
        <v>960.09761100000003</v>
      </c>
      <c r="K880" s="7">
        <f t="shared" si="18"/>
        <v>1804.9835086799999</v>
      </c>
      <c r="L880" t="s">
        <v>237</v>
      </c>
    </row>
    <row r="881" spans="1:12" x14ac:dyDescent="0.35">
      <c r="A881" s="13">
        <v>45846</v>
      </c>
      <c r="B881" t="s">
        <v>174</v>
      </c>
      <c r="C881" t="s">
        <v>176</v>
      </c>
      <c r="E881" s="8">
        <v>6</v>
      </c>
      <c r="F881" s="1">
        <v>8371.9</v>
      </c>
      <c r="H881">
        <v>1.21</v>
      </c>
      <c r="J881" s="2">
        <f>+DATAIN_COMPRAS__2[[#This Row],[$/ UN NETO]]*DATAIN_COMPRAS__2[[#This Row],[IVA]]</f>
        <v>10129.999</v>
      </c>
      <c r="K881" s="7">
        <f t="shared" si="18"/>
        <v>60779.993999999992</v>
      </c>
      <c r="L881" t="s">
        <v>158</v>
      </c>
    </row>
    <row r="882" spans="1:12" x14ac:dyDescent="0.35">
      <c r="A882" s="13">
        <v>45846</v>
      </c>
      <c r="B882" t="s">
        <v>174</v>
      </c>
      <c r="C882" t="s">
        <v>175</v>
      </c>
      <c r="E882" s="8">
        <v>6</v>
      </c>
      <c r="F882" s="1">
        <v>8371.9</v>
      </c>
      <c r="H882">
        <v>1.21</v>
      </c>
      <c r="J882" s="2">
        <f>+DATAIN_COMPRAS__2[[#This Row],[$/ UN NETO]]*DATAIN_COMPRAS__2[[#This Row],[IVA]]</f>
        <v>10129.999</v>
      </c>
      <c r="K882" s="7">
        <f t="shared" si="18"/>
        <v>60779.993999999992</v>
      </c>
      <c r="L882" t="s">
        <v>158</v>
      </c>
    </row>
    <row r="883" spans="1:12" x14ac:dyDescent="0.35">
      <c r="A883" s="13">
        <v>45846</v>
      </c>
      <c r="B883" t="s">
        <v>174</v>
      </c>
      <c r="C883" t="s">
        <v>177</v>
      </c>
      <c r="E883" s="8">
        <v>1</v>
      </c>
      <c r="F883" s="1">
        <v>1214.8800000000001</v>
      </c>
      <c r="H883">
        <v>1.21</v>
      </c>
      <c r="J883" s="2">
        <f>+DATAIN_COMPRAS__2[[#This Row],[$/ UN NETO]]*DATAIN_COMPRAS__2[[#This Row],[IVA]]</f>
        <v>1470.0048000000002</v>
      </c>
      <c r="K883" s="7">
        <f t="shared" si="18"/>
        <v>1470.0048000000002</v>
      </c>
      <c r="L883" t="s">
        <v>158</v>
      </c>
    </row>
    <row r="884" spans="1:12" x14ac:dyDescent="0.35">
      <c r="A884" s="13">
        <v>45846</v>
      </c>
      <c r="B884" t="s">
        <v>174</v>
      </c>
      <c r="C884" t="s">
        <v>178</v>
      </c>
      <c r="E884" s="8">
        <v>10</v>
      </c>
      <c r="F884" s="1">
        <v>214.88</v>
      </c>
      <c r="H884">
        <v>1.21</v>
      </c>
      <c r="J884" s="2">
        <f>+DATAIN_COMPRAS__2[[#This Row],[$/ UN NETO]]*DATAIN_COMPRAS__2[[#This Row],[IVA]]</f>
        <v>260.00479999999999</v>
      </c>
      <c r="K884" s="7">
        <f t="shared" si="18"/>
        <v>2600.0480000000002</v>
      </c>
      <c r="L884" t="s">
        <v>158</v>
      </c>
    </row>
    <row r="885" spans="1:12" x14ac:dyDescent="0.35">
      <c r="A885" s="13">
        <v>45846</v>
      </c>
      <c r="B885" t="s">
        <v>80</v>
      </c>
      <c r="C885" t="s">
        <v>339</v>
      </c>
      <c r="E885" s="8">
        <v>1</v>
      </c>
      <c r="F885" s="1">
        <v>7438.02</v>
      </c>
      <c r="H885">
        <v>1.21</v>
      </c>
      <c r="J885" s="2">
        <f>+DATAIN_COMPRAS__2[[#This Row],[$/ UN NETO]]*DATAIN_COMPRAS__2[[#This Row],[IVA]]</f>
        <v>9000.0041999999994</v>
      </c>
      <c r="K885" s="7">
        <f t="shared" si="18"/>
        <v>9000.0041999999994</v>
      </c>
      <c r="L885" t="s">
        <v>237</v>
      </c>
    </row>
    <row r="886" spans="1:12" x14ac:dyDescent="0.35">
      <c r="A886" s="13">
        <v>45846</v>
      </c>
      <c r="B886" t="s">
        <v>80</v>
      </c>
      <c r="C886" t="s">
        <v>96</v>
      </c>
      <c r="E886" s="8">
        <v>30</v>
      </c>
      <c r="F886" s="1">
        <v>90.91</v>
      </c>
      <c r="H886">
        <v>1.21</v>
      </c>
      <c r="J886" s="2">
        <f>+DATAIN_COMPRAS__2[[#This Row],[$/ UN NETO]]*DATAIN_COMPRAS__2[[#This Row],[IVA]]</f>
        <v>110.00109999999999</v>
      </c>
      <c r="K886" s="7">
        <f t="shared" si="18"/>
        <v>3300.0329999999994</v>
      </c>
      <c r="L886" t="s">
        <v>237</v>
      </c>
    </row>
    <row r="887" spans="1:12" x14ac:dyDescent="0.35">
      <c r="A887" s="13">
        <v>45846</v>
      </c>
      <c r="B887" t="s">
        <v>80</v>
      </c>
      <c r="C887" t="s">
        <v>342</v>
      </c>
      <c r="E887" s="8">
        <v>1</v>
      </c>
      <c r="F887" s="1">
        <v>2592.56</v>
      </c>
      <c r="H887">
        <v>1.21</v>
      </c>
      <c r="J887" s="2">
        <f>+DATAIN_COMPRAS__2[[#This Row],[$/ UN NETO]]*DATAIN_COMPRAS__2[[#This Row],[IVA]]</f>
        <v>3136.9975999999997</v>
      </c>
      <c r="K887" s="7">
        <f t="shared" si="18"/>
        <v>3136.9975999999997</v>
      </c>
      <c r="L887" t="s">
        <v>158</v>
      </c>
    </row>
    <row r="888" spans="1:12" x14ac:dyDescent="0.35">
      <c r="A888" s="13">
        <v>45846</v>
      </c>
      <c r="B888" t="s">
        <v>80</v>
      </c>
      <c r="C888" t="s">
        <v>340</v>
      </c>
      <c r="E888" s="8">
        <v>1</v>
      </c>
      <c r="F888" s="1">
        <v>2396.69</v>
      </c>
      <c r="H888">
        <v>1.21</v>
      </c>
      <c r="J888" s="2">
        <f>+DATAIN_COMPRAS__2[[#This Row],[$/ UN NETO]]*DATAIN_COMPRAS__2[[#This Row],[IVA]]</f>
        <v>2899.9949000000001</v>
      </c>
      <c r="K888" s="7">
        <f t="shared" si="18"/>
        <v>2899.9949000000001</v>
      </c>
      <c r="L888" t="s">
        <v>237</v>
      </c>
    </row>
    <row r="889" spans="1:12" x14ac:dyDescent="0.35">
      <c r="A889" s="13">
        <v>45846</v>
      </c>
      <c r="B889" t="s">
        <v>80</v>
      </c>
      <c r="C889" t="s">
        <v>86</v>
      </c>
      <c r="E889" s="8">
        <v>30</v>
      </c>
      <c r="F889" s="1">
        <v>164.1</v>
      </c>
      <c r="H889">
        <v>1.21</v>
      </c>
      <c r="J889" s="2">
        <f>+DATAIN_COMPRAS__2[[#This Row],[$/ UN NETO]]*DATAIN_COMPRAS__2[[#This Row],[IVA]]</f>
        <v>198.56099999999998</v>
      </c>
      <c r="K889" s="7">
        <f t="shared" si="18"/>
        <v>5956.83</v>
      </c>
      <c r="L889" t="s">
        <v>237</v>
      </c>
    </row>
    <row r="890" spans="1:12" x14ac:dyDescent="0.35">
      <c r="A890" s="13">
        <v>45846</v>
      </c>
      <c r="B890" t="s">
        <v>80</v>
      </c>
      <c r="C890" t="s">
        <v>271</v>
      </c>
      <c r="E890" s="8">
        <v>5</v>
      </c>
      <c r="F890" s="1">
        <f>5950.41/5</f>
        <v>1190.0819999999999</v>
      </c>
      <c r="H890">
        <v>1.21</v>
      </c>
      <c r="J890" s="2">
        <f>+DATAIN_COMPRAS__2[[#This Row],[$/ UN NETO]]*DATAIN_COMPRAS__2[[#This Row],[IVA]]</f>
        <v>1439.9992199999999</v>
      </c>
      <c r="K890" s="7">
        <f t="shared" si="18"/>
        <v>7199.9960999999994</v>
      </c>
      <c r="L890" t="s">
        <v>237</v>
      </c>
    </row>
    <row r="891" spans="1:12" x14ac:dyDescent="0.35">
      <c r="A891" s="13">
        <v>45846</v>
      </c>
      <c r="B891" t="s">
        <v>80</v>
      </c>
      <c r="C891" t="s">
        <v>90</v>
      </c>
      <c r="E891" s="8">
        <v>1</v>
      </c>
      <c r="F891" s="1">
        <v>7851.24</v>
      </c>
      <c r="H891">
        <v>1.21</v>
      </c>
      <c r="J891" s="2">
        <f>+DATAIN_COMPRAS__2[[#This Row],[$/ UN NETO]]*DATAIN_COMPRAS__2[[#This Row],[IVA]]</f>
        <v>9500.000399999999</v>
      </c>
      <c r="K891" s="7">
        <f t="shared" si="18"/>
        <v>9500.000399999999</v>
      </c>
      <c r="L891" t="s">
        <v>158</v>
      </c>
    </row>
    <row r="892" spans="1:12" x14ac:dyDescent="0.35">
      <c r="A892" s="13">
        <v>45846</v>
      </c>
      <c r="B892" t="s">
        <v>80</v>
      </c>
      <c r="C892" t="s">
        <v>98</v>
      </c>
      <c r="E892" s="8">
        <v>1</v>
      </c>
      <c r="F892" s="1">
        <v>6859.5</v>
      </c>
      <c r="H892">
        <v>1.21</v>
      </c>
      <c r="J892" s="2">
        <f>+DATAIN_COMPRAS__2[[#This Row],[$/ UN NETO]]*DATAIN_COMPRAS__2[[#This Row],[IVA]]</f>
        <v>8299.994999999999</v>
      </c>
      <c r="K892" s="7">
        <f t="shared" si="18"/>
        <v>8299.994999999999</v>
      </c>
      <c r="L892" t="s">
        <v>158</v>
      </c>
    </row>
    <row r="893" spans="1:12" x14ac:dyDescent="0.35">
      <c r="A893" s="13">
        <v>45846</v>
      </c>
      <c r="B893" t="s">
        <v>80</v>
      </c>
      <c r="C893" t="s">
        <v>99</v>
      </c>
      <c r="E893" s="8">
        <v>1</v>
      </c>
      <c r="F893" s="1">
        <v>8264.4599999999991</v>
      </c>
      <c r="H893">
        <v>1.21</v>
      </c>
      <c r="J893" s="2">
        <f>+DATAIN_COMPRAS__2[[#This Row],[$/ UN NETO]]*DATAIN_COMPRAS__2[[#This Row],[IVA]]</f>
        <v>9999.9965999999986</v>
      </c>
      <c r="K893" s="7">
        <f t="shared" si="18"/>
        <v>9999.9965999999986</v>
      </c>
      <c r="L893" t="s">
        <v>158</v>
      </c>
    </row>
    <row r="894" spans="1:12" x14ac:dyDescent="0.35">
      <c r="A894" s="13">
        <v>45846</v>
      </c>
      <c r="B894" t="s">
        <v>80</v>
      </c>
      <c r="C894" t="s">
        <v>341</v>
      </c>
      <c r="E894" s="8">
        <v>30</v>
      </c>
      <c r="F894" s="1">
        <v>49.59</v>
      </c>
      <c r="H894">
        <v>1.21</v>
      </c>
      <c r="J894" s="2">
        <f>+DATAIN_COMPRAS__2[[#This Row],[$/ UN NETO]]*DATAIN_COMPRAS__2[[#This Row],[IVA]]</f>
        <v>60.003900000000002</v>
      </c>
      <c r="K894" s="7">
        <f t="shared" si="18"/>
        <v>1800.117</v>
      </c>
      <c r="L894" t="s">
        <v>237</v>
      </c>
    </row>
    <row r="895" spans="1:12" x14ac:dyDescent="0.35">
      <c r="A895" s="13">
        <v>45846</v>
      </c>
      <c r="B895" t="s">
        <v>80</v>
      </c>
      <c r="C895" t="s">
        <v>338</v>
      </c>
      <c r="E895" s="8">
        <v>30</v>
      </c>
      <c r="F895" s="1">
        <v>82.64</v>
      </c>
      <c r="H895">
        <v>1.21</v>
      </c>
      <c r="J895" s="2">
        <f>+DATAIN_COMPRAS__2[[#This Row],[$/ UN NETO]]*DATAIN_COMPRAS__2[[#This Row],[IVA]]</f>
        <v>99.994399999999999</v>
      </c>
      <c r="K895" s="7">
        <f t="shared" si="18"/>
        <v>2999.8319999999999</v>
      </c>
      <c r="L895" t="s">
        <v>237</v>
      </c>
    </row>
    <row r="896" spans="1:12" x14ac:dyDescent="0.35">
      <c r="A896" s="13">
        <v>45846</v>
      </c>
      <c r="B896" t="s">
        <v>181</v>
      </c>
      <c r="C896" t="str">
        <f>+UPPER("Crema Balde x 5Lt 44% MILKAUT")</f>
        <v>CREMA BALDE X 5LT 44% MILKAUT</v>
      </c>
      <c r="E896" s="8">
        <v>10</v>
      </c>
      <c r="F896" s="1">
        <f>37714.88/5</f>
        <v>7542.9759999999997</v>
      </c>
      <c r="H896">
        <v>1.21</v>
      </c>
      <c r="J896" s="2">
        <f>+DATAIN_COMPRAS__2[[#This Row],[$/ UN NETO]]*DATAIN_COMPRAS__2[[#This Row],[IVA]]</f>
        <v>9127.0009599999994</v>
      </c>
      <c r="K896" s="7">
        <f t="shared" si="18"/>
        <v>91270.00959999999</v>
      </c>
      <c r="L896" t="s">
        <v>158</v>
      </c>
    </row>
    <row r="897" spans="1:12" x14ac:dyDescent="0.35">
      <c r="A897" s="13">
        <v>45846</v>
      </c>
      <c r="B897" t="s">
        <v>181</v>
      </c>
      <c r="C897" t="s">
        <v>266</v>
      </c>
      <c r="E897" s="8">
        <f>11*5</f>
        <v>55</v>
      </c>
      <c r="F897">
        <f>56780.99/5</f>
        <v>11356.198</v>
      </c>
      <c r="H897">
        <v>1.21</v>
      </c>
      <c r="J897" s="2">
        <f>+DATAIN_COMPRAS__2[[#This Row],[$/ UN NETO]]*DATAIN_COMPRAS__2[[#This Row],[IVA]]</f>
        <v>13740.99958</v>
      </c>
      <c r="K897" s="7">
        <f t="shared" si="18"/>
        <v>755754.97690000001</v>
      </c>
      <c r="L897" t="s">
        <v>158</v>
      </c>
    </row>
    <row r="898" spans="1:12" x14ac:dyDescent="0.35">
      <c r="A898" s="13">
        <v>45846</v>
      </c>
      <c r="B898" t="s">
        <v>110</v>
      </c>
      <c r="C898" t="s">
        <v>111</v>
      </c>
      <c r="E898" s="8">
        <v>5</v>
      </c>
      <c r="F898" s="1">
        <v>1534.09</v>
      </c>
      <c r="H898">
        <v>1.21</v>
      </c>
      <c r="J898" s="2">
        <f>+DATAIN_COMPRAS__2[[#This Row],[$/ UN NETO]]*DATAIN_COMPRAS__2[[#This Row],[IVA]]</f>
        <v>1856.2488999999998</v>
      </c>
      <c r="K898" s="7">
        <f t="shared" si="18"/>
        <v>9281.2444999999989</v>
      </c>
      <c r="L898" t="s">
        <v>237</v>
      </c>
    </row>
    <row r="899" spans="1:12" x14ac:dyDescent="0.35">
      <c r="A899" s="13">
        <v>45846</v>
      </c>
      <c r="B899" t="s">
        <v>110</v>
      </c>
      <c r="C899" t="s">
        <v>164</v>
      </c>
      <c r="E899" s="8">
        <v>2</v>
      </c>
      <c r="F899" s="1">
        <v>4405</v>
      </c>
      <c r="H899">
        <v>1.21</v>
      </c>
      <c r="J899" s="2">
        <f>+DATAIN_COMPRAS__2[[#This Row],[$/ UN NETO]]*DATAIN_COMPRAS__2[[#This Row],[IVA]]</f>
        <v>5330.05</v>
      </c>
      <c r="K899" s="7">
        <f t="shared" si="18"/>
        <v>10660.1</v>
      </c>
      <c r="L899" t="s">
        <v>158</v>
      </c>
    </row>
    <row r="900" spans="1:12" x14ac:dyDescent="0.35">
      <c r="A900" s="13">
        <v>45846</v>
      </c>
      <c r="B900" t="s">
        <v>71</v>
      </c>
      <c r="C900" t="s">
        <v>224</v>
      </c>
      <c r="E900" s="8">
        <v>2</v>
      </c>
      <c r="F900" s="1">
        <v>3819.83</v>
      </c>
      <c r="H900">
        <v>1.21</v>
      </c>
      <c r="J900" s="2">
        <f>+DATAIN_COMPRAS__2[[#This Row],[$/ UN NETO]]*DATAIN_COMPRAS__2[[#This Row],[IVA]]</f>
        <v>4621.9942999999994</v>
      </c>
      <c r="K900" s="7">
        <f t="shared" si="18"/>
        <v>9243.9885999999988</v>
      </c>
      <c r="L900" t="s">
        <v>237</v>
      </c>
    </row>
    <row r="901" spans="1:12" x14ac:dyDescent="0.35">
      <c r="A901" s="13">
        <v>45846</v>
      </c>
      <c r="B901" t="s">
        <v>71</v>
      </c>
      <c r="C901" t="s">
        <v>74</v>
      </c>
      <c r="E901" s="8">
        <v>2</v>
      </c>
      <c r="F901" s="1">
        <v>6031.4</v>
      </c>
      <c r="H901">
        <v>1.21</v>
      </c>
      <c r="J901" s="2">
        <f>+DATAIN_COMPRAS__2[[#This Row],[$/ UN NETO]]*DATAIN_COMPRAS__2[[#This Row],[IVA]]</f>
        <v>7297.9939999999997</v>
      </c>
      <c r="K901" s="7">
        <f t="shared" si="18"/>
        <v>14595.987999999999</v>
      </c>
      <c r="L901" t="s">
        <v>237</v>
      </c>
    </row>
    <row r="902" spans="1:12" x14ac:dyDescent="0.35">
      <c r="A902" s="13">
        <v>45846</v>
      </c>
      <c r="B902" t="s">
        <v>12</v>
      </c>
      <c r="C902" t="s">
        <v>27</v>
      </c>
      <c r="E902" s="8">
        <v>2</v>
      </c>
      <c r="F902" s="1">
        <f>1400/DATAIN_COMPRAS__2[[#This Row],[IVA]]</f>
        <v>1266.9683257918552</v>
      </c>
      <c r="H902">
        <v>1.105</v>
      </c>
      <c r="J902" s="2">
        <f>+DATAIN_COMPRAS__2[[#This Row],[$/ UN NETO]]*DATAIN_COMPRAS__2[[#This Row],[IVA]]</f>
        <v>1400</v>
      </c>
      <c r="K902" s="7">
        <f t="shared" si="18"/>
        <v>2800</v>
      </c>
      <c r="L902" t="s">
        <v>237</v>
      </c>
    </row>
    <row r="903" spans="1:12" x14ac:dyDescent="0.35">
      <c r="A903" s="13">
        <v>45846</v>
      </c>
      <c r="B903" t="s">
        <v>12</v>
      </c>
      <c r="C903" t="s">
        <v>26</v>
      </c>
      <c r="E903" s="8">
        <v>3</v>
      </c>
      <c r="F903" s="1">
        <f>1500/DATAIN_COMPRAS__2[[#This Row],[IVA]]</f>
        <v>1357.4660633484164</v>
      </c>
      <c r="H903">
        <v>1.105</v>
      </c>
      <c r="J903" s="2">
        <f>+DATAIN_COMPRAS__2[[#This Row],[$/ UN NETO]]*DATAIN_COMPRAS__2[[#This Row],[IVA]]</f>
        <v>1500</v>
      </c>
      <c r="K903" s="7">
        <f t="shared" si="18"/>
        <v>4500</v>
      </c>
      <c r="L903" t="s">
        <v>237</v>
      </c>
    </row>
    <row r="904" spans="1:12" x14ac:dyDescent="0.35">
      <c r="A904" s="13">
        <v>45846</v>
      </c>
      <c r="B904" t="s">
        <v>12</v>
      </c>
      <c r="C904" t="s">
        <v>23</v>
      </c>
      <c r="E904" s="8">
        <v>0.5</v>
      </c>
      <c r="F904" s="1">
        <f>11500/DATAIN_COMPRAS__2[[#This Row],[IVA]]</f>
        <v>10407.239819004524</v>
      </c>
      <c r="H904">
        <v>1.105</v>
      </c>
      <c r="J904" s="2">
        <f>+DATAIN_COMPRAS__2[[#This Row],[$/ UN NETO]]*DATAIN_COMPRAS__2[[#This Row],[IVA]]</f>
        <v>11499.999999999998</v>
      </c>
      <c r="K904" s="7">
        <f t="shared" si="18"/>
        <v>5749.9999999999991</v>
      </c>
      <c r="L904" t="s">
        <v>237</v>
      </c>
    </row>
    <row r="905" spans="1:12" x14ac:dyDescent="0.35">
      <c r="A905" s="13">
        <v>45846</v>
      </c>
      <c r="B905" t="s">
        <v>12</v>
      </c>
      <c r="C905" t="s">
        <v>25</v>
      </c>
      <c r="E905" s="8">
        <v>1</v>
      </c>
      <c r="F905" s="1">
        <f>5300/DATAIN_COMPRAS__2[[#This Row],[IVA]]</f>
        <v>4796.3800904977379</v>
      </c>
      <c r="H905">
        <v>1.105</v>
      </c>
      <c r="J905" s="2">
        <f>+DATAIN_COMPRAS__2[[#This Row],[$/ UN NETO]]*DATAIN_COMPRAS__2[[#This Row],[IVA]]</f>
        <v>5300</v>
      </c>
      <c r="K905" s="7">
        <f t="shared" si="18"/>
        <v>5300</v>
      </c>
      <c r="L905" t="s">
        <v>237</v>
      </c>
    </row>
    <row r="906" spans="1:12" x14ac:dyDescent="0.35">
      <c r="A906" s="13">
        <v>45846</v>
      </c>
      <c r="B906" t="s">
        <v>12</v>
      </c>
      <c r="C906" t="s">
        <v>29</v>
      </c>
      <c r="E906" s="8">
        <v>1</v>
      </c>
      <c r="F906" s="1">
        <f>900/DATAIN_COMPRAS__2[[#This Row],[IVA]]</f>
        <v>814.47963800904984</v>
      </c>
      <c r="H906">
        <v>1.105</v>
      </c>
      <c r="J906" s="2">
        <f>+DATAIN_COMPRAS__2[[#This Row],[$/ UN NETO]]*DATAIN_COMPRAS__2[[#This Row],[IVA]]</f>
        <v>900</v>
      </c>
      <c r="K906" s="7">
        <f t="shared" si="18"/>
        <v>900</v>
      </c>
      <c r="L906" t="s">
        <v>237</v>
      </c>
    </row>
    <row r="907" spans="1:12" x14ac:dyDescent="0.35">
      <c r="A907" s="13">
        <v>45846</v>
      </c>
      <c r="B907" t="s">
        <v>12</v>
      </c>
      <c r="C907" t="s">
        <v>28</v>
      </c>
      <c r="E907" s="8">
        <v>1</v>
      </c>
      <c r="F907" s="1">
        <f>1800/DATAIN_COMPRAS__2[[#This Row],[IVA]]</f>
        <v>1628.9592760180997</v>
      </c>
      <c r="H907">
        <v>1.105</v>
      </c>
      <c r="J907" s="2">
        <f>+DATAIN_COMPRAS__2[[#This Row],[$/ UN NETO]]*DATAIN_COMPRAS__2[[#This Row],[IVA]]</f>
        <v>1800</v>
      </c>
      <c r="K907" s="7">
        <f t="shared" si="18"/>
        <v>1800</v>
      </c>
      <c r="L907" t="s">
        <v>237</v>
      </c>
    </row>
    <row r="908" spans="1:12" x14ac:dyDescent="0.35">
      <c r="A908" s="13">
        <v>45846</v>
      </c>
      <c r="B908" t="s">
        <v>12</v>
      </c>
      <c r="C908" t="s">
        <v>20</v>
      </c>
      <c r="E908" s="8">
        <v>1</v>
      </c>
      <c r="F908" s="1">
        <f>1200/DATAIN_COMPRAS__2[[#This Row],[IVA]]</f>
        <v>1085.972850678733</v>
      </c>
      <c r="H908">
        <v>1.105</v>
      </c>
      <c r="J908" s="2">
        <f>+DATAIN_COMPRAS__2[[#This Row],[$/ UN NETO]]*DATAIN_COMPRAS__2[[#This Row],[IVA]]</f>
        <v>1200</v>
      </c>
      <c r="K908" s="7">
        <f t="shared" si="18"/>
        <v>1200</v>
      </c>
      <c r="L908" t="s">
        <v>237</v>
      </c>
    </row>
    <row r="909" spans="1:12" x14ac:dyDescent="0.35">
      <c r="A909" s="13">
        <v>45846</v>
      </c>
      <c r="B909" t="s">
        <v>12</v>
      </c>
      <c r="C909" t="s">
        <v>30</v>
      </c>
      <c r="E909" s="8">
        <v>2</v>
      </c>
      <c r="F909" s="1">
        <f>1300/DATAIN_COMPRAS__2[[#This Row],[IVA]]</f>
        <v>1176.4705882352941</v>
      </c>
      <c r="H909">
        <v>1.105</v>
      </c>
      <c r="J909" s="2">
        <f>+DATAIN_COMPRAS__2[[#This Row],[$/ UN NETO]]*DATAIN_COMPRAS__2[[#This Row],[IVA]]</f>
        <v>1300</v>
      </c>
      <c r="K909" s="7">
        <f t="shared" si="18"/>
        <v>2600</v>
      </c>
      <c r="L909" t="s">
        <v>158</v>
      </c>
    </row>
    <row r="910" spans="1:12" x14ac:dyDescent="0.35">
      <c r="A910" s="13">
        <v>45846</v>
      </c>
      <c r="B910" t="s">
        <v>12</v>
      </c>
      <c r="C910" t="s">
        <v>30</v>
      </c>
      <c r="E910" s="8">
        <v>6</v>
      </c>
      <c r="F910" s="1">
        <f>1300/DATAIN_COMPRAS__2[[#This Row],[IVA]]</f>
        <v>1176.4705882352941</v>
      </c>
      <c r="H910">
        <v>1.105</v>
      </c>
      <c r="J910" s="2">
        <f>+DATAIN_COMPRAS__2[[#This Row],[$/ UN NETO]]*DATAIN_COMPRAS__2[[#This Row],[IVA]]</f>
        <v>1300</v>
      </c>
      <c r="K910" s="7">
        <f t="shared" si="18"/>
        <v>7800</v>
      </c>
      <c r="L910" t="s">
        <v>237</v>
      </c>
    </row>
    <row r="911" spans="1:12" x14ac:dyDescent="0.35">
      <c r="A911" s="13">
        <v>45848</v>
      </c>
      <c r="B911" t="s">
        <v>124</v>
      </c>
      <c r="C911" t="s">
        <v>125</v>
      </c>
      <c r="E911" s="8">
        <v>6</v>
      </c>
      <c r="F911" s="1">
        <v>39000</v>
      </c>
      <c r="H911">
        <v>1</v>
      </c>
      <c r="J911" s="2">
        <f>+DATAIN_COMPRAS__2[[#This Row],[$/ UN NETO]]*DATAIN_COMPRAS__2[[#This Row],[IVA]]</f>
        <v>39000</v>
      </c>
      <c r="K911" s="7">
        <f t="shared" si="18"/>
        <v>234000</v>
      </c>
      <c r="L911" t="s">
        <v>237</v>
      </c>
    </row>
    <row r="912" spans="1:12" x14ac:dyDescent="0.35">
      <c r="A912" s="13">
        <v>45848</v>
      </c>
      <c r="B912" t="s">
        <v>124</v>
      </c>
      <c r="C912" t="s">
        <v>126</v>
      </c>
      <c r="E912" s="8">
        <v>5</v>
      </c>
      <c r="F912" s="1">
        <f>+(16500+16000+16000+16500+17500)/5</f>
        <v>16500</v>
      </c>
      <c r="H912">
        <v>1</v>
      </c>
      <c r="J912" s="2">
        <f>+DATAIN_COMPRAS__2[[#This Row],[$/ UN NETO]]*DATAIN_COMPRAS__2[[#This Row],[IVA]]</f>
        <v>16500</v>
      </c>
      <c r="K912" s="7">
        <f t="shared" si="18"/>
        <v>82500</v>
      </c>
      <c r="L912" t="s">
        <v>237</v>
      </c>
    </row>
    <row r="913" spans="1:12" x14ac:dyDescent="0.35">
      <c r="A913" s="13">
        <v>45848</v>
      </c>
      <c r="B913" t="s">
        <v>256</v>
      </c>
      <c r="C913" t="s">
        <v>258</v>
      </c>
      <c r="E913" s="8">
        <v>5.05</v>
      </c>
      <c r="F913" s="1">
        <v>8992.2999999999993</v>
      </c>
      <c r="H913">
        <v>1.21</v>
      </c>
      <c r="J913" s="2">
        <f>+DATAIN_COMPRAS__2[[#This Row],[$/ UN NETO]]*DATAIN_COMPRAS__2[[#This Row],[IVA]]</f>
        <v>10880.682999999999</v>
      </c>
      <c r="K913" s="7">
        <f t="shared" si="18"/>
        <v>54947.449149999993</v>
      </c>
      <c r="L913" t="s">
        <v>237</v>
      </c>
    </row>
    <row r="914" spans="1:12" x14ac:dyDescent="0.35">
      <c r="A914" s="13">
        <v>45848</v>
      </c>
      <c r="B914" t="s">
        <v>256</v>
      </c>
      <c r="C914" t="s">
        <v>254</v>
      </c>
      <c r="E914" s="8">
        <v>5.86</v>
      </c>
      <c r="F914" s="1">
        <v>8625.0350999999991</v>
      </c>
      <c r="H914">
        <v>1.21</v>
      </c>
      <c r="J914" s="2">
        <f>+DATAIN_COMPRAS__2[[#This Row],[$/ UN NETO]]*DATAIN_COMPRAS__2[[#This Row],[IVA]]</f>
        <v>10436.292470999999</v>
      </c>
      <c r="K914" s="7">
        <f t="shared" si="18"/>
        <v>61156.67388006</v>
      </c>
      <c r="L914" t="s">
        <v>158</v>
      </c>
    </row>
    <row r="915" spans="1:12" x14ac:dyDescent="0.35">
      <c r="A915" s="13">
        <v>45848</v>
      </c>
      <c r="B915" t="s">
        <v>256</v>
      </c>
      <c r="C915" t="s">
        <v>259</v>
      </c>
      <c r="E915" s="8">
        <v>10.01</v>
      </c>
      <c r="F915" s="1">
        <v>9163.5120000000006</v>
      </c>
      <c r="H915">
        <v>1.21</v>
      </c>
      <c r="J915" s="2">
        <f>+DATAIN_COMPRAS__2[[#This Row],[$/ UN NETO]]*DATAIN_COMPRAS__2[[#This Row],[IVA]]</f>
        <v>11087.84952</v>
      </c>
      <c r="K915" s="7">
        <f t="shared" si="18"/>
        <v>110989.3736952</v>
      </c>
      <c r="L915" t="s">
        <v>237</v>
      </c>
    </row>
    <row r="916" spans="1:12" x14ac:dyDescent="0.35">
      <c r="A916" s="13">
        <v>45848</v>
      </c>
      <c r="B916" t="s">
        <v>313</v>
      </c>
      <c r="C916" t="s">
        <v>103</v>
      </c>
      <c r="E916" s="8">
        <v>360</v>
      </c>
      <c r="F916" s="1">
        <f>66000/360</f>
        <v>183.33333333333334</v>
      </c>
      <c r="H916">
        <v>1</v>
      </c>
      <c r="J916" s="2">
        <f>+DATAIN_COMPRAS__2[[#This Row],[$/ UN NETO]]*DATAIN_COMPRAS__2[[#This Row],[IVA]]</f>
        <v>183.33333333333334</v>
      </c>
      <c r="K916" s="7">
        <f t="shared" si="18"/>
        <v>66000</v>
      </c>
      <c r="L916" t="s">
        <v>237</v>
      </c>
    </row>
    <row r="917" spans="1:12" x14ac:dyDescent="0.35">
      <c r="A917" s="13">
        <v>45848</v>
      </c>
      <c r="B917" t="s">
        <v>179</v>
      </c>
      <c r="C917" t="s">
        <v>163</v>
      </c>
      <c r="E917" s="8">
        <v>10</v>
      </c>
      <c r="F917" s="1">
        <f>13501.472/10</f>
        <v>1350.1471999999999</v>
      </c>
      <c r="H917">
        <v>1.21</v>
      </c>
      <c r="I917">
        <v>0.03</v>
      </c>
      <c r="J917" s="2">
        <f>+DATAIN_COMPRAS__2[[#This Row],[$/ UN NETO]]*DATAIN_COMPRAS__2[[#This Row],[IVA]]</f>
        <v>1633.6781119999998</v>
      </c>
      <c r="K917" s="7">
        <f t="shared" si="18"/>
        <v>15846.677686399998</v>
      </c>
      <c r="L917" t="s">
        <v>158</v>
      </c>
    </row>
    <row r="918" spans="1:12" x14ac:dyDescent="0.35">
      <c r="A918" s="13">
        <v>45848</v>
      </c>
      <c r="B918" t="s">
        <v>179</v>
      </c>
      <c r="C918" t="s">
        <v>180</v>
      </c>
      <c r="E918" s="8">
        <v>10</v>
      </c>
      <c r="F918" s="1">
        <f>32622.48/10</f>
        <v>3262.248</v>
      </c>
      <c r="H918">
        <v>1.21</v>
      </c>
      <c r="I918">
        <v>0.03</v>
      </c>
      <c r="J918" s="2">
        <f>+DATAIN_COMPRAS__2[[#This Row],[$/ UN NETO]]*DATAIN_COMPRAS__2[[#This Row],[IVA]]</f>
        <v>3947.32008</v>
      </c>
      <c r="K918" s="7">
        <f t="shared" si="18"/>
        <v>38289.004776000002</v>
      </c>
      <c r="L918" t="s">
        <v>158</v>
      </c>
    </row>
    <row r="919" spans="1:12" x14ac:dyDescent="0.35">
      <c r="A919" s="13">
        <v>45849</v>
      </c>
      <c r="B919" t="s">
        <v>104</v>
      </c>
      <c r="C919" t="s">
        <v>108</v>
      </c>
      <c r="E919" s="8">
        <v>1</v>
      </c>
      <c r="F919" s="1">
        <v>9300</v>
      </c>
      <c r="H919">
        <v>1</v>
      </c>
      <c r="J919" s="2">
        <f>+DATAIN_COMPRAS__2[[#This Row],[$/ UN NETO]]*DATAIN_COMPRAS__2[[#This Row],[IVA]]</f>
        <v>9300</v>
      </c>
      <c r="K919" s="7">
        <f t="shared" si="18"/>
        <v>9300</v>
      </c>
      <c r="L919" t="s">
        <v>158</v>
      </c>
    </row>
    <row r="920" spans="1:12" x14ac:dyDescent="0.35">
      <c r="A920" s="13">
        <v>45849</v>
      </c>
      <c r="B920" t="s">
        <v>104</v>
      </c>
      <c r="C920" s="14" t="s">
        <v>105</v>
      </c>
      <c r="E920" s="8">
        <v>2</v>
      </c>
      <c r="F920" s="1">
        <v>10260</v>
      </c>
      <c r="H920">
        <v>1</v>
      </c>
      <c r="J920" s="2">
        <f>+DATAIN_COMPRAS__2[[#This Row],[$/ UN NETO]]*DATAIN_COMPRAS__2[[#This Row],[IVA]]</f>
        <v>10260</v>
      </c>
      <c r="K920" s="7">
        <f t="shared" si="18"/>
        <v>20520</v>
      </c>
      <c r="L920" t="s">
        <v>237</v>
      </c>
    </row>
    <row r="921" spans="1:12" x14ac:dyDescent="0.35">
      <c r="A921" s="13">
        <v>45850</v>
      </c>
      <c r="B921" t="s">
        <v>48</v>
      </c>
      <c r="C921" t="s">
        <v>73</v>
      </c>
      <c r="E921" s="8">
        <v>1.68</v>
      </c>
      <c r="F921" s="1">
        <v>15165.143</v>
      </c>
      <c r="H921">
        <v>1.21</v>
      </c>
      <c r="I921">
        <v>0.06</v>
      </c>
      <c r="J921" s="2">
        <f>+DATAIN_COMPRAS__2[[#This Row],[$/ UN NETO]]*DATAIN_COMPRAS__2[[#This Row],[IVA]]</f>
        <v>18349.82303</v>
      </c>
      <c r="K921" s="7">
        <f t="shared" si="18"/>
        <v>28978.040528975998</v>
      </c>
      <c r="L921" t="s">
        <v>237</v>
      </c>
    </row>
    <row r="922" spans="1:12" x14ac:dyDescent="0.35">
      <c r="A922" s="13">
        <v>45850</v>
      </c>
      <c r="B922" t="s">
        <v>48</v>
      </c>
      <c r="C922" t="s">
        <v>76</v>
      </c>
      <c r="E922" s="8">
        <v>24</v>
      </c>
      <c r="F922" s="1">
        <f>16678.65/12</f>
        <v>1389.8875</v>
      </c>
      <c r="H922">
        <v>1.21</v>
      </c>
      <c r="J922" s="2">
        <f>+DATAIN_COMPRAS__2[[#This Row],[$/ UN NETO]]*DATAIN_COMPRAS__2[[#This Row],[IVA]]</f>
        <v>1681.7638750000001</v>
      </c>
      <c r="K922" s="7">
        <f t="shared" si="18"/>
        <v>40362.332999999999</v>
      </c>
      <c r="L922" t="s">
        <v>237</v>
      </c>
    </row>
    <row r="923" spans="1:12" x14ac:dyDescent="0.35">
      <c r="A923" s="13">
        <v>45853</v>
      </c>
      <c r="B923" t="s">
        <v>185</v>
      </c>
      <c r="C923" t="s">
        <v>187</v>
      </c>
      <c r="E923" s="8">
        <f>5*25</f>
        <v>125</v>
      </c>
      <c r="F923" s="1">
        <f>979.44/DATAIN_COMPRAS__2[[#This Row],[IVA]]</f>
        <v>979.44</v>
      </c>
      <c r="H923">
        <v>1</v>
      </c>
      <c r="J923" s="2">
        <f>+DATAIN_COMPRAS__2[[#This Row],[$/ UN NETO]]*DATAIN_COMPRAS__2[[#This Row],[IVA]]</f>
        <v>979.44</v>
      </c>
      <c r="K923" s="7">
        <f t="shared" si="18"/>
        <v>122430</v>
      </c>
      <c r="L923" t="s">
        <v>158</v>
      </c>
    </row>
    <row r="924" spans="1:12" x14ac:dyDescent="0.35">
      <c r="A924" s="13">
        <v>45853</v>
      </c>
      <c r="B924" t="s">
        <v>185</v>
      </c>
      <c r="C924" t="s">
        <v>186</v>
      </c>
      <c r="E924" s="8">
        <f>2*25</f>
        <v>50</v>
      </c>
      <c r="F924" s="1">
        <f>1034.64/DATAIN_COMPRAS__2[[#This Row],[IVA]]</f>
        <v>1034.6400000000001</v>
      </c>
      <c r="H924">
        <v>1</v>
      </c>
      <c r="J924" s="2">
        <f>+DATAIN_COMPRAS__2[[#This Row],[$/ UN NETO]]*DATAIN_COMPRAS__2[[#This Row],[IVA]]</f>
        <v>1034.6400000000001</v>
      </c>
      <c r="K924" s="7">
        <f t="shared" si="18"/>
        <v>51732.000000000007</v>
      </c>
      <c r="L924" t="s">
        <v>158</v>
      </c>
    </row>
    <row r="925" spans="1:12" x14ac:dyDescent="0.35">
      <c r="A925" s="13">
        <v>45853</v>
      </c>
      <c r="B925" t="s">
        <v>48</v>
      </c>
      <c r="C925" t="s">
        <v>66</v>
      </c>
      <c r="E925" s="8">
        <v>5</v>
      </c>
      <c r="F925" s="1">
        <f>22989.2/5</f>
        <v>4597.84</v>
      </c>
      <c r="H925">
        <v>1.21</v>
      </c>
      <c r="I925">
        <v>0.06</v>
      </c>
      <c r="J925" s="2">
        <f>+DATAIN_COMPRAS__2[[#This Row],[$/ UN NETO]]*DATAIN_COMPRAS__2[[#This Row],[IVA]]</f>
        <v>5563.3864000000003</v>
      </c>
      <c r="K925" s="7">
        <f t="shared" si="18"/>
        <v>26147.916079999995</v>
      </c>
      <c r="L925" t="s">
        <v>158</v>
      </c>
    </row>
    <row r="926" spans="1:12" x14ac:dyDescent="0.35">
      <c r="A926" s="13">
        <v>45853</v>
      </c>
      <c r="B926" t="s">
        <v>48</v>
      </c>
      <c r="C926" t="s">
        <v>55</v>
      </c>
      <c r="E926" s="8">
        <v>1</v>
      </c>
      <c r="F926" s="1">
        <v>874.9633</v>
      </c>
      <c r="H926">
        <v>1.21</v>
      </c>
      <c r="I926">
        <v>0.06</v>
      </c>
      <c r="J926" s="2">
        <f>+DATAIN_COMPRAS__2[[#This Row],[$/ UN NETO]]*DATAIN_COMPRAS__2[[#This Row],[IVA]]</f>
        <v>1058.7055929999999</v>
      </c>
      <c r="K926" s="7">
        <f t="shared" si="18"/>
        <v>995.1832574199999</v>
      </c>
      <c r="L926" t="s">
        <v>237</v>
      </c>
    </row>
    <row r="927" spans="1:12" x14ac:dyDescent="0.35">
      <c r="A927" s="13">
        <v>45853</v>
      </c>
      <c r="B927" t="s">
        <v>48</v>
      </c>
      <c r="C927" t="s">
        <v>58</v>
      </c>
      <c r="E927" s="8">
        <v>6</v>
      </c>
      <c r="F927" s="1">
        <v>3660.3333333333335</v>
      </c>
      <c r="H927">
        <v>1.21</v>
      </c>
      <c r="I927">
        <v>0.06</v>
      </c>
      <c r="J927" s="2">
        <f>+DATAIN_COMPRAS__2[[#This Row],[$/ UN NETO]]*DATAIN_COMPRAS__2[[#This Row],[IVA]]</f>
        <v>4429.0033333333331</v>
      </c>
      <c r="K927" s="7">
        <f t="shared" si="18"/>
        <v>24979.578799999999</v>
      </c>
      <c r="L927" t="s">
        <v>237</v>
      </c>
    </row>
    <row r="928" spans="1:12" x14ac:dyDescent="0.35">
      <c r="A928" s="13">
        <v>45853</v>
      </c>
      <c r="B928" t="s">
        <v>48</v>
      </c>
      <c r="C928" t="s">
        <v>53</v>
      </c>
      <c r="E928" s="8">
        <v>2</v>
      </c>
      <c r="F928" s="1">
        <v>1057.32</v>
      </c>
      <c r="H928">
        <v>1.21</v>
      </c>
      <c r="J928" s="2">
        <f>+DATAIN_COMPRAS__2[[#This Row],[$/ UN NETO]]*DATAIN_COMPRAS__2[[#This Row],[IVA]]</f>
        <v>1279.3571999999999</v>
      </c>
      <c r="K928" s="7">
        <f t="shared" si="18"/>
        <v>2558.7143999999998</v>
      </c>
      <c r="L928" t="s">
        <v>237</v>
      </c>
    </row>
    <row r="929" spans="1:12" x14ac:dyDescent="0.35">
      <c r="A929" s="13">
        <v>45853</v>
      </c>
      <c r="B929" t="s">
        <v>48</v>
      </c>
      <c r="C929" t="s">
        <v>833</v>
      </c>
      <c r="E929" s="8">
        <v>3.5</v>
      </c>
      <c r="F929" s="1">
        <f>19208.04/3.5</f>
        <v>5488.011428571429</v>
      </c>
      <c r="H929">
        <v>1.21</v>
      </c>
      <c r="I929">
        <v>0.06</v>
      </c>
      <c r="J929" s="2">
        <f>+DATAIN_COMPRAS__2[[#This Row],[$/ UN NETO]]*DATAIN_COMPRAS__2[[#This Row],[IVA]]</f>
        <v>6640.4938285714288</v>
      </c>
      <c r="K929" s="7">
        <f t="shared" si="18"/>
        <v>21847.224696000001</v>
      </c>
      <c r="L929" t="s">
        <v>237</v>
      </c>
    </row>
    <row r="930" spans="1:12" x14ac:dyDescent="0.35">
      <c r="A930" s="13">
        <v>45853</v>
      </c>
      <c r="B930" t="s">
        <v>48</v>
      </c>
      <c r="C930" t="s">
        <v>56</v>
      </c>
      <c r="E930" s="8">
        <v>4.3499999999999996</v>
      </c>
      <c r="F930" s="1">
        <v>5456.9036999999998</v>
      </c>
      <c r="H930">
        <v>1.21</v>
      </c>
      <c r="I930">
        <v>0.06</v>
      </c>
      <c r="J930" s="2">
        <f>+DATAIN_COMPRAS__2[[#This Row],[$/ UN NETO]]*DATAIN_COMPRAS__2[[#This Row],[IVA]]</f>
        <v>6602.8534769999997</v>
      </c>
      <c r="K930" s="7">
        <f t="shared" si="18"/>
        <v>26999.067867452999</v>
      </c>
      <c r="L930" t="s">
        <v>237</v>
      </c>
    </row>
    <row r="931" spans="1:12" x14ac:dyDescent="0.35">
      <c r="A931" s="13">
        <v>45853</v>
      </c>
      <c r="B931" t="s">
        <v>48</v>
      </c>
      <c r="C931" t="s">
        <v>59</v>
      </c>
      <c r="E931" s="8">
        <v>1</v>
      </c>
      <c r="F931" s="1">
        <v>2259.2503999999999</v>
      </c>
      <c r="H931">
        <v>1.21</v>
      </c>
      <c r="I931">
        <v>0.06</v>
      </c>
      <c r="J931" s="2">
        <f>+DATAIN_COMPRAS__2[[#This Row],[$/ UN NETO]]*DATAIN_COMPRAS__2[[#This Row],[IVA]]</f>
        <v>2733.6929839999998</v>
      </c>
      <c r="K931" s="7">
        <f t="shared" ref="K931:K994" si="19">(E931*F931)*(1-I931)*(H931)</f>
        <v>2569.6714049599996</v>
      </c>
      <c r="L931" t="s">
        <v>237</v>
      </c>
    </row>
    <row r="932" spans="1:12" x14ac:dyDescent="0.35">
      <c r="A932" s="13">
        <v>45853</v>
      </c>
      <c r="B932" t="s">
        <v>48</v>
      </c>
      <c r="C932" t="s">
        <v>248</v>
      </c>
      <c r="E932" s="8">
        <v>2</v>
      </c>
      <c r="F932" s="1">
        <v>793.32</v>
      </c>
      <c r="H932">
        <v>1.21</v>
      </c>
      <c r="J932" s="2">
        <f>+DATAIN_COMPRAS__2[[#This Row],[$/ UN NETO]]*DATAIN_COMPRAS__2[[#This Row],[IVA]]</f>
        <v>959.91719999999998</v>
      </c>
      <c r="K932" s="7">
        <f t="shared" si="19"/>
        <v>1919.8344</v>
      </c>
      <c r="L932" t="s">
        <v>237</v>
      </c>
    </row>
    <row r="933" spans="1:12" x14ac:dyDescent="0.35">
      <c r="A933" s="13">
        <v>45853</v>
      </c>
      <c r="B933" t="s">
        <v>48</v>
      </c>
      <c r="C933" t="s">
        <v>54</v>
      </c>
      <c r="E933" s="8">
        <v>2</v>
      </c>
      <c r="F933" s="1">
        <v>793.46910000000003</v>
      </c>
      <c r="H933">
        <v>1.21</v>
      </c>
      <c r="I933">
        <v>0.06</v>
      </c>
      <c r="J933" s="2">
        <f>+DATAIN_COMPRAS__2[[#This Row],[$/ UN NETO]]*DATAIN_COMPRAS__2[[#This Row],[IVA]]</f>
        <v>960.09761100000003</v>
      </c>
      <c r="K933" s="7">
        <f t="shared" si="19"/>
        <v>1804.9835086799999</v>
      </c>
      <c r="L933" t="s">
        <v>237</v>
      </c>
    </row>
    <row r="934" spans="1:12" x14ac:dyDescent="0.35">
      <c r="A934" s="13">
        <v>45853</v>
      </c>
      <c r="B934" t="s">
        <v>174</v>
      </c>
      <c r="C934" t="s">
        <v>177</v>
      </c>
      <c r="E934" s="8">
        <v>3</v>
      </c>
      <c r="F934" s="1">
        <v>1214.8800000000001</v>
      </c>
      <c r="H934">
        <v>1.21</v>
      </c>
      <c r="J934" s="2">
        <f>+DATAIN_COMPRAS__2[[#This Row],[$/ UN NETO]]*DATAIN_COMPRAS__2[[#This Row],[IVA]]</f>
        <v>1470.0048000000002</v>
      </c>
      <c r="K934" s="7">
        <f t="shared" si="19"/>
        <v>4410.0144</v>
      </c>
      <c r="L934" t="s">
        <v>158</v>
      </c>
    </row>
    <row r="935" spans="1:12" x14ac:dyDescent="0.35">
      <c r="A935" s="13">
        <v>45853</v>
      </c>
      <c r="B935" t="s">
        <v>174</v>
      </c>
      <c r="C935" t="s">
        <v>177</v>
      </c>
      <c r="E935" s="8">
        <v>3</v>
      </c>
      <c r="F935" s="1">
        <v>1214.8800000000001</v>
      </c>
      <c r="H935">
        <v>1.21</v>
      </c>
      <c r="J935" s="2">
        <f>+DATAIN_COMPRAS__2[[#This Row],[$/ UN NETO]]*DATAIN_COMPRAS__2[[#This Row],[IVA]]</f>
        <v>1470.0048000000002</v>
      </c>
      <c r="K935" s="7">
        <f t="shared" si="19"/>
        <v>4410.0144</v>
      </c>
      <c r="L935" t="s">
        <v>158</v>
      </c>
    </row>
    <row r="936" spans="1:12" x14ac:dyDescent="0.35">
      <c r="A936" s="13">
        <v>45853</v>
      </c>
      <c r="B936" t="s">
        <v>174</v>
      </c>
      <c r="C936" t="s">
        <v>177</v>
      </c>
      <c r="E936" s="8">
        <v>3</v>
      </c>
      <c r="F936" s="1">
        <v>1214.8800000000001</v>
      </c>
      <c r="H936">
        <v>1.21</v>
      </c>
      <c r="J936" s="2">
        <f>+DATAIN_COMPRAS__2[[#This Row],[$/ UN NETO]]*DATAIN_COMPRAS__2[[#This Row],[IVA]]</f>
        <v>1470.0048000000002</v>
      </c>
      <c r="K936" s="7">
        <f t="shared" si="19"/>
        <v>4410.0144</v>
      </c>
      <c r="L936" t="s">
        <v>158</v>
      </c>
    </row>
    <row r="937" spans="1:12" x14ac:dyDescent="0.35">
      <c r="A937" s="13">
        <v>45853</v>
      </c>
      <c r="B937" t="s">
        <v>174</v>
      </c>
      <c r="C937" t="s">
        <v>177</v>
      </c>
      <c r="E937" s="8">
        <v>2</v>
      </c>
      <c r="F937" s="1">
        <v>1214.8800000000001</v>
      </c>
      <c r="H937">
        <v>1.21</v>
      </c>
      <c r="J937" s="2">
        <f>+DATAIN_COMPRAS__2[[#This Row],[$/ UN NETO]]*DATAIN_COMPRAS__2[[#This Row],[IVA]]</f>
        <v>1470.0048000000002</v>
      </c>
      <c r="K937" s="7">
        <f t="shared" si="19"/>
        <v>2940.0096000000003</v>
      </c>
      <c r="L937" t="s">
        <v>158</v>
      </c>
    </row>
    <row r="938" spans="1:12" x14ac:dyDescent="0.35">
      <c r="A938" s="13">
        <v>45853</v>
      </c>
      <c r="B938" t="s">
        <v>80</v>
      </c>
      <c r="C938" t="s">
        <v>96</v>
      </c>
      <c r="E938" s="8">
        <v>60</v>
      </c>
      <c r="F938" s="1">
        <v>68.099999999999994</v>
      </c>
      <c r="H938">
        <v>1.21</v>
      </c>
      <c r="J938" s="2">
        <f>+DATAIN_COMPRAS__2[[#This Row],[$/ UN NETO]]*DATAIN_COMPRAS__2[[#This Row],[IVA]]</f>
        <v>82.400999999999996</v>
      </c>
      <c r="K938" s="7">
        <f t="shared" si="19"/>
        <v>4944.0599999999995</v>
      </c>
      <c r="L938" t="s">
        <v>237</v>
      </c>
    </row>
    <row r="939" spans="1:12" x14ac:dyDescent="0.35">
      <c r="A939" s="13">
        <v>45853</v>
      </c>
      <c r="B939" t="s">
        <v>80</v>
      </c>
      <c r="C939" t="s">
        <v>88</v>
      </c>
      <c r="E939" s="8"/>
      <c r="F939" s="1"/>
      <c r="H939">
        <v>1.21</v>
      </c>
      <c r="J939" s="2">
        <f>+DATAIN_COMPRAS__2[[#This Row],[$/ UN NETO]]*DATAIN_COMPRAS__2[[#This Row],[IVA]]</f>
        <v>0</v>
      </c>
      <c r="K939" s="7">
        <f t="shared" si="19"/>
        <v>0</v>
      </c>
      <c r="L939" t="s">
        <v>237</v>
      </c>
    </row>
    <row r="940" spans="1:12" x14ac:dyDescent="0.35">
      <c r="A940" s="13">
        <v>45853</v>
      </c>
      <c r="B940" t="s">
        <v>80</v>
      </c>
      <c r="C940" t="s">
        <v>87</v>
      </c>
      <c r="E940" s="8">
        <v>1</v>
      </c>
      <c r="F940" s="1">
        <v>4958.68</v>
      </c>
      <c r="H940">
        <v>1.21</v>
      </c>
      <c r="J940" s="2">
        <f>+DATAIN_COMPRAS__2[[#This Row],[$/ UN NETO]]*DATAIN_COMPRAS__2[[#This Row],[IVA]]</f>
        <v>6000.0028000000002</v>
      </c>
      <c r="K940" s="7">
        <f t="shared" si="19"/>
        <v>6000.0028000000002</v>
      </c>
      <c r="L940" t="s">
        <v>237</v>
      </c>
    </row>
    <row r="941" spans="1:12" x14ac:dyDescent="0.35">
      <c r="A941" s="13">
        <v>45853</v>
      </c>
      <c r="B941" t="s">
        <v>80</v>
      </c>
      <c r="C941" t="s">
        <v>86</v>
      </c>
      <c r="E941" s="8"/>
      <c r="F941" s="1"/>
      <c r="H941">
        <v>1.21</v>
      </c>
      <c r="J941" s="2">
        <f>+DATAIN_COMPRAS__2[[#This Row],[$/ UN NETO]]*DATAIN_COMPRAS__2[[#This Row],[IVA]]</f>
        <v>0</v>
      </c>
      <c r="K941" s="7">
        <f t="shared" si="19"/>
        <v>0</v>
      </c>
      <c r="L941" t="s">
        <v>237</v>
      </c>
    </row>
    <row r="942" spans="1:12" x14ac:dyDescent="0.35">
      <c r="A942" s="13">
        <v>45853</v>
      </c>
      <c r="B942" t="s">
        <v>80</v>
      </c>
      <c r="C942" t="s">
        <v>97</v>
      </c>
      <c r="E942" s="8">
        <v>30</v>
      </c>
      <c r="F942" s="1">
        <v>283.37</v>
      </c>
      <c r="H942">
        <v>1.21</v>
      </c>
      <c r="J942" s="2">
        <f>+DATAIN_COMPRAS__2[[#This Row],[$/ UN NETO]]*DATAIN_COMPRAS__2[[#This Row],[IVA]]</f>
        <v>342.8777</v>
      </c>
      <c r="K942" s="7">
        <f t="shared" si="19"/>
        <v>10286.331</v>
      </c>
      <c r="L942" t="s">
        <v>237</v>
      </c>
    </row>
    <row r="943" spans="1:12" x14ac:dyDescent="0.35">
      <c r="A943" s="13">
        <v>45853</v>
      </c>
      <c r="B943" t="s">
        <v>80</v>
      </c>
      <c r="C943" t="s">
        <v>277</v>
      </c>
      <c r="E943" s="8">
        <v>0</v>
      </c>
      <c r="F943" s="1"/>
      <c r="H943">
        <v>1.21</v>
      </c>
      <c r="J943" s="2">
        <f>+DATAIN_COMPRAS__2[[#This Row],[$/ UN NETO]]*DATAIN_COMPRAS__2[[#This Row],[IVA]]</f>
        <v>0</v>
      </c>
      <c r="K943" s="7">
        <f t="shared" si="19"/>
        <v>0</v>
      </c>
      <c r="L943" t="s">
        <v>237</v>
      </c>
    </row>
    <row r="944" spans="1:12" x14ac:dyDescent="0.35">
      <c r="A944" s="13">
        <v>45853</v>
      </c>
      <c r="B944" t="s">
        <v>80</v>
      </c>
      <c r="C944" t="s">
        <v>89</v>
      </c>
      <c r="E944" s="8">
        <v>1</v>
      </c>
      <c r="F944" s="1">
        <v>661.16</v>
      </c>
      <c r="H944">
        <v>1.21</v>
      </c>
      <c r="J944" s="2">
        <f>+DATAIN_COMPRAS__2[[#This Row],[$/ UN NETO]]*DATAIN_COMPRAS__2[[#This Row],[IVA]]</f>
        <v>800.00359999999989</v>
      </c>
      <c r="K944" s="7">
        <f t="shared" si="19"/>
        <v>800.00359999999989</v>
      </c>
      <c r="L944" t="s">
        <v>237</v>
      </c>
    </row>
    <row r="945" spans="1:12" x14ac:dyDescent="0.35">
      <c r="A945" s="13">
        <v>45853</v>
      </c>
      <c r="B945" t="s">
        <v>80</v>
      </c>
      <c r="C945" t="s">
        <v>282</v>
      </c>
      <c r="E945" s="8">
        <v>30</v>
      </c>
      <c r="F945" s="1">
        <v>41.32</v>
      </c>
      <c r="H945">
        <v>1.21</v>
      </c>
      <c r="J945" s="2">
        <f>+DATAIN_COMPRAS__2[[#This Row],[$/ UN NETO]]*DATAIN_COMPRAS__2[[#This Row],[IVA]]</f>
        <v>49.997199999999999</v>
      </c>
      <c r="K945" s="7">
        <f t="shared" si="19"/>
        <v>1499.9159999999999</v>
      </c>
      <c r="L945" t="s">
        <v>237</v>
      </c>
    </row>
    <row r="946" spans="1:12" x14ac:dyDescent="0.35">
      <c r="A946" s="13">
        <v>45853</v>
      </c>
      <c r="B946" t="s">
        <v>80</v>
      </c>
      <c r="C946" t="s">
        <v>98</v>
      </c>
      <c r="E946" s="8">
        <v>1</v>
      </c>
      <c r="F946" s="1">
        <v>6859.5</v>
      </c>
      <c r="H946">
        <v>1.21</v>
      </c>
      <c r="J946" s="2">
        <f>+DATAIN_COMPRAS__2[[#This Row],[$/ UN NETO]]*DATAIN_COMPRAS__2[[#This Row],[IVA]]</f>
        <v>8299.994999999999</v>
      </c>
      <c r="K946" s="7">
        <f t="shared" si="19"/>
        <v>8299.994999999999</v>
      </c>
      <c r="L946" t="s">
        <v>237</v>
      </c>
    </row>
    <row r="947" spans="1:12" x14ac:dyDescent="0.35">
      <c r="A947" s="13">
        <v>45853</v>
      </c>
      <c r="B947" t="s">
        <v>80</v>
      </c>
      <c r="C947" t="s">
        <v>94</v>
      </c>
      <c r="E947" s="8">
        <v>7</v>
      </c>
      <c r="F947" s="1">
        <v>1074.3800000000001</v>
      </c>
      <c r="H947">
        <v>1.21</v>
      </c>
      <c r="J947" s="2">
        <f>+DATAIN_COMPRAS__2[[#This Row],[$/ UN NETO]]*DATAIN_COMPRAS__2[[#This Row],[IVA]]</f>
        <v>1299.9998000000001</v>
      </c>
      <c r="K947" s="7">
        <f t="shared" si="19"/>
        <v>9099.9986000000008</v>
      </c>
      <c r="L947" t="s">
        <v>237</v>
      </c>
    </row>
    <row r="948" spans="1:12" x14ac:dyDescent="0.35">
      <c r="A948" s="13">
        <v>45853</v>
      </c>
      <c r="B948" t="s">
        <v>80</v>
      </c>
      <c r="C948" t="s">
        <v>355</v>
      </c>
      <c r="E948" s="8">
        <v>30</v>
      </c>
      <c r="F948" s="1">
        <v>66.12</v>
      </c>
      <c r="H948">
        <v>1.21</v>
      </c>
      <c r="J948" s="2">
        <f>+DATAIN_COMPRAS__2[[#This Row],[$/ UN NETO]]*DATAIN_COMPRAS__2[[#This Row],[IVA]]</f>
        <v>80.005200000000002</v>
      </c>
      <c r="K948" s="7">
        <f t="shared" si="19"/>
        <v>2400.1559999999999</v>
      </c>
      <c r="L948" t="s">
        <v>237</v>
      </c>
    </row>
    <row r="949" spans="1:12" x14ac:dyDescent="0.35">
      <c r="A949" s="13">
        <v>45853</v>
      </c>
      <c r="B949" t="s">
        <v>80</v>
      </c>
      <c r="C949" t="s">
        <v>354</v>
      </c>
      <c r="E949" s="8">
        <v>30</v>
      </c>
      <c r="F949" s="1">
        <v>57.85</v>
      </c>
      <c r="H949">
        <v>1.21</v>
      </c>
      <c r="J949" s="2">
        <f>+DATAIN_COMPRAS__2[[#This Row],[$/ UN NETO]]*DATAIN_COMPRAS__2[[#This Row],[IVA]]</f>
        <v>69.998499999999993</v>
      </c>
      <c r="K949" s="7">
        <f t="shared" si="19"/>
        <v>2099.9549999999999</v>
      </c>
      <c r="L949" t="s">
        <v>237</v>
      </c>
    </row>
    <row r="950" spans="1:12" x14ac:dyDescent="0.35">
      <c r="A950" s="13">
        <v>45853</v>
      </c>
      <c r="B950" t="s">
        <v>110</v>
      </c>
      <c r="C950" t="s">
        <v>167</v>
      </c>
      <c r="E950" s="8">
        <v>25</v>
      </c>
      <c r="F950" s="1">
        <f>33877.4/25</f>
        <v>1355.096</v>
      </c>
      <c r="H950">
        <v>1.21</v>
      </c>
      <c r="J950" s="2">
        <f>+DATAIN_COMPRAS__2[[#This Row],[$/ UN NETO]]*DATAIN_COMPRAS__2[[#This Row],[IVA]]</f>
        <v>1639.66616</v>
      </c>
      <c r="K950" s="7">
        <f t="shared" si="19"/>
        <v>40991.654000000002</v>
      </c>
      <c r="L950" t="s">
        <v>158</v>
      </c>
    </row>
    <row r="951" spans="1:12" x14ac:dyDescent="0.35">
      <c r="A951" s="13">
        <v>45853</v>
      </c>
      <c r="B951" t="s">
        <v>110</v>
      </c>
      <c r="C951" t="s">
        <v>112</v>
      </c>
      <c r="E951" s="8">
        <v>1</v>
      </c>
      <c r="F951" s="1">
        <f>4200.19*2</f>
        <v>8400.3799999999992</v>
      </c>
      <c r="H951">
        <v>1.21</v>
      </c>
      <c r="J951" s="2">
        <f>+DATAIN_COMPRAS__2[[#This Row],[$/ UN NETO]]*DATAIN_COMPRAS__2[[#This Row],[IVA]]</f>
        <v>10164.459799999999</v>
      </c>
      <c r="K951" s="7">
        <f t="shared" si="19"/>
        <v>10164.459799999999</v>
      </c>
      <c r="L951" t="s">
        <v>158</v>
      </c>
    </row>
    <row r="952" spans="1:12" x14ac:dyDescent="0.35">
      <c r="A952" s="13">
        <v>45853</v>
      </c>
      <c r="B952" t="s">
        <v>110</v>
      </c>
      <c r="C952" t="s">
        <v>164</v>
      </c>
      <c r="E952" s="8">
        <v>2</v>
      </c>
      <c r="F952" s="1">
        <v>4405</v>
      </c>
      <c r="H952">
        <v>1.21</v>
      </c>
      <c r="J952" s="2">
        <f>+DATAIN_COMPRAS__2[[#This Row],[$/ UN NETO]]*DATAIN_COMPRAS__2[[#This Row],[IVA]]</f>
        <v>5330.05</v>
      </c>
      <c r="K952" s="7">
        <f t="shared" si="19"/>
        <v>10660.1</v>
      </c>
      <c r="L952" t="s">
        <v>237</v>
      </c>
    </row>
    <row r="953" spans="1:12" x14ac:dyDescent="0.35">
      <c r="A953" s="13">
        <v>45853</v>
      </c>
      <c r="B953" t="s">
        <v>12</v>
      </c>
      <c r="C953" t="s">
        <v>26</v>
      </c>
      <c r="E953" s="8">
        <v>3</v>
      </c>
      <c r="F953" s="1">
        <f>1500/DATAIN_COMPRAS__2[[#This Row],[IVA]]</f>
        <v>1357.4660633484164</v>
      </c>
      <c r="H953">
        <v>1.105</v>
      </c>
      <c r="J953" s="2">
        <f>+DATAIN_COMPRAS__2[[#This Row],[$/ UN NETO]]*DATAIN_COMPRAS__2[[#This Row],[IVA]]</f>
        <v>1500</v>
      </c>
      <c r="K953" s="7">
        <f t="shared" si="19"/>
        <v>4500</v>
      </c>
      <c r="L953" t="s">
        <v>237</v>
      </c>
    </row>
    <row r="954" spans="1:12" x14ac:dyDescent="0.35">
      <c r="A954" s="13">
        <v>45853</v>
      </c>
      <c r="B954" t="s">
        <v>12</v>
      </c>
      <c r="C954" t="s">
        <v>31</v>
      </c>
      <c r="E954" s="8">
        <v>1</v>
      </c>
      <c r="F954" s="1">
        <f>2800/DATAIN_COMPRAS__2[[#This Row],[IVA]]</f>
        <v>2533.9366515837105</v>
      </c>
      <c r="H954">
        <v>1.105</v>
      </c>
      <c r="J954" s="2">
        <f>+DATAIN_COMPRAS__2[[#This Row],[$/ UN NETO]]*DATAIN_COMPRAS__2[[#This Row],[IVA]]</f>
        <v>2800</v>
      </c>
      <c r="K954" s="7">
        <f t="shared" si="19"/>
        <v>2800</v>
      </c>
      <c r="L954" t="s">
        <v>237</v>
      </c>
    </row>
    <row r="955" spans="1:12" x14ac:dyDescent="0.35">
      <c r="A955" s="13">
        <v>45853</v>
      </c>
      <c r="B955" t="s">
        <v>12</v>
      </c>
      <c r="C955" t="s">
        <v>40</v>
      </c>
      <c r="E955" s="8">
        <v>1.5</v>
      </c>
      <c r="F955" s="1">
        <f>900/DATAIN_COMPRAS__2[[#This Row],[IVA]]</f>
        <v>814.47963800904984</v>
      </c>
      <c r="H955">
        <v>1.105</v>
      </c>
      <c r="J955" s="2">
        <f>+DATAIN_COMPRAS__2[[#This Row],[$/ UN NETO]]*DATAIN_COMPRAS__2[[#This Row],[IVA]]</f>
        <v>900</v>
      </c>
      <c r="K955" s="7">
        <f t="shared" si="19"/>
        <v>1350.0000000000002</v>
      </c>
      <c r="L955" t="s">
        <v>237</v>
      </c>
    </row>
    <row r="956" spans="1:12" x14ac:dyDescent="0.35">
      <c r="A956" s="13">
        <v>45853</v>
      </c>
      <c r="B956" t="s">
        <v>12</v>
      </c>
      <c r="C956" t="s">
        <v>41</v>
      </c>
      <c r="E956" s="8">
        <v>2</v>
      </c>
      <c r="F956" s="1">
        <f>2300/DATAIN_COMPRAS__2[[#This Row],[IVA]]</f>
        <v>2081.4479638009052</v>
      </c>
      <c r="H956">
        <v>1.105</v>
      </c>
      <c r="J956" s="2">
        <f>+DATAIN_COMPRAS__2[[#This Row],[$/ UN NETO]]*DATAIN_COMPRAS__2[[#This Row],[IVA]]</f>
        <v>2300</v>
      </c>
      <c r="K956" s="7">
        <f t="shared" si="19"/>
        <v>4600</v>
      </c>
      <c r="L956" t="s">
        <v>237</v>
      </c>
    </row>
    <row r="957" spans="1:12" x14ac:dyDescent="0.35">
      <c r="A957" s="13">
        <v>45853</v>
      </c>
      <c r="B957" t="s">
        <v>12</v>
      </c>
      <c r="C957" t="s">
        <v>23</v>
      </c>
      <c r="E957" s="8">
        <v>0.5</v>
      </c>
      <c r="F957" s="1">
        <f>6800/DATAIN_COMPRAS__2[[#This Row],[IVA]]</f>
        <v>6153.8461538461543</v>
      </c>
      <c r="H957">
        <v>1.105</v>
      </c>
      <c r="J957" s="2">
        <f>+DATAIN_COMPRAS__2[[#This Row],[$/ UN NETO]]*DATAIN_COMPRAS__2[[#This Row],[IVA]]</f>
        <v>6800</v>
      </c>
      <c r="K957" s="7">
        <f t="shared" si="19"/>
        <v>3400</v>
      </c>
      <c r="L957" t="s">
        <v>237</v>
      </c>
    </row>
    <row r="958" spans="1:12" x14ac:dyDescent="0.35">
      <c r="A958" s="13">
        <v>45853</v>
      </c>
      <c r="B958" t="s">
        <v>12</v>
      </c>
      <c r="C958" t="s">
        <v>21</v>
      </c>
      <c r="E958" s="8">
        <v>2</v>
      </c>
      <c r="F958" s="1">
        <f>950/DATAIN_COMPRAS__2[[#This Row],[IVA]]</f>
        <v>859.72850678733028</v>
      </c>
      <c r="H958">
        <v>1.105</v>
      </c>
      <c r="J958" s="2">
        <f>+DATAIN_COMPRAS__2[[#This Row],[$/ UN NETO]]*DATAIN_COMPRAS__2[[#This Row],[IVA]]</f>
        <v>949.99999999999989</v>
      </c>
      <c r="K958" s="7">
        <f t="shared" si="19"/>
        <v>1899.9999999999998</v>
      </c>
      <c r="L958" t="s">
        <v>237</v>
      </c>
    </row>
    <row r="959" spans="1:12" x14ac:dyDescent="0.35">
      <c r="A959" s="13">
        <v>45853</v>
      </c>
      <c r="B959" t="s">
        <v>12</v>
      </c>
      <c r="C959" t="s">
        <v>28</v>
      </c>
      <c r="E959" s="8">
        <v>1</v>
      </c>
      <c r="F959" s="1">
        <f>1800/DATAIN_COMPRAS__2[[#This Row],[IVA]]</f>
        <v>1628.9592760180997</v>
      </c>
      <c r="H959">
        <v>1.105</v>
      </c>
      <c r="J959" s="2">
        <f>+DATAIN_COMPRAS__2[[#This Row],[$/ UN NETO]]*DATAIN_COMPRAS__2[[#This Row],[IVA]]</f>
        <v>1800</v>
      </c>
      <c r="K959" s="7">
        <f t="shared" si="19"/>
        <v>1800</v>
      </c>
      <c r="L959" t="s">
        <v>237</v>
      </c>
    </row>
    <row r="960" spans="1:12" x14ac:dyDescent="0.35">
      <c r="A960" s="13">
        <v>45853</v>
      </c>
      <c r="B960" t="s">
        <v>12</v>
      </c>
      <c r="C960" t="s">
        <v>20</v>
      </c>
      <c r="E960" s="8">
        <v>1</v>
      </c>
      <c r="F960" s="1">
        <f>1800/DATAIN_COMPRAS__2[[#This Row],[IVA]]</f>
        <v>1628.9592760180997</v>
      </c>
      <c r="H960">
        <v>1.105</v>
      </c>
      <c r="J960" s="2">
        <f>+DATAIN_COMPRAS__2[[#This Row],[$/ UN NETO]]*DATAIN_COMPRAS__2[[#This Row],[IVA]]</f>
        <v>1800</v>
      </c>
      <c r="K960" s="7">
        <f t="shared" si="19"/>
        <v>1800</v>
      </c>
      <c r="L960" t="s">
        <v>237</v>
      </c>
    </row>
    <row r="961" spans="1:12" x14ac:dyDescent="0.35">
      <c r="A961" s="13">
        <v>45853</v>
      </c>
      <c r="B961" t="s">
        <v>12</v>
      </c>
      <c r="C961" t="s">
        <v>22</v>
      </c>
      <c r="E961" s="8">
        <v>1</v>
      </c>
      <c r="F961" s="1">
        <f>2300/DATAIN_COMPRAS__2[[#This Row],[IVA]]</f>
        <v>2081.4479638009052</v>
      </c>
      <c r="H961">
        <v>1.105</v>
      </c>
      <c r="J961" s="2">
        <f>+DATAIN_COMPRAS__2[[#This Row],[$/ UN NETO]]*DATAIN_COMPRAS__2[[#This Row],[IVA]]</f>
        <v>2300</v>
      </c>
      <c r="K961" s="7">
        <f t="shared" si="19"/>
        <v>2300</v>
      </c>
      <c r="L961" t="s">
        <v>237</v>
      </c>
    </row>
    <row r="962" spans="1:12" x14ac:dyDescent="0.35">
      <c r="A962" s="13">
        <v>45853</v>
      </c>
      <c r="B962" t="s">
        <v>75</v>
      </c>
      <c r="C962" t="s">
        <v>77</v>
      </c>
      <c r="E962" s="8">
        <v>12</v>
      </c>
      <c r="F962" s="1">
        <v>1101.4100000000001</v>
      </c>
      <c r="H962">
        <v>1.21</v>
      </c>
      <c r="J962" s="2">
        <f>+DATAIN_COMPRAS__2[[#This Row],[$/ UN NETO]]*DATAIN_COMPRAS__2[[#This Row],[IVA]]</f>
        <v>1332.7061000000001</v>
      </c>
      <c r="K962" s="7">
        <f t="shared" si="19"/>
        <v>15992.473200000002</v>
      </c>
      <c r="L962" t="s">
        <v>237</v>
      </c>
    </row>
    <row r="963" spans="1:12" x14ac:dyDescent="0.35">
      <c r="A963" s="13">
        <v>45853</v>
      </c>
      <c r="B963" t="s">
        <v>75</v>
      </c>
      <c r="C963" t="s">
        <v>78</v>
      </c>
      <c r="E963" s="8">
        <v>12</v>
      </c>
      <c r="F963" s="1">
        <v>1182.56</v>
      </c>
      <c r="H963">
        <v>1.21</v>
      </c>
      <c r="J963" s="2">
        <f>+DATAIN_COMPRAS__2[[#This Row],[$/ UN NETO]]*DATAIN_COMPRAS__2[[#This Row],[IVA]]</f>
        <v>1430.8975999999998</v>
      </c>
      <c r="K963" s="7">
        <f t="shared" si="19"/>
        <v>17170.771199999999</v>
      </c>
      <c r="L963" t="s">
        <v>237</v>
      </c>
    </row>
    <row r="964" spans="1:12" x14ac:dyDescent="0.35">
      <c r="A964" s="13">
        <v>45853</v>
      </c>
      <c r="B964" t="s">
        <v>75</v>
      </c>
      <c r="C964" t="s">
        <v>76</v>
      </c>
      <c r="E964" s="8">
        <v>96</v>
      </c>
      <c r="F964" s="1">
        <v>1101.4100000000001</v>
      </c>
      <c r="H964">
        <v>1.21</v>
      </c>
      <c r="J964" s="2">
        <f>+DATAIN_COMPRAS__2[[#This Row],[$/ UN NETO]]*DATAIN_COMPRAS__2[[#This Row],[IVA]]</f>
        <v>1332.7061000000001</v>
      </c>
      <c r="K964" s="7">
        <f t="shared" si="19"/>
        <v>127939.78560000002</v>
      </c>
      <c r="L964" t="s">
        <v>237</v>
      </c>
    </row>
    <row r="965" spans="1:12" x14ac:dyDescent="0.35">
      <c r="A965" s="13">
        <v>45853</v>
      </c>
      <c r="B965" t="s">
        <v>75</v>
      </c>
      <c r="C965" t="s">
        <v>76</v>
      </c>
      <c r="E965" s="8">
        <v>24</v>
      </c>
      <c r="F965" s="1">
        <v>1101.4100000000001</v>
      </c>
      <c r="H965">
        <v>1.21</v>
      </c>
      <c r="J965" s="2">
        <f>+DATAIN_COMPRAS__2[[#This Row],[$/ UN NETO]]*DATAIN_COMPRAS__2[[#This Row],[IVA]]</f>
        <v>1332.7061000000001</v>
      </c>
      <c r="K965" s="7">
        <f t="shared" si="19"/>
        <v>31984.946400000004</v>
      </c>
      <c r="L965" t="s">
        <v>158</v>
      </c>
    </row>
    <row r="966" spans="1:12" x14ac:dyDescent="0.35">
      <c r="A966" s="13">
        <v>45854</v>
      </c>
      <c r="B966" t="s">
        <v>124</v>
      </c>
      <c r="C966" t="s">
        <v>125</v>
      </c>
      <c r="E966" s="8">
        <v>6</v>
      </c>
      <c r="F966" s="1">
        <v>40000</v>
      </c>
      <c r="H966">
        <v>1</v>
      </c>
      <c r="J966" s="2">
        <f>+DATAIN_COMPRAS__2[[#This Row],[$/ UN NETO]]*DATAIN_COMPRAS__2[[#This Row],[IVA]]</f>
        <v>40000</v>
      </c>
      <c r="K966" s="7">
        <f t="shared" si="19"/>
        <v>240000</v>
      </c>
      <c r="L966" t="s">
        <v>237</v>
      </c>
    </row>
    <row r="967" spans="1:12" x14ac:dyDescent="0.35">
      <c r="A967" s="13">
        <v>45854</v>
      </c>
      <c r="B967" t="s">
        <v>124</v>
      </c>
      <c r="C967" t="s">
        <v>126</v>
      </c>
      <c r="E967" s="8">
        <v>3</v>
      </c>
      <c r="F967" s="1">
        <f>+(16500+16500+17500)/3</f>
        <v>16833.333333333332</v>
      </c>
      <c r="H967">
        <v>1</v>
      </c>
      <c r="J967" s="2">
        <f>+DATAIN_COMPRAS__2[[#This Row],[$/ UN NETO]]*DATAIN_COMPRAS__2[[#This Row],[IVA]]</f>
        <v>16833.333333333332</v>
      </c>
      <c r="K967" s="7">
        <f t="shared" si="19"/>
        <v>50500</v>
      </c>
      <c r="L967" t="s">
        <v>237</v>
      </c>
    </row>
    <row r="968" spans="1:12" x14ac:dyDescent="0.35">
      <c r="A968" s="13">
        <v>45854</v>
      </c>
      <c r="B968" t="s">
        <v>345</v>
      </c>
      <c r="C968" t="s">
        <v>348</v>
      </c>
      <c r="E968" s="8">
        <v>4</v>
      </c>
      <c r="F968" s="1">
        <v>3326.45</v>
      </c>
      <c r="H968">
        <v>1.21</v>
      </c>
      <c r="I968" s="9">
        <f>1330.58/(DATAIN_COMPRAS__2[[#This Row],[$/ UN NETO]]*DATAIN_COMPRAS__2[[#This Row],[CANT]])</f>
        <v>0.1</v>
      </c>
      <c r="J968" s="2">
        <f>+DATAIN_COMPRAS__2[[#This Row],[$/ UN NETO]]*DATAIN_COMPRAS__2[[#This Row],[IVA]]</f>
        <v>4025.0044999999996</v>
      </c>
      <c r="K968" s="7">
        <f t="shared" si="19"/>
        <v>14490.016199999998</v>
      </c>
    </row>
    <row r="969" spans="1:12" x14ac:dyDescent="0.35">
      <c r="A969" s="13">
        <v>45854</v>
      </c>
      <c r="B969" t="s">
        <v>345</v>
      </c>
      <c r="C969" t="s">
        <v>353</v>
      </c>
      <c r="E969" s="8">
        <v>1</v>
      </c>
      <c r="F969" s="1">
        <v>10950.41</v>
      </c>
      <c r="H969">
        <v>1.21</v>
      </c>
      <c r="I969" s="9">
        <v>0.1</v>
      </c>
      <c r="J969" s="2">
        <f>+DATAIN_COMPRAS__2[[#This Row],[$/ UN NETO]]*DATAIN_COMPRAS__2[[#This Row],[IVA]]</f>
        <v>13249.9961</v>
      </c>
      <c r="K969" s="7">
        <f t="shared" si="19"/>
        <v>11924.99649</v>
      </c>
    </row>
    <row r="970" spans="1:12" x14ac:dyDescent="0.35">
      <c r="A970" s="13">
        <v>45854</v>
      </c>
      <c r="B970" t="s">
        <v>345</v>
      </c>
      <c r="C970" t="s">
        <v>350</v>
      </c>
      <c r="E970" s="8">
        <v>1</v>
      </c>
      <c r="F970" s="1">
        <v>9735.5400000000009</v>
      </c>
      <c r="H970">
        <v>1.21</v>
      </c>
      <c r="I970" s="9">
        <f>973.55/(DATAIN_COMPRAS__2[[#This Row],[$/ UN NETO]]*DATAIN_COMPRAS__2[[#This Row],[CANT]])</f>
        <v>9.9999589134244213E-2</v>
      </c>
      <c r="J970" s="2">
        <f>+DATAIN_COMPRAS__2[[#This Row],[$/ UN NETO]]*DATAIN_COMPRAS__2[[#This Row],[IVA]]</f>
        <v>11780.003400000001</v>
      </c>
      <c r="K970" s="7">
        <f t="shared" si="19"/>
        <v>10602.007900000002</v>
      </c>
    </row>
    <row r="971" spans="1:12" x14ac:dyDescent="0.35">
      <c r="A971" s="13">
        <v>45854</v>
      </c>
      <c r="B971" t="s">
        <v>345</v>
      </c>
      <c r="C971" t="s">
        <v>351</v>
      </c>
      <c r="E971" s="8">
        <v>1</v>
      </c>
      <c r="F971" s="1">
        <v>1652.89</v>
      </c>
      <c r="H971">
        <v>1.21</v>
      </c>
      <c r="I971" s="9">
        <f>165.29/(DATAIN_COMPRAS__2[[#This Row],[$/ UN NETO]]*DATAIN_COMPRAS__2[[#This Row],[CANT]])</f>
        <v>0.10000060500093774</v>
      </c>
      <c r="J971" s="2">
        <f>+DATAIN_COMPRAS__2[[#This Row],[$/ UN NETO]]*DATAIN_COMPRAS__2[[#This Row],[IVA]]</f>
        <v>1999.9969000000001</v>
      </c>
      <c r="K971" s="7">
        <f t="shared" si="19"/>
        <v>1799.9960000000001</v>
      </c>
    </row>
    <row r="972" spans="1:12" x14ac:dyDescent="0.35">
      <c r="A972" s="13">
        <v>45854</v>
      </c>
      <c r="B972" t="s">
        <v>345</v>
      </c>
      <c r="C972" t="s">
        <v>271</v>
      </c>
      <c r="E972" s="8">
        <v>2</v>
      </c>
      <c r="F972" s="1">
        <v>5330.58</v>
      </c>
      <c r="H972">
        <v>1.21</v>
      </c>
      <c r="I972" s="9">
        <f>1066.12/(DATAIN_COMPRAS__2[[#This Row],[$/ UN NETO]]*DATAIN_COMPRAS__2[[#This Row],[CANT]])</f>
        <v>0.10000037519369373</v>
      </c>
      <c r="J972" s="2">
        <f>+DATAIN_COMPRAS__2[[#This Row],[$/ UN NETO]]*DATAIN_COMPRAS__2[[#This Row],[IVA]]</f>
        <v>6450.0018</v>
      </c>
      <c r="K972" s="7">
        <f t="shared" si="19"/>
        <v>11609.998399999999</v>
      </c>
    </row>
    <row r="973" spans="1:12" x14ac:dyDescent="0.35">
      <c r="A973" s="13">
        <v>45854</v>
      </c>
      <c r="B973" t="s">
        <v>345</v>
      </c>
      <c r="C973" t="s">
        <v>308</v>
      </c>
      <c r="E973" s="8">
        <v>6</v>
      </c>
      <c r="F973" s="1">
        <v>495.87</v>
      </c>
      <c r="H973">
        <v>1.21</v>
      </c>
      <c r="I973" s="9">
        <v>0</v>
      </c>
      <c r="J973" s="2">
        <f>+DATAIN_COMPRAS__2[[#This Row],[$/ UN NETO]]*DATAIN_COMPRAS__2[[#This Row],[IVA]]</f>
        <v>600.0027</v>
      </c>
      <c r="K973" s="7">
        <f t="shared" si="19"/>
        <v>3600.0162</v>
      </c>
    </row>
    <row r="974" spans="1:12" x14ac:dyDescent="0.35">
      <c r="A974" s="13">
        <v>45854</v>
      </c>
      <c r="B974" t="s">
        <v>345</v>
      </c>
      <c r="C974" t="s">
        <v>346</v>
      </c>
      <c r="E974" s="8">
        <v>1</v>
      </c>
      <c r="F974" s="1">
        <v>10553.72</v>
      </c>
      <c r="H974">
        <v>1.21</v>
      </c>
      <c r="I974" s="9">
        <f>1055.37/(DATAIN_COMPRAS__2[[#This Row],[$/ UN NETO]]*DATAIN_COMPRAS__2[[#This Row],[CANT]])</f>
        <v>9.9999810493361582E-2</v>
      </c>
      <c r="J974" s="2">
        <f>+DATAIN_COMPRAS__2[[#This Row],[$/ UN NETO]]*DATAIN_COMPRAS__2[[#This Row],[IVA]]</f>
        <v>12770.001199999999</v>
      </c>
      <c r="K974" s="7">
        <f t="shared" si="19"/>
        <v>11493.003499999997</v>
      </c>
    </row>
    <row r="975" spans="1:12" x14ac:dyDescent="0.35">
      <c r="A975" s="13">
        <v>45854</v>
      </c>
      <c r="B975" t="s">
        <v>345</v>
      </c>
      <c r="C975" t="s">
        <v>349</v>
      </c>
      <c r="E975" s="8">
        <v>8</v>
      </c>
      <c r="F975" s="1">
        <v>1636.36</v>
      </c>
      <c r="H975">
        <v>1.21</v>
      </c>
      <c r="I975" s="9">
        <f>1309.09/(DATAIN_COMPRAS__2[[#This Row],[$/ UN NETO]]*DATAIN_COMPRAS__2[[#This Row],[CANT]])</f>
        <v>0.10000015277811729</v>
      </c>
      <c r="J975" s="2">
        <f>+DATAIN_COMPRAS__2[[#This Row],[$/ UN NETO]]*DATAIN_COMPRAS__2[[#This Row],[IVA]]</f>
        <v>1979.9955999999997</v>
      </c>
      <c r="K975" s="7">
        <f t="shared" si="19"/>
        <v>14255.965899999999</v>
      </c>
    </row>
    <row r="976" spans="1:12" x14ac:dyDescent="0.35">
      <c r="A976" s="13">
        <v>45854</v>
      </c>
      <c r="B976" t="s">
        <v>345</v>
      </c>
      <c r="C976" t="s">
        <v>352</v>
      </c>
      <c r="E976" s="8">
        <v>4</v>
      </c>
      <c r="F976" s="1">
        <v>3719.01</v>
      </c>
      <c r="H976">
        <v>1.21</v>
      </c>
      <c r="I976" s="9">
        <f>1487.6/(DATAIN_COMPRAS__2[[#This Row],[$/ UN NETO]]*DATAIN_COMPRAS__2[[#This Row],[CANT]])</f>
        <v>9.9999731111236584E-2</v>
      </c>
      <c r="J976" s="2">
        <f>+DATAIN_COMPRAS__2[[#This Row],[$/ UN NETO]]*DATAIN_COMPRAS__2[[#This Row],[IVA]]</f>
        <v>4500.0020999999997</v>
      </c>
      <c r="K976" s="7">
        <f t="shared" si="19"/>
        <v>16200.0124</v>
      </c>
    </row>
    <row r="977" spans="1:14" x14ac:dyDescent="0.35">
      <c r="A977" s="13">
        <v>45854</v>
      </c>
      <c r="B977" t="s">
        <v>345</v>
      </c>
      <c r="C977" t="s">
        <v>347</v>
      </c>
      <c r="E977" s="8">
        <v>2</v>
      </c>
      <c r="F977" s="1">
        <v>19752.07</v>
      </c>
      <c r="H977">
        <v>1.21</v>
      </c>
      <c r="I977" s="9">
        <f>9876.04/(DATAIN_COMPRAS__2[[#This Row],[$/ UN NETO]]*DATAIN_COMPRAS__2[[#This Row],[CANT]])</f>
        <v>0.25000012656901277</v>
      </c>
      <c r="J977" s="2">
        <f>+DATAIN_COMPRAS__2[[#This Row],[$/ UN NETO]]*DATAIN_COMPRAS__2[[#This Row],[IVA]]</f>
        <v>23900.004699999998</v>
      </c>
      <c r="K977" s="7">
        <f t="shared" si="19"/>
        <v>35850.000999999997</v>
      </c>
    </row>
    <row r="978" spans="1:14" x14ac:dyDescent="0.35">
      <c r="A978" s="13">
        <v>45854</v>
      </c>
      <c r="B978" t="s">
        <v>309</v>
      </c>
      <c r="C978" t="s">
        <v>344</v>
      </c>
      <c r="E978" s="8">
        <v>7</v>
      </c>
      <c r="F978" s="1">
        <v>857.14285714285711</v>
      </c>
      <c r="H978">
        <v>1</v>
      </c>
      <c r="J978" s="2">
        <f>+DATAIN_COMPRAS__2[[#This Row],[$/ UN NETO]]*DATAIN_COMPRAS__2[[#This Row],[IVA]]</f>
        <v>857.14285714285711</v>
      </c>
      <c r="K978" s="7">
        <f t="shared" si="19"/>
        <v>6000</v>
      </c>
      <c r="L978" t="s">
        <v>237</v>
      </c>
    </row>
    <row r="979" spans="1:14" x14ac:dyDescent="0.35">
      <c r="A979" s="13">
        <v>45854</v>
      </c>
      <c r="B979" t="s">
        <v>309</v>
      </c>
      <c r="C979" t="s">
        <v>331</v>
      </c>
      <c r="E979" s="8">
        <v>7</v>
      </c>
      <c r="F979" s="1">
        <v>857.14</v>
      </c>
      <c r="H979">
        <v>1</v>
      </c>
      <c r="J979" s="2">
        <f>+DATAIN_COMPRAS__2[[#This Row],[$/ UN NETO]]*DATAIN_COMPRAS__2[[#This Row],[IVA]]</f>
        <v>857.14</v>
      </c>
      <c r="K979" s="7">
        <f t="shared" si="19"/>
        <v>5999.98</v>
      </c>
      <c r="L979" t="s">
        <v>158</v>
      </c>
    </row>
    <row r="980" spans="1:14" x14ac:dyDescent="0.35">
      <c r="A980" s="13">
        <v>45854</v>
      </c>
      <c r="B980" t="s">
        <v>309</v>
      </c>
      <c r="C980" t="s">
        <v>332</v>
      </c>
      <c r="E980" s="8">
        <v>28</v>
      </c>
      <c r="F980" s="1">
        <v>857.14285714285711</v>
      </c>
      <c r="H980">
        <v>1</v>
      </c>
      <c r="J980" s="2">
        <f>+DATAIN_COMPRAS__2[[#This Row],[$/ UN NETO]]*DATAIN_COMPRAS__2[[#This Row],[IVA]]</f>
        <v>857.14285714285711</v>
      </c>
      <c r="K980" s="7">
        <f t="shared" si="19"/>
        <v>24000</v>
      </c>
      <c r="L980" t="s">
        <v>237</v>
      </c>
    </row>
    <row r="981" spans="1:14" x14ac:dyDescent="0.35">
      <c r="A981" s="13">
        <v>45854</v>
      </c>
      <c r="B981" t="s">
        <v>309</v>
      </c>
      <c r="C981" t="s">
        <v>19</v>
      </c>
      <c r="E981" s="8">
        <v>11</v>
      </c>
      <c r="F981" s="1">
        <f>62000/11</f>
        <v>5636.363636363636</v>
      </c>
      <c r="H981">
        <v>1</v>
      </c>
      <c r="J981" s="2">
        <f>+DATAIN_COMPRAS__2[[#This Row],[$/ UN NETO]]*DATAIN_COMPRAS__2[[#This Row],[IVA]]</f>
        <v>5636.363636363636</v>
      </c>
      <c r="K981" s="7">
        <f t="shared" si="19"/>
        <v>62000</v>
      </c>
      <c r="L981" t="s">
        <v>237</v>
      </c>
      <c r="M981">
        <v>6000</v>
      </c>
      <c r="N981" s="3">
        <v>45854</v>
      </c>
    </row>
    <row r="982" spans="1:14" x14ac:dyDescent="0.35">
      <c r="A982" s="13">
        <v>45854</v>
      </c>
      <c r="B982" t="s">
        <v>309</v>
      </c>
      <c r="C982" t="s">
        <v>18</v>
      </c>
      <c r="E982" s="8">
        <v>4</v>
      </c>
      <c r="F982" s="1">
        <v>3000</v>
      </c>
      <c r="H982">
        <v>1</v>
      </c>
      <c r="J982" s="2">
        <f>+DATAIN_COMPRAS__2[[#This Row],[$/ UN NETO]]*DATAIN_COMPRAS__2[[#This Row],[IVA]]</f>
        <v>3000</v>
      </c>
      <c r="K982" s="7">
        <f t="shared" si="19"/>
        <v>12000</v>
      </c>
      <c r="L982" t="s">
        <v>237</v>
      </c>
      <c r="M982">
        <v>96000</v>
      </c>
      <c r="N982" s="3">
        <v>45861</v>
      </c>
    </row>
    <row r="983" spans="1:14" x14ac:dyDescent="0.35">
      <c r="A983" s="13">
        <v>45854</v>
      </c>
      <c r="B983" t="s">
        <v>264</v>
      </c>
      <c r="C983" t="s">
        <v>258</v>
      </c>
      <c r="E983" s="8">
        <v>10</v>
      </c>
      <c r="F983" s="1">
        <v>9269.44</v>
      </c>
      <c r="H983">
        <v>1.21</v>
      </c>
      <c r="J983" s="2">
        <f>+DATAIN_COMPRAS__2[[#This Row],[$/ UN NETO]]*DATAIN_COMPRAS__2[[#This Row],[IVA]]</f>
        <v>11216.0224</v>
      </c>
      <c r="K983" s="7">
        <f t="shared" si="19"/>
        <v>112160.224</v>
      </c>
      <c r="L983" t="s">
        <v>237</v>
      </c>
    </row>
    <row r="984" spans="1:14" x14ac:dyDescent="0.35">
      <c r="A984" s="13">
        <v>45854</v>
      </c>
      <c r="B984" t="s">
        <v>264</v>
      </c>
      <c r="C984" t="s">
        <v>259</v>
      </c>
      <c r="E984" s="8">
        <v>5</v>
      </c>
      <c r="F984" s="1">
        <v>9098.23</v>
      </c>
      <c r="H984">
        <v>1.21</v>
      </c>
      <c r="J984" s="2">
        <f>+DATAIN_COMPRAS__2[[#This Row],[$/ UN NETO]]*DATAIN_COMPRAS__2[[#This Row],[IVA]]</f>
        <v>11008.8583</v>
      </c>
      <c r="K984" s="7">
        <f t="shared" si="19"/>
        <v>55044.291499999992</v>
      </c>
      <c r="L984" t="s">
        <v>237</v>
      </c>
    </row>
    <row r="985" spans="1:14" x14ac:dyDescent="0.35">
      <c r="A985" s="13">
        <v>45855</v>
      </c>
      <c r="B985" t="s">
        <v>181</v>
      </c>
      <c r="C985" s="14" t="s">
        <v>183</v>
      </c>
      <c r="E985" s="8">
        <f>4*5</f>
        <v>20</v>
      </c>
      <c r="F985" s="1">
        <f>56780.99/5</f>
        <v>11356.198</v>
      </c>
      <c r="H985">
        <v>1.21</v>
      </c>
      <c r="J985" s="2">
        <f>+DATAIN_COMPRAS__2[[#This Row],[$/ UN NETO]]*DATAIN_COMPRAS__2[[#This Row],[IVA]]</f>
        <v>13740.99958</v>
      </c>
      <c r="K985" s="7">
        <f t="shared" si="19"/>
        <v>274819.99160000001</v>
      </c>
      <c r="L985" t="s">
        <v>158</v>
      </c>
    </row>
    <row r="986" spans="1:14" x14ac:dyDescent="0.35">
      <c r="A986" s="13">
        <v>45856</v>
      </c>
      <c r="B986" t="s">
        <v>104</v>
      </c>
      <c r="C986" t="s">
        <v>105</v>
      </c>
      <c r="E986" s="8">
        <v>2</v>
      </c>
      <c r="F986" s="1">
        <v>10580</v>
      </c>
      <c r="H986">
        <v>1</v>
      </c>
      <c r="J986" s="2">
        <f>+DATAIN_COMPRAS__2[[#This Row],[$/ UN NETO]]*DATAIN_COMPRAS__2[[#This Row],[IVA]]</f>
        <v>10580</v>
      </c>
      <c r="K986" s="7">
        <f t="shared" si="19"/>
        <v>21160</v>
      </c>
      <c r="L986" t="s">
        <v>158</v>
      </c>
    </row>
    <row r="987" spans="1:14" x14ac:dyDescent="0.35">
      <c r="A987" s="13">
        <v>45857</v>
      </c>
      <c r="B987" t="s">
        <v>12</v>
      </c>
      <c r="C987" t="s">
        <v>23</v>
      </c>
      <c r="E987" s="8">
        <v>0.27</v>
      </c>
      <c r="F987" s="1">
        <f>6800/DATAIN_COMPRAS__2[[#This Row],[IVA]]</f>
        <v>6153.8461538461543</v>
      </c>
      <c r="H987">
        <v>1.105</v>
      </c>
      <c r="J987" s="2">
        <f>+DATAIN_COMPRAS__2[[#This Row],[$/ UN NETO]]*DATAIN_COMPRAS__2[[#This Row],[IVA]]</f>
        <v>6800</v>
      </c>
      <c r="K987" s="7">
        <f t="shared" si="19"/>
        <v>1836</v>
      </c>
      <c r="L987" t="s">
        <v>237</v>
      </c>
    </row>
    <row r="988" spans="1:14" x14ac:dyDescent="0.35">
      <c r="A988" s="13">
        <v>45857</v>
      </c>
      <c r="B988" t="s">
        <v>12</v>
      </c>
      <c r="C988" t="s">
        <v>360</v>
      </c>
      <c r="E988" s="8">
        <v>0.26</v>
      </c>
      <c r="F988" s="1">
        <f>3800/DATAIN_COMPRAS__2[[#This Row],[IVA]]</f>
        <v>3438.9140271493211</v>
      </c>
      <c r="H988">
        <v>1.105</v>
      </c>
      <c r="J988" s="2">
        <f>+DATAIN_COMPRAS__2[[#This Row],[$/ UN NETO]]*DATAIN_COMPRAS__2[[#This Row],[IVA]]</f>
        <v>3799.9999999999995</v>
      </c>
      <c r="K988" s="7">
        <f t="shared" si="19"/>
        <v>988</v>
      </c>
      <c r="L988" t="s">
        <v>237</v>
      </c>
    </row>
    <row r="989" spans="1:14" x14ac:dyDescent="0.35">
      <c r="A989" s="13">
        <v>45857</v>
      </c>
      <c r="B989" t="s">
        <v>12</v>
      </c>
      <c r="C989" t="s">
        <v>268</v>
      </c>
      <c r="E989" s="8">
        <v>1</v>
      </c>
      <c r="F989" s="1">
        <f>3800/DATAIN_COMPRAS__2[[#This Row],[IVA]]</f>
        <v>3438.9140271493211</v>
      </c>
      <c r="H989">
        <v>1.105</v>
      </c>
      <c r="J989" s="2">
        <f>+DATAIN_COMPRAS__2[[#This Row],[$/ UN NETO]]*DATAIN_COMPRAS__2[[#This Row],[IVA]]</f>
        <v>3799.9999999999995</v>
      </c>
      <c r="K989" s="7">
        <f t="shared" si="19"/>
        <v>3799.9999999999995</v>
      </c>
      <c r="L989" t="s">
        <v>237</v>
      </c>
    </row>
    <row r="990" spans="1:14" x14ac:dyDescent="0.35">
      <c r="A990" s="13">
        <v>45857</v>
      </c>
      <c r="B990" t="s">
        <v>12</v>
      </c>
      <c r="C990" t="s">
        <v>301</v>
      </c>
      <c r="E990" s="8">
        <v>0.51</v>
      </c>
      <c r="F990" s="1">
        <f>4800/DATAIN_COMPRAS__2[[#This Row],[IVA]]</f>
        <v>4343.8914027149322</v>
      </c>
      <c r="H990">
        <v>1.105</v>
      </c>
      <c r="J990" s="2">
        <f>+DATAIN_COMPRAS__2[[#This Row],[$/ UN NETO]]*DATAIN_COMPRAS__2[[#This Row],[IVA]]</f>
        <v>4800</v>
      </c>
      <c r="K990" s="7">
        <f t="shared" si="19"/>
        <v>2448</v>
      </c>
      <c r="L990" t="s">
        <v>237</v>
      </c>
    </row>
    <row r="991" spans="1:14" x14ac:dyDescent="0.35">
      <c r="A991" s="13">
        <v>45859</v>
      </c>
      <c r="B991" t="s">
        <v>12</v>
      </c>
      <c r="C991" t="s">
        <v>26</v>
      </c>
      <c r="E991" s="8">
        <v>3</v>
      </c>
      <c r="F991" s="1">
        <f>1700/DATAIN_COMPRAS__2[[#This Row],[IVA]]</f>
        <v>1538.4615384615386</v>
      </c>
      <c r="H991">
        <v>1.105</v>
      </c>
      <c r="J991" s="2">
        <f>+DATAIN_COMPRAS__2[[#This Row],[$/ UN NETO]]*DATAIN_COMPRAS__2[[#This Row],[IVA]]</f>
        <v>1700</v>
      </c>
      <c r="K991" s="7">
        <f t="shared" si="19"/>
        <v>5100</v>
      </c>
      <c r="L991" t="s">
        <v>237</v>
      </c>
    </row>
    <row r="992" spans="1:14" x14ac:dyDescent="0.35">
      <c r="A992" s="13">
        <v>45859</v>
      </c>
      <c r="B992" t="s">
        <v>12</v>
      </c>
      <c r="C992" t="s">
        <v>40</v>
      </c>
      <c r="E992" s="8">
        <v>1.43</v>
      </c>
      <c r="F992" s="1">
        <f>900/DATAIN_COMPRAS__2[[#This Row],[IVA]]</f>
        <v>814.47963800904984</v>
      </c>
      <c r="H992">
        <v>1.105</v>
      </c>
      <c r="J992" s="2">
        <f>+DATAIN_COMPRAS__2[[#This Row],[$/ UN NETO]]*DATAIN_COMPRAS__2[[#This Row],[IVA]]</f>
        <v>900</v>
      </c>
      <c r="K992" s="7">
        <f t="shared" si="19"/>
        <v>1287</v>
      </c>
      <c r="L992" t="s">
        <v>237</v>
      </c>
    </row>
    <row r="993" spans="1:12" x14ac:dyDescent="0.35">
      <c r="A993" s="13">
        <v>45859</v>
      </c>
      <c r="B993" t="s">
        <v>12</v>
      </c>
      <c r="C993" t="s">
        <v>41</v>
      </c>
      <c r="E993" s="8">
        <v>1</v>
      </c>
      <c r="F993" s="1">
        <f>1900/DATAIN_COMPRAS__2[[#This Row],[IVA]]</f>
        <v>1719.4570135746606</v>
      </c>
      <c r="H993">
        <v>1.105</v>
      </c>
      <c r="J993" s="2">
        <f>+DATAIN_COMPRAS__2[[#This Row],[$/ UN NETO]]*DATAIN_COMPRAS__2[[#This Row],[IVA]]</f>
        <v>1899.9999999999998</v>
      </c>
      <c r="K993" s="7">
        <f t="shared" si="19"/>
        <v>1899.9999999999998</v>
      </c>
      <c r="L993" t="s">
        <v>237</v>
      </c>
    </row>
    <row r="994" spans="1:12" x14ac:dyDescent="0.35">
      <c r="A994" s="13">
        <v>45859</v>
      </c>
      <c r="B994" t="s">
        <v>12</v>
      </c>
      <c r="C994" t="s">
        <v>25</v>
      </c>
      <c r="E994" s="8">
        <v>1</v>
      </c>
      <c r="F994" s="1">
        <f>5300/DATAIN_COMPRAS__2[[#This Row],[IVA]]</f>
        <v>4796.3800904977379</v>
      </c>
      <c r="H994">
        <v>1.105</v>
      </c>
      <c r="J994" s="2">
        <f>+DATAIN_COMPRAS__2[[#This Row],[$/ UN NETO]]*DATAIN_COMPRAS__2[[#This Row],[IVA]]</f>
        <v>5300</v>
      </c>
      <c r="K994" s="7">
        <f t="shared" si="19"/>
        <v>5300</v>
      </c>
      <c r="L994" t="s">
        <v>237</v>
      </c>
    </row>
    <row r="995" spans="1:12" x14ac:dyDescent="0.35">
      <c r="A995" s="13">
        <v>45859</v>
      </c>
      <c r="B995" t="s">
        <v>12</v>
      </c>
      <c r="C995" t="s">
        <v>39</v>
      </c>
      <c r="E995" s="8">
        <v>0.39</v>
      </c>
      <c r="F995" s="1">
        <f>2600/DATAIN_COMPRAS__2[[#This Row],[IVA]]</f>
        <v>2352.9411764705883</v>
      </c>
      <c r="H995">
        <v>1.105</v>
      </c>
      <c r="J995" s="2">
        <f>+DATAIN_COMPRAS__2[[#This Row],[$/ UN NETO]]*DATAIN_COMPRAS__2[[#This Row],[IVA]]</f>
        <v>2600</v>
      </c>
      <c r="K995" s="7">
        <f t="shared" ref="K995:K1058" si="20">(E995*F995)*(1-I995)*(H995)</f>
        <v>1014.0000000000001</v>
      </c>
      <c r="L995" t="s">
        <v>237</v>
      </c>
    </row>
    <row r="996" spans="1:12" x14ac:dyDescent="0.35">
      <c r="A996" s="13">
        <v>45859</v>
      </c>
      <c r="B996" t="s">
        <v>12</v>
      </c>
      <c r="C996" t="s">
        <v>32</v>
      </c>
      <c r="E996" s="8">
        <v>1</v>
      </c>
      <c r="F996" s="1">
        <f>857.142857142857/DATAIN_COMPRAS__2[[#This Row],[IVA]]</f>
        <v>775.69489334195202</v>
      </c>
      <c r="H996">
        <v>1.105</v>
      </c>
      <c r="J996" s="2">
        <f>+DATAIN_COMPRAS__2[[#This Row],[$/ UN NETO]]*DATAIN_COMPRAS__2[[#This Row],[IVA]]</f>
        <v>857.142857142857</v>
      </c>
      <c r="K996" s="7">
        <f t="shared" si="20"/>
        <v>857.142857142857</v>
      </c>
      <c r="L996" t="s">
        <v>237</v>
      </c>
    </row>
    <row r="997" spans="1:12" x14ac:dyDescent="0.35">
      <c r="A997" s="13">
        <v>45859</v>
      </c>
      <c r="B997" t="s">
        <v>12</v>
      </c>
      <c r="C997" t="s">
        <v>28</v>
      </c>
      <c r="E997" s="8">
        <v>1</v>
      </c>
      <c r="F997" s="1">
        <f>900/DATAIN_COMPRAS__2[[#This Row],[IVA]]</f>
        <v>814.47963800904984</v>
      </c>
      <c r="H997">
        <v>1.105</v>
      </c>
      <c r="J997" s="2">
        <f>+DATAIN_COMPRAS__2[[#This Row],[$/ UN NETO]]*DATAIN_COMPRAS__2[[#This Row],[IVA]]</f>
        <v>900</v>
      </c>
      <c r="K997" s="7">
        <f t="shared" si="20"/>
        <v>900</v>
      </c>
      <c r="L997" t="s">
        <v>237</v>
      </c>
    </row>
    <row r="998" spans="1:12" x14ac:dyDescent="0.35">
      <c r="A998" s="13">
        <v>45859</v>
      </c>
      <c r="B998" t="s">
        <v>12</v>
      </c>
      <c r="C998" t="s">
        <v>20</v>
      </c>
      <c r="E998" s="8">
        <v>2</v>
      </c>
      <c r="F998" s="1">
        <f>1800/DATAIN_COMPRAS__2[[#This Row],[IVA]]</f>
        <v>1628.9592760180997</v>
      </c>
      <c r="H998">
        <v>1.105</v>
      </c>
      <c r="J998" s="2">
        <f>+DATAIN_COMPRAS__2[[#This Row],[$/ UN NETO]]*DATAIN_COMPRAS__2[[#This Row],[IVA]]</f>
        <v>1800</v>
      </c>
      <c r="K998" s="7">
        <f t="shared" si="20"/>
        <v>3600</v>
      </c>
      <c r="L998" t="s">
        <v>237</v>
      </c>
    </row>
    <row r="999" spans="1:12" x14ac:dyDescent="0.35">
      <c r="A999" s="13">
        <v>45860</v>
      </c>
      <c r="B999" t="s">
        <v>124</v>
      </c>
      <c r="C999" t="s">
        <v>125</v>
      </c>
      <c r="E999" s="8">
        <v>12</v>
      </c>
      <c r="F999" s="1">
        <f>40000</f>
        <v>40000</v>
      </c>
      <c r="H999">
        <v>1</v>
      </c>
      <c r="J999" s="2">
        <f>+DATAIN_COMPRAS__2[[#This Row],[$/ UN NETO]]*DATAIN_COMPRAS__2[[#This Row],[IVA]]</f>
        <v>40000</v>
      </c>
      <c r="K999" s="7">
        <f t="shared" si="20"/>
        <v>480000</v>
      </c>
      <c r="L999" t="s">
        <v>237</v>
      </c>
    </row>
    <row r="1000" spans="1:12" x14ac:dyDescent="0.35">
      <c r="A1000" s="13">
        <v>45860</v>
      </c>
      <c r="B1000" t="s">
        <v>124</v>
      </c>
      <c r="C1000" t="s">
        <v>126</v>
      </c>
      <c r="E1000" s="8">
        <v>5</v>
      </c>
      <c r="F1000" s="1">
        <f>(84000)/5</f>
        <v>16800</v>
      </c>
      <c r="H1000">
        <v>1</v>
      </c>
      <c r="J1000" s="2">
        <f>+DATAIN_COMPRAS__2[[#This Row],[$/ UN NETO]]*DATAIN_COMPRAS__2[[#This Row],[IVA]]</f>
        <v>16800</v>
      </c>
      <c r="K1000" s="7">
        <f t="shared" si="20"/>
        <v>84000</v>
      </c>
      <c r="L1000" t="s">
        <v>237</v>
      </c>
    </row>
    <row r="1001" spans="1:12" x14ac:dyDescent="0.35">
      <c r="A1001" s="13">
        <v>45860</v>
      </c>
      <c r="B1001" t="s">
        <v>48</v>
      </c>
      <c r="C1001" t="s">
        <v>261</v>
      </c>
      <c r="E1001" s="8">
        <v>10</v>
      </c>
      <c r="F1001" s="1">
        <f>19933.8802/10</f>
        <v>1993.3880199999999</v>
      </c>
      <c r="H1001">
        <v>1.21</v>
      </c>
      <c r="I1001">
        <v>0.06</v>
      </c>
      <c r="J1001" s="2">
        <f>+DATAIN_COMPRAS__2[[#This Row],[$/ UN NETO]]*DATAIN_COMPRAS__2[[#This Row],[IVA]]</f>
        <v>2411.9995041999996</v>
      </c>
      <c r="K1001" s="7">
        <f t="shared" si="20"/>
        <v>22672.795339479999</v>
      </c>
      <c r="L1001" t="s">
        <v>237</v>
      </c>
    </row>
    <row r="1002" spans="1:12" x14ac:dyDescent="0.35">
      <c r="A1002" s="13">
        <v>45860</v>
      </c>
      <c r="B1002" t="s">
        <v>48</v>
      </c>
      <c r="C1002" t="s">
        <v>261</v>
      </c>
      <c r="E1002" s="8">
        <v>10</v>
      </c>
      <c r="F1002" s="1">
        <f>19933.8802/10</f>
        <v>1993.3880199999999</v>
      </c>
      <c r="H1002">
        <v>1.21</v>
      </c>
      <c r="I1002">
        <v>0.06</v>
      </c>
      <c r="J1002" s="2">
        <f>+DATAIN_COMPRAS__2[[#This Row],[$/ UN NETO]]*DATAIN_COMPRAS__2[[#This Row],[IVA]]</f>
        <v>2411.9995041999996</v>
      </c>
      <c r="K1002" s="7">
        <f t="shared" si="20"/>
        <v>22672.795339479999</v>
      </c>
      <c r="L1002" t="s">
        <v>158</v>
      </c>
    </row>
    <row r="1003" spans="1:12" x14ac:dyDescent="0.35">
      <c r="A1003" s="13">
        <v>45860</v>
      </c>
      <c r="B1003" t="s">
        <v>48</v>
      </c>
      <c r="C1003" s="19" t="s">
        <v>57</v>
      </c>
      <c r="E1003" s="8">
        <v>1</v>
      </c>
      <c r="F1003" s="1">
        <v>1121.73</v>
      </c>
      <c r="H1003">
        <v>1.21</v>
      </c>
      <c r="I1003">
        <v>0.06</v>
      </c>
      <c r="J1003" s="2">
        <f>+DATAIN_COMPRAS__2[[#This Row],[$/ UN NETO]]*DATAIN_COMPRAS__2[[#This Row],[IVA]]</f>
        <v>1357.2933</v>
      </c>
      <c r="K1003" s="7">
        <f t="shared" si="20"/>
        <v>1275.8557019999998</v>
      </c>
      <c r="L1003" t="s">
        <v>237</v>
      </c>
    </row>
    <row r="1004" spans="1:12" x14ac:dyDescent="0.35">
      <c r="A1004" s="13">
        <v>45860</v>
      </c>
      <c r="B1004" t="s">
        <v>48</v>
      </c>
      <c r="C1004" t="s">
        <v>55</v>
      </c>
      <c r="E1004" s="8">
        <v>2</v>
      </c>
      <c r="F1004" s="1">
        <v>874.9633</v>
      </c>
      <c r="H1004">
        <v>1.21</v>
      </c>
      <c r="I1004">
        <v>0.06</v>
      </c>
      <c r="J1004" s="2">
        <f>+DATAIN_COMPRAS__2[[#This Row],[$/ UN NETO]]*DATAIN_COMPRAS__2[[#This Row],[IVA]]</f>
        <v>1058.7055929999999</v>
      </c>
      <c r="K1004" s="7">
        <f t="shared" si="20"/>
        <v>1990.3665148399998</v>
      </c>
      <c r="L1004" t="s">
        <v>237</v>
      </c>
    </row>
    <row r="1005" spans="1:12" x14ac:dyDescent="0.35">
      <c r="A1005" s="13">
        <v>45860</v>
      </c>
      <c r="B1005" t="s">
        <v>48</v>
      </c>
      <c r="C1005" t="s">
        <v>58</v>
      </c>
      <c r="E1005" s="8">
        <v>6</v>
      </c>
      <c r="F1005" s="1">
        <v>3660.3333333333335</v>
      </c>
      <c r="H1005">
        <v>1.21</v>
      </c>
      <c r="I1005">
        <v>0.06</v>
      </c>
      <c r="J1005" s="2">
        <f>+DATAIN_COMPRAS__2[[#This Row],[$/ UN NETO]]*DATAIN_COMPRAS__2[[#This Row],[IVA]]</f>
        <v>4429.0033333333331</v>
      </c>
      <c r="K1005" s="7">
        <f t="shared" si="20"/>
        <v>24979.578799999999</v>
      </c>
      <c r="L1005" t="s">
        <v>237</v>
      </c>
    </row>
    <row r="1006" spans="1:12" x14ac:dyDescent="0.35">
      <c r="A1006" s="13">
        <v>45860</v>
      </c>
      <c r="B1006" t="s">
        <v>48</v>
      </c>
      <c r="C1006" s="18" t="s">
        <v>53</v>
      </c>
      <c r="E1006" s="8">
        <v>2</v>
      </c>
      <c r="F1006" s="1">
        <v>1057.32</v>
      </c>
      <c r="H1006">
        <v>1.21</v>
      </c>
      <c r="J1006" s="2">
        <f>+DATAIN_COMPRAS__2[[#This Row],[$/ UN NETO]]*DATAIN_COMPRAS__2[[#This Row],[IVA]]</f>
        <v>1279.3571999999999</v>
      </c>
      <c r="K1006" s="7">
        <f t="shared" si="20"/>
        <v>2558.7143999999998</v>
      </c>
      <c r="L1006" t="s">
        <v>237</v>
      </c>
    </row>
    <row r="1007" spans="1:12" x14ac:dyDescent="0.35">
      <c r="A1007" s="13">
        <v>45860</v>
      </c>
      <c r="B1007" t="s">
        <v>48</v>
      </c>
      <c r="C1007" s="14" t="s">
        <v>833</v>
      </c>
      <c r="E1007" s="8">
        <v>3.5</v>
      </c>
      <c r="F1007" s="1">
        <f>19208.0044/3.5</f>
        <v>5488.0012571428579</v>
      </c>
      <c r="H1007">
        <v>1.21</v>
      </c>
      <c r="I1007">
        <v>0.06</v>
      </c>
      <c r="J1007" s="2">
        <f>+DATAIN_COMPRAS__2[[#This Row],[$/ UN NETO]]*DATAIN_COMPRAS__2[[#This Row],[IVA]]</f>
        <v>6640.4815211428577</v>
      </c>
      <c r="K1007" s="7">
        <f t="shared" si="20"/>
        <v>21847.184204559999</v>
      </c>
      <c r="L1007" t="s">
        <v>237</v>
      </c>
    </row>
    <row r="1008" spans="1:12" x14ac:dyDescent="0.35">
      <c r="A1008" s="13">
        <v>45860</v>
      </c>
      <c r="B1008" t="s">
        <v>48</v>
      </c>
      <c r="C1008" t="s">
        <v>248</v>
      </c>
      <c r="E1008" s="8">
        <v>2</v>
      </c>
      <c r="F1008" s="1">
        <v>793.32</v>
      </c>
      <c r="H1008">
        <v>1.21</v>
      </c>
      <c r="J1008" s="2">
        <f>+DATAIN_COMPRAS__2[[#This Row],[$/ UN NETO]]*DATAIN_COMPRAS__2[[#This Row],[IVA]]</f>
        <v>959.91719999999998</v>
      </c>
      <c r="K1008" s="7">
        <f t="shared" si="20"/>
        <v>1919.8344</v>
      </c>
      <c r="L1008" t="s">
        <v>237</v>
      </c>
    </row>
    <row r="1009" spans="1:12" x14ac:dyDescent="0.35">
      <c r="A1009" s="13">
        <v>45860</v>
      </c>
      <c r="B1009" t="s">
        <v>48</v>
      </c>
      <c r="C1009" s="19" t="s">
        <v>54</v>
      </c>
      <c r="E1009" s="8">
        <v>3</v>
      </c>
      <c r="F1009" s="1">
        <v>793.46910000000003</v>
      </c>
      <c r="H1009">
        <v>1.21</v>
      </c>
      <c r="I1009">
        <v>0.06</v>
      </c>
      <c r="J1009" s="2">
        <f>+DATAIN_COMPRAS__2[[#This Row],[$/ UN NETO]]*DATAIN_COMPRAS__2[[#This Row],[IVA]]</f>
        <v>960.09761100000003</v>
      </c>
      <c r="K1009" s="7">
        <f t="shared" si="20"/>
        <v>2707.4752630199996</v>
      </c>
      <c r="L1009" t="s">
        <v>237</v>
      </c>
    </row>
    <row r="1010" spans="1:12" x14ac:dyDescent="0.35">
      <c r="A1010" s="13">
        <v>45860</v>
      </c>
      <c r="B1010" t="s">
        <v>359</v>
      </c>
      <c r="C1010" t="s">
        <v>191</v>
      </c>
      <c r="E1010" s="8">
        <v>10</v>
      </c>
      <c r="F1010" s="1">
        <v>1036.8599999999999</v>
      </c>
      <c r="H1010">
        <v>1.21</v>
      </c>
      <c r="J1010" s="2">
        <f>+DATAIN_COMPRAS__2[[#This Row],[$/ UN NETO]]*DATAIN_COMPRAS__2[[#This Row],[IVA]]</f>
        <v>1254.6005999999998</v>
      </c>
      <c r="K1010" s="7">
        <f t="shared" si="20"/>
        <v>12546.005999999998</v>
      </c>
      <c r="L1010" t="s">
        <v>158</v>
      </c>
    </row>
    <row r="1011" spans="1:12" x14ac:dyDescent="0.35">
      <c r="A1011" s="13">
        <v>45860</v>
      </c>
      <c r="B1011" t="s">
        <v>359</v>
      </c>
      <c r="C1011" t="s">
        <v>357</v>
      </c>
      <c r="E1011" s="8">
        <v>1</v>
      </c>
      <c r="F1011" s="1">
        <v>12198.35</v>
      </c>
      <c r="H1011">
        <v>1.21</v>
      </c>
      <c r="J1011" s="2">
        <f>+DATAIN_COMPRAS__2[[#This Row],[$/ UN NETO]]*DATAIN_COMPRAS__2[[#This Row],[IVA]]</f>
        <v>14760.003500000001</v>
      </c>
      <c r="K1011" s="7">
        <f t="shared" si="20"/>
        <v>14760.003500000001</v>
      </c>
      <c r="L1011" t="s">
        <v>158</v>
      </c>
    </row>
    <row r="1012" spans="1:12" x14ac:dyDescent="0.35">
      <c r="A1012" s="13">
        <v>45860</v>
      </c>
      <c r="B1012" t="s">
        <v>359</v>
      </c>
      <c r="C1012" t="s">
        <v>144</v>
      </c>
      <c r="E1012" s="8">
        <v>5</v>
      </c>
      <c r="F1012" s="1">
        <f>4879.34/5</f>
        <v>975.86800000000005</v>
      </c>
      <c r="H1012">
        <v>1.21</v>
      </c>
      <c r="J1012" s="2">
        <f>+DATAIN_COMPRAS__2[[#This Row],[$/ UN NETO]]*DATAIN_COMPRAS__2[[#This Row],[IVA]]</f>
        <v>1180.8002799999999</v>
      </c>
      <c r="K1012" s="7">
        <f t="shared" si="20"/>
        <v>5904.0014000000001</v>
      </c>
      <c r="L1012" t="s">
        <v>158</v>
      </c>
    </row>
    <row r="1013" spans="1:12" x14ac:dyDescent="0.35">
      <c r="A1013" s="13">
        <v>45860</v>
      </c>
      <c r="B1013" t="s">
        <v>80</v>
      </c>
      <c r="C1013" t="s">
        <v>100</v>
      </c>
      <c r="E1013" s="8">
        <v>20</v>
      </c>
      <c r="F1013" s="1">
        <v>454.55</v>
      </c>
      <c r="H1013">
        <v>1.21</v>
      </c>
      <c r="J1013" s="2">
        <f>+DATAIN_COMPRAS__2[[#This Row],[$/ UN NETO]]*DATAIN_COMPRAS__2[[#This Row],[IVA]]</f>
        <v>550.00549999999998</v>
      </c>
      <c r="K1013" s="7">
        <f t="shared" si="20"/>
        <v>11000.11</v>
      </c>
      <c r="L1013" t="s">
        <v>237</v>
      </c>
    </row>
    <row r="1014" spans="1:12" x14ac:dyDescent="0.35">
      <c r="A1014" s="13">
        <v>45860</v>
      </c>
      <c r="B1014" t="s">
        <v>80</v>
      </c>
      <c r="C1014" t="s">
        <v>89</v>
      </c>
      <c r="E1014" s="8">
        <v>2</v>
      </c>
      <c r="F1014" s="1">
        <v>661.15</v>
      </c>
      <c r="H1014">
        <v>1.21</v>
      </c>
      <c r="J1014" s="2">
        <f>+DATAIN_COMPRAS__2[[#This Row],[$/ UN NETO]]*DATAIN_COMPRAS__2[[#This Row],[IVA]]</f>
        <v>799.99149999999997</v>
      </c>
      <c r="K1014" s="7">
        <f t="shared" si="20"/>
        <v>1599.9829999999999</v>
      </c>
      <c r="L1014" t="s">
        <v>237</v>
      </c>
    </row>
    <row r="1015" spans="1:12" x14ac:dyDescent="0.35">
      <c r="A1015" s="13">
        <v>45860</v>
      </c>
      <c r="B1015" t="s">
        <v>80</v>
      </c>
      <c r="C1015" t="s">
        <v>207</v>
      </c>
      <c r="E1015" s="8">
        <v>60</v>
      </c>
      <c r="F1015" s="1">
        <v>85.52</v>
      </c>
      <c r="H1015">
        <v>1.21</v>
      </c>
      <c r="J1015" s="2">
        <f>+DATAIN_COMPRAS__2[[#This Row],[$/ UN NETO]]*DATAIN_COMPRAS__2[[#This Row],[IVA]]</f>
        <v>103.47919999999999</v>
      </c>
      <c r="K1015" s="7">
        <f t="shared" si="20"/>
        <v>6208.7519999999995</v>
      </c>
      <c r="L1015" t="s">
        <v>237</v>
      </c>
    </row>
    <row r="1016" spans="1:12" x14ac:dyDescent="0.35">
      <c r="A1016" s="13">
        <v>45860</v>
      </c>
      <c r="B1016" t="s">
        <v>80</v>
      </c>
      <c r="C1016" t="s">
        <v>94</v>
      </c>
      <c r="E1016" s="8">
        <v>8</v>
      </c>
      <c r="F1016" s="1">
        <v>1074.3800000000001</v>
      </c>
      <c r="H1016">
        <v>1.21</v>
      </c>
      <c r="J1016" s="2">
        <f>+DATAIN_COMPRAS__2[[#This Row],[$/ UN NETO]]*DATAIN_COMPRAS__2[[#This Row],[IVA]]</f>
        <v>1299.9998000000001</v>
      </c>
      <c r="K1016" s="7">
        <f t="shared" si="20"/>
        <v>10399.9984</v>
      </c>
      <c r="L1016" t="s">
        <v>237</v>
      </c>
    </row>
    <row r="1017" spans="1:12" x14ac:dyDescent="0.35">
      <c r="A1017" s="13">
        <v>45860</v>
      </c>
      <c r="B1017" t="s">
        <v>80</v>
      </c>
      <c r="C1017" t="s">
        <v>355</v>
      </c>
      <c r="E1017" s="8">
        <v>30</v>
      </c>
      <c r="F1017" s="1">
        <v>49.59</v>
      </c>
      <c r="H1017">
        <v>1.21</v>
      </c>
      <c r="J1017" s="2">
        <f>+DATAIN_COMPRAS__2[[#This Row],[$/ UN NETO]]*DATAIN_COMPRAS__2[[#This Row],[IVA]]</f>
        <v>60.003900000000002</v>
      </c>
      <c r="K1017" s="7">
        <f t="shared" si="20"/>
        <v>1800.117</v>
      </c>
      <c r="L1017" t="s">
        <v>237</v>
      </c>
    </row>
    <row r="1018" spans="1:12" x14ac:dyDescent="0.35">
      <c r="A1018" s="13">
        <v>45860</v>
      </c>
      <c r="B1018" t="s">
        <v>80</v>
      </c>
      <c r="C1018" t="s">
        <v>354</v>
      </c>
      <c r="E1018" s="8">
        <v>30</v>
      </c>
      <c r="F1018" s="1">
        <v>66.12</v>
      </c>
      <c r="H1018">
        <v>1.21</v>
      </c>
      <c r="J1018" s="2">
        <f>+DATAIN_COMPRAS__2[[#This Row],[$/ UN NETO]]*DATAIN_COMPRAS__2[[#This Row],[IVA]]</f>
        <v>80.005200000000002</v>
      </c>
      <c r="K1018" s="7">
        <f t="shared" si="20"/>
        <v>2400.1559999999999</v>
      </c>
      <c r="L1018" t="s">
        <v>237</v>
      </c>
    </row>
    <row r="1019" spans="1:12" x14ac:dyDescent="0.35">
      <c r="A1019" s="13">
        <v>45860</v>
      </c>
      <c r="B1019" t="s">
        <v>110</v>
      </c>
      <c r="C1019" t="s">
        <v>112</v>
      </c>
      <c r="E1019" s="8">
        <v>1</v>
      </c>
      <c r="F1019" s="1">
        <f>4200*2</f>
        <v>8400</v>
      </c>
      <c r="H1019">
        <v>1.21</v>
      </c>
      <c r="J1019" s="2">
        <f>+DATAIN_COMPRAS__2[[#This Row],[$/ UN NETO]]*DATAIN_COMPRAS__2[[#This Row],[IVA]]</f>
        <v>10164</v>
      </c>
      <c r="K1019" s="7">
        <f t="shared" si="20"/>
        <v>10164</v>
      </c>
      <c r="L1019" t="s">
        <v>158</v>
      </c>
    </row>
    <row r="1020" spans="1:12" x14ac:dyDescent="0.35">
      <c r="A1020" s="13">
        <v>45860</v>
      </c>
      <c r="B1020" t="s">
        <v>313</v>
      </c>
      <c r="C1020" s="14" t="s">
        <v>103</v>
      </c>
      <c r="E1020" s="8">
        <v>360</v>
      </c>
      <c r="F1020" s="1">
        <f>66000/360/DATAIN_COMPRAS__2[[#This Row],[IVA]]</f>
        <v>151.51515151515153</v>
      </c>
      <c r="H1020">
        <v>1.21</v>
      </c>
      <c r="J1020" s="2">
        <f>+DATAIN_COMPRAS__2[[#This Row],[$/ UN NETO]]*DATAIN_COMPRAS__2[[#This Row],[IVA]]</f>
        <v>183.33333333333334</v>
      </c>
      <c r="K1020" s="7">
        <f t="shared" si="20"/>
        <v>66000</v>
      </c>
      <c r="L1020" t="s">
        <v>237</v>
      </c>
    </row>
    <row r="1021" spans="1:12" x14ac:dyDescent="0.35">
      <c r="A1021" s="13">
        <v>45860</v>
      </c>
      <c r="B1021" t="s">
        <v>71</v>
      </c>
      <c r="C1021" t="s">
        <v>224</v>
      </c>
      <c r="E1021" s="8">
        <v>2</v>
      </c>
      <c r="F1021" s="1">
        <f>4622/DATAIN_COMPRAS__2[[#This Row],[IVA]]</f>
        <v>3819.8347107438017</v>
      </c>
      <c r="H1021">
        <v>1.21</v>
      </c>
      <c r="J1021" s="2">
        <f>+DATAIN_COMPRAS__2[[#This Row],[$/ UN NETO]]*DATAIN_COMPRAS__2[[#This Row],[IVA]]</f>
        <v>4622</v>
      </c>
      <c r="K1021" s="7">
        <f t="shared" si="20"/>
        <v>9244</v>
      </c>
      <c r="L1021" t="s">
        <v>237</v>
      </c>
    </row>
    <row r="1022" spans="1:12" x14ac:dyDescent="0.35">
      <c r="A1022" s="13">
        <v>45860</v>
      </c>
      <c r="B1022" t="s">
        <v>71</v>
      </c>
      <c r="C1022" t="s">
        <v>73</v>
      </c>
      <c r="E1022" s="8">
        <v>1</v>
      </c>
      <c r="F1022" s="1">
        <v>15389</v>
      </c>
      <c r="H1022">
        <v>1</v>
      </c>
      <c r="J1022" s="2">
        <f>+DATAIN_COMPRAS__2[[#This Row],[$/ UN NETO]]*DATAIN_COMPRAS__2[[#This Row],[IVA]]</f>
        <v>15389</v>
      </c>
      <c r="K1022" s="7">
        <f t="shared" si="20"/>
        <v>15389</v>
      </c>
      <c r="L1022" t="s">
        <v>255</v>
      </c>
    </row>
    <row r="1023" spans="1:12" x14ac:dyDescent="0.35">
      <c r="A1023" s="13">
        <v>45860</v>
      </c>
      <c r="B1023" t="s">
        <v>71</v>
      </c>
      <c r="C1023" t="s">
        <v>73</v>
      </c>
      <c r="E1023" s="8">
        <v>2.14</v>
      </c>
      <c r="F1023" s="1">
        <f>18056/DATAIN_COMPRAS__2[[#This Row],[IVA]]</f>
        <v>14922.314049586777</v>
      </c>
      <c r="H1023">
        <v>1.21</v>
      </c>
      <c r="J1023" s="2">
        <f>+DATAIN_COMPRAS__2[[#This Row],[$/ UN NETO]]*DATAIN_COMPRAS__2[[#This Row],[IVA]]</f>
        <v>18056</v>
      </c>
      <c r="K1023" s="7">
        <f t="shared" si="20"/>
        <v>38639.840000000004</v>
      </c>
      <c r="L1023" t="s">
        <v>237</v>
      </c>
    </row>
    <row r="1024" spans="1:12" x14ac:dyDescent="0.35">
      <c r="A1024" s="13">
        <v>45860</v>
      </c>
      <c r="B1024" t="s">
        <v>71</v>
      </c>
      <c r="C1024" t="s">
        <v>74</v>
      </c>
      <c r="E1024" s="8">
        <v>2</v>
      </c>
      <c r="F1024" s="1">
        <f>7298/DATAIN_COMPRAS__2[[#This Row],[IVA]]</f>
        <v>6031.4049586776864</v>
      </c>
      <c r="H1024">
        <v>1.21</v>
      </c>
      <c r="J1024" s="2">
        <f>+DATAIN_COMPRAS__2[[#This Row],[$/ UN NETO]]*DATAIN_COMPRAS__2[[#This Row],[IVA]]</f>
        <v>7298</v>
      </c>
      <c r="K1024" s="7">
        <f t="shared" si="20"/>
        <v>14596</v>
      </c>
      <c r="L1024" t="s">
        <v>237</v>
      </c>
    </row>
    <row r="1025" spans="1:12" x14ac:dyDescent="0.35">
      <c r="A1025" s="13">
        <v>45860</v>
      </c>
      <c r="B1025" t="s">
        <v>75</v>
      </c>
      <c r="C1025" t="s">
        <v>76</v>
      </c>
      <c r="E1025" s="8">
        <v>24</v>
      </c>
      <c r="F1025" s="1">
        <v>1101.4100000000001</v>
      </c>
      <c r="H1025">
        <v>1.21</v>
      </c>
      <c r="J1025" s="2">
        <f>+DATAIN_COMPRAS__2[[#This Row],[$/ UN NETO]]*DATAIN_COMPRAS__2[[#This Row],[IVA]]</f>
        <v>1332.7061000000001</v>
      </c>
      <c r="K1025" s="7">
        <f t="shared" si="20"/>
        <v>31984.946400000004</v>
      </c>
      <c r="L1025" t="s">
        <v>158</v>
      </c>
    </row>
    <row r="1026" spans="1:12" x14ac:dyDescent="0.35">
      <c r="A1026" s="13">
        <v>45860</v>
      </c>
      <c r="B1026" t="s">
        <v>75</v>
      </c>
      <c r="C1026" t="s">
        <v>76</v>
      </c>
      <c r="E1026" s="8">
        <v>120</v>
      </c>
      <c r="F1026" s="1">
        <v>1101.4100000000001</v>
      </c>
      <c r="H1026">
        <v>1.21</v>
      </c>
      <c r="J1026" s="2">
        <f>+DATAIN_COMPRAS__2[[#This Row],[$/ UN NETO]]*DATAIN_COMPRAS__2[[#This Row],[IVA]]</f>
        <v>1332.7061000000001</v>
      </c>
      <c r="K1026" s="7">
        <f t="shared" si="20"/>
        <v>159924.73200000002</v>
      </c>
      <c r="L1026" t="s">
        <v>237</v>
      </c>
    </row>
    <row r="1027" spans="1:12" x14ac:dyDescent="0.35">
      <c r="A1027" s="13">
        <v>45861</v>
      </c>
      <c r="B1027" t="s">
        <v>154</v>
      </c>
      <c r="C1027" t="s">
        <v>156</v>
      </c>
      <c r="E1027" s="8">
        <v>12</v>
      </c>
      <c r="F1027" s="1">
        <v>488.91320000000002</v>
      </c>
      <c r="H1027">
        <v>1.21</v>
      </c>
      <c r="J1027" s="2">
        <f>+DATAIN_COMPRAS__2[[#This Row],[$/ UN NETO]]*DATAIN_COMPRAS__2[[#This Row],[IVA]]</f>
        <v>591.58497199999999</v>
      </c>
      <c r="K1027" s="7">
        <f t="shared" si="20"/>
        <v>7099.0196640000004</v>
      </c>
      <c r="L1027" t="s">
        <v>237</v>
      </c>
    </row>
    <row r="1028" spans="1:12" x14ac:dyDescent="0.35">
      <c r="A1028" s="13">
        <v>45861</v>
      </c>
      <c r="B1028" t="s">
        <v>154</v>
      </c>
      <c r="C1028" t="s">
        <v>155</v>
      </c>
      <c r="E1028" s="8">
        <v>12</v>
      </c>
      <c r="F1028" s="1">
        <v>730.02480000000003</v>
      </c>
      <c r="H1028">
        <v>1.21</v>
      </c>
      <c r="J1028" s="2">
        <f>+DATAIN_COMPRAS__2[[#This Row],[$/ UN NETO]]*DATAIN_COMPRAS__2[[#This Row],[IVA]]</f>
        <v>883.33000800000002</v>
      </c>
      <c r="K1028" s="7">
        <f t="shared" si="20"/>
        <v>10599.960095999999</v>
      </c>
      <c r="L1028" t="s">
        <v>237</v>
      </c>
    </row>
    <row r="1029" spans="1:12" x14ac:dyDescent="0.35">
      <c r="A1029" s="13">
        <v>45862</v>
      </c>
      <c r="B1029" t="s">
        <v>179</v>
      </c>
      <c r="C1029" t="s">
        <v>180</v>
      </c>
      <c r="E1029" s="8">
        <v>10</v>
      </c>
      <c r="F1029" s="1">
        <f>30991.36/10</f>
        <v>3099.136</v>
      </c>
      <c r="H1029">
        <v>1.21</v>
      </c>
      <c r="J1029" s="2">
        <f>+DATAIN_COMPRAS__2[[#This Row],[$/ UN NETO]]*DATAIN_COMPRAS__2[[#This Row],[IVA]]</f>
        <v>3749.9545599999997</v>
      </c>
      <c r="K1029" s="7">
        <f t="shared" si="20"/>
        <v>37499.545599999998</v>
      </c>
      <c r="L1029" t="s">
        <v>158</v>
      </c>
    </row>
    <row r="1030" spans="1:12" x14ac:dyDescent="0.35">
      <c r="A1030" s="13">
        <v>45863</v>
      </c>
      <c r="B1030" t="s">
        <v>48</v>
      </c>
      <c r="C1030" t="s">
        <v>51</v>
      </c>
      <c r="E1030" s="8">
        <v>3.5</v>
      </c>
      <c r="F1030" s="1">
        <v>8776.8161</v>
      </c>
      <c r="H1030">
        <v>1.21</v>
      </c>
      <c r="I1030">
        <v>0.06</v>
      </c>
      <c r="J1030" s="2">
        <f>+DATAIN_COMPRAS__2[[#This Row],[$/ UN NETO]]*DATAIN_COMPRAS__2[[#This Row],[IVA]]</f>
        <v>10619.947480999999</v>
      </c>
      <c r="K1030" s="7">
        <f t="shared" si="20"/>
        <v>34939.627212489999</v>
      </c>
      <c r="L1030" t="s">
        <v>237</v>
      </c>
    </row>
    <row r="1031" spans="1:12" x14ac:dyDescent="0.35">
      <c r="A1031" s="13">
        <v>45863</v>
      </c>
      <c r="B1031" t="s">
        <v>80</v>
      </c>
      <c r="C1031" s="14" t="s">
        <v>847</v>
      </c>
      <c r="E1031" s="8">
        <v>1</v>
      </c>
      <c r="F1031" s="1">
        <f>50/DATAIN_COMPRAS__2[[#This Row],[IVA]]</f>
        <v>41.32231404958678</v>
      </c>
      <c r="H1031">
        <v>1.21</v>
      </c>
      <c r="J1031" s="2">
        <f>+DATAIN_COMPRAS__2[[#This Row],[$/ UN NETO]]*DATAIN_COMPRAS__2[[#This Row],[IVA]]</f>
        <v>50</v>
      </c>
      <c r="K1031" s="7">
        <f t="shared" si="20"/>
        <v>50</v>
      </c>
      <c r="L1031" t="s">
        <v>255</v>
      </c>
    </row>
    <row r="1032" spans="1:12" x14ac:dyDescent="0.35">
      <c r="A1032" s="13">
        <v>45863</v>
      </c>
      <c r="B1032" t="s">
        <v>80</v>
      </c>
      <c r="C1032" t="s">
        <v>848</v>
      </c>
      <c r="E1032" s="8">
        <v>1</v>
      </c>
      <c r="F1032" s="1">
        <f>30/DATAIN_COMPRAS__2[[#This Row],[IVA]]</f>
        <v>24.793388429752067</v>
      </c>
      <c r="H1032">
        <v>1.21</v>
      </c>
      <c r="J1032" s="2">
        <f>+DATAIN_COMPRAS__2[[#This Row],[$/ UN NETO]]*DATAIN_COMPRAS__2[[#This Row],[IVA]]</f>
        <v>30</v>
      </c>
      <c r="K1032" s="7">
        <f t="shared" si="20"/>
        <v>30</v>
      </c>
      <c r="L1032" t="s">
        <v>255</v>
      </c>
    </row>
    <row r="1033" spans="1:12" x14ac:dyDescent="0.35">
      <c r="A1033" s="13">
        <v>45864</v>
      </c>
      <c r="B1033" t="s">
        <v>174</v>
      </c>
      <c r="C1033" t="s">
        <v>176</v>
      </c>
      <c r="E1033" s="8">
        <v>6</v>
      </c>
      <c r="F1033" s="1">
        <v>8636.3799999999992</v>
      </c>
      <c r="H1033">
        <v>1.21</v>
      </c>
      <c r="J1033" s="2">
        <f>+DATAIN_COMPRAS__2[[#This Row],[$/ UN NETO]]*DATAIN_COMPRAS__2[[#This Row],[IVA]]</f>
        <v>10450.019799999998</v>
      </c>
      <c r="K1033" s="7">
        <f t="shared" si="20"/>
        <v>62700.118799999997</v>
      </c>
      <c r="L1033" t="s">
        <v>158</v>
      </c>
    </row>
    <row r="1034" spans="1:12" x14ac:dyDescent="0.35">
      <c r="A1034" s="13">
        <v>45864</v>
      </c>
      <c r="B1034" t="s">
        <v>104</v>
      </c>
      <c r="C1034" t="s">
        <v>105</v>
      </c>
      <c r="E1034" s="8">
        <v>2</v>
      </c>
      <c r="F1034" s="1">
        <v>10580</v>
      </c>
      <c r="H1034">
        <v>1</v>
      </c>
      <c r="J1034" s="2">
        <f>+DATAIN_COMPRAS__2[[#This Row],[$/ UN NETO]]*DATAIN_COMPRAS__2[[#This Row],[IVA]]</f>
        <v>10580</v>
      </c>
      <c r="K1034" s="7">
        <f t="shared" si="20"/>
        <v>21160</v>
      </c>
      <c r="L1034" t="s">
        <v>237</v>
      </c>
    </row>
    <row r="1035" spans="1:12" x14ac:dyDescent="0.35">
      <c r="A1035" s="13">
        <v>45864</v>
      </c>
      <c r="B1035" t="s">
        <v>12</v>
      </c>
      <c r="C1035" t="s">
        <v>23</v>
      </c>
      <c r="E1035" s="8">
        <v>0.5</v>
      </c>
      <c r="F1035" s="1">
        <f>6800/DATAIN_COMPRAS__2[[#This Row],[IVA]]</f>
        <v>6153.8461538461543</v>
      </c>
      <c r="H1035">
        <v>1.105</v>
      </c>
      <c r="J1035" s="2">
        <f>+DATAIN_COMPRAS__2[[#This Row],[$/ UN NETO]]*DATAIN_COMPRAS__2[[#This Row],[IVA]]</f>
        <v>6800</v>
      </c>
      <c r="K1035" s="7">
        <f t="shared" si="20"/>
        <v>3400</v>
      </c>
      <c r="L1035" t="s">
        <v>237</v>
      </c>
    </row>
    <row r="1036" spans="1:12" x14ac:dyDescent="0.35">
      <c r="A1036" s="13">
        <v>45864</v>
      </c>
      <c r="B1036" t="s">
        <v>12</v>
      </c>
      <c r="C1036" t="s">
        <v>356</v>
      </c>
      <c r="E1036" s="8">
        <v>2</v>
      </c>
      <c r="F1036" s="1">
        <f>1800/DATAIN_COMPRAS__2[[#This Row],[IVA]]</f>
        <v>1628.9592760180997</v>
      </c>
      <c r="H1036">
        <v>1.105</v>
      </c>
      <c r="J1036" s="2">
        <f>+DATAIN_COMPRAS__2[[#This Row],[$/ UN NETO]]*DATAIN_COMPRAS__2[[#This Row],[IVA]]</f>
        <v>1800</v>
      </c>
      <c r="K1036" s="7">
        <f t="shared" si="20"/>
        <v>3600</v>
      </c>
      <c r="L1036" t="s">
        <v>237</v>
      </c>
    </row>
    <row r="1037" spans="1:12" x14ac:dyDescent="0.35">
      <c r="A1037" s="13">
        <v>45864</v>
      </c>
      <c r="B1037" t="s">
        <v>12</v>
      </c>
      <c r="C1037" t="s">
        <v>17</v>
      </c>
      <c r="E1037" s="8">
        <v>2</v>
      </c>
      <c r="F1037" s="1">
        <f>1700/DATAIN_COMPRAS__2[[#This Row],[IVA]]</f>
        <v>1538.4615384615386</v>
      </c>
      <c r="H1037">
        <v>1.105</v>
      </c>
      <c r="J1037" s="2">
        <f>+DATAIN_COMPRAS__2[[#This Row],[$/ UN NETO]]*DATAIN_COMPRAS__2[[#This Row],[IVA]]</f>
        <v>1700</v>
      </c>
      <c r="K1037" s="7">
        <f t="shared" si="20"/>
        <v>3400</v>
      </c>
      <c r="L1037" t="s">
        <v>237</v>
      </c>
    </row>
    <row r="1038" spans="1:12" x14ac:dyDescent="0.35">
      <c r="A1038" s="13">
        <v>45864</v>
      </c>
      <c r="B1038" t="s">
        <v>12</v>
      </c>
      <c r="C1038" t="s">
        <v>30</v>
      </c>
      <c r="E1038" s="8">
        <v>22</v>
      </c>
      <c r="F1038" s="1">
        <f>1200/DATAIN_COMPRAS__2[[#This Row],[IVA]]</f>
        <v>1085.972850678733</v>
      </c>
      <c r="H1038">
        <v>1.105</v>
      </c>
      <c r="J1038" s="2">
        <f>+DATAIN_COMPRAS__2[[#This Row],[$/ UN NETO]]*DATAIN_COMPRAS__2[[#This Row],[IVA]]</f>
        <v>1200</v>
      </c>
      <c r="K1038" s="7">
        <f t="shared" si="20"/>
        <v>26400</v>
      </c>
      <c r="L1038" t="s">
        <v>237</v>
      </c>
    </row>
    <row r="1039" spans="1:12" x14ac:dyDescent="0.35">
      <c r="A1039" s="13">
        <v>45866</v>
      </c>
      <c r="B1039" t="s">
        <v>48</v>
      </c>
      <c r="C1039" t="str">
        <f>+UPPER("Crema Balde x 5Lt 44% MILKAUT")</f>
        <v>CREMA BALDE X 5LT 44% MILKAUT</v>
      </c>
      <c r="E1039" s="8">
        <v>5</v>
      </c>
      <c r="F1039" s="1">
        <f>50745.9/5</f>
        <v>10149.18</v>
      </c>
      <c r="H1039">
        <v>1.21</v>
      </c>
      <c r="I1039">
        <v>0.06</v>
      </c>
      <c r="J1039" s="2">
        <f>+DATAIN_COMPRAS__2[[#This Row],[$/ UN NETO]]*DATAIN_COMPRAS__2[[#This Row],[IVA]]</f>
        <v>12280.507799999999</v>
      </c>
      <c r="K1039" s="7">
        <f t="shared" si="20"/>
        <v>57718.386659999996</v>
      </c>
      <c r="L1039" t="s">
        <v>158</v>
      </c>
    </row>
    <row r="1040" spans="1:12" x14ac:dyDescent="0.35">
      <c r="A1040" s="13">
        <v>45866</v>
      </c>
      <c r="B1040" t="s">
        <v>48</v>
      </c>
      <c r="C1040" t="s">
        <v>361</v>
      </c>
      <c r="E1040" s="8">
        <v>25</v>
      </c>
      <c r="F1040" s="1">
        <f>160710.86/DATAIN_COMPRAS__2[[#This Row],[CANT]]</f>
        <v>6428.4343999999992</v>
      </c>
      <c r="H1040">
        <v>1</v>
      </c>
      <c r="J1040" s="2">
        <f>+DATAIN_COMPRAS__2[[#This Row],[$/ UN NETO]]*DATAIN_COMPRAS__2[[#This Row],[IVA]]</f>
        <v>6428.4343999999992</v>
      </c>
      <c r="K1040" s="7">
        <f t="shared" si="20"/>
        <v>160710.85999999999</v>
      </c>
      <c r="L1040" t="s">
        <v>255</v>
      </c>
    </row>
    <row r="1041" spans="1:12" x14ac:dyDescent="0.35">
      <c r="A1041" s="13">
        <v>45866</v>
      </c>
      <c r="B1041" t="s">
        <v>48</v>
      </c>
      <c r="C1041" s="14" t="s">
        <v>69</v>
      </c>
      <c r="E1041" s="8">
        <v>0.8</v>
      </c>
      <c r="F1041" s="1">
        <f>8587.37/0.8</f>
        <v>10734.2125</v>
      </c>
      <c r="H1041">
        <v>1</v>
      </c>
      <c r="J1041" s="2">
        <f>+DATAIN_COMPRAS__2[[#This Row],[$/ UN NETO]]*DATAIN_COMPRAS__2[[#This Row],[IVA]]</f>
        <v>10734.2125</v>
      </c>
      <c r="K1041" s="7">
        <f t="shared" si="20"/>
        <v>8587.3700000000008</v>
      </c>
      <c r="L1041" t="s">
        <v>255</v>
      </c>
    </row>
    <row r="1042" spans="1:12" x14ac:dyDescent="0.35">
      <c r="A1042" s="13">
        <v>45866</v>
      </c>
      <c r="B1042" t="s">
        <v>48</v>
      </c>
      <c r="C1042" t="s">
        <v>76</v>
      </c>
      <c r="E1042" s="8">
        <v>12</v>
      </c>
      <c r="F1042" s="1">
        <f>1681.75/1.21</f>
        <v>1389.8760330578514</v>
      </c>
      <c r="H1042">
        <v>1</v>
      </c>
      <c r="J1042" s="2">
        <f>+DATAIN_COMPRAS__2[[#This Row],[$/ UN NETO]]*DATAIN_COMPRAS__2[[#This Row],[IVA]]</f>
        <v>1389.8760330578514</v>
      </c>
      <c r="K1042" s="7">
        <f t="shared" si="20"/>
        <v>16678.512396694216</v>
      </c>
      <c r="L1042" t="s">
        <v>255</v>
      </c>
    </row>
    <row r="1043" spans="1:12" x14ac:dyDescent="0.35">
      <c r="A1043" s="13">
        <v>45866</v>
      </c>
      <c r="B1043" t="s">
        <v>48</v>
      </c>
      <c r="C1043" t="s">
        <v>50</v>
      </c>
      <c r="E1043" s="8">
        <v>5</v>
      </c>
      <c r="F1043" s="1">
        <f>30627.88/2.5</f>
        <v>12251.152</v>
      </c>
      <c r="H1043">
        <v>1.21</v>
      </c>
      <c r="I1043">
        <v>0.06</v>
      </c>
      <c r="J1043" s="2">
        <f>+DATAIN_COMPRAS__2[[#This Row],[$/ UN NETO]]*DATAIN_COMPRAS__2[[#This Row],[IVA]]</f>
        <v>14823.89392</v>
      </c>
      <c r="K1043" s="7">
        <f t="shared" si="20"/>
        <v>69672.301424000005</v>
      </c>
      <c r="L1043" t="s">
        <v>158</v>
      </c>
    </row>
    <row r="1044" spans="1:12" x14ac:dyDescent="0.35">
      <c r="A1044" s="13">
        <v>45866</v>
      </c>
      <c r="B1044" t="s">
        <v>359</v>
      </c>
      <c r="C1044" t="s">
        <v>778</v>
      </c>
      <c r="E1044" s="8">
        <v>20</v>
      </c>
      <c r="F1044" s="1">
        <f>36319.44/20</f>
        <v>1815.9720000000002</v>
      </c>
      <c r="H1044">
        <v>1</v>
      </c>
      <c r="J1044" s="2">
        <f>+DATAIN_COMPRAS__2[[#This Row],[$/ UN NETO]]*DATAIN_COMPRAS__2[[#This Row],[IVA]]</f>
        <v>1815.9720000000002</v>
      </c>
      <c r="K1044" s="7">
        <f t="shared" si="20"/>
        <v>36319.440000000002</v>
      </c>
      <c r="L1044" t="s">
        <v>255</v>
      </c>
    </row>
    <row r="1045" spans="1:12" x14ac:dyDescent="0.35">
      <c r="A1045" s="13">
        <v>45866</v>
      </c>
      <c r="B1045" t="s">
        <v>359</v>
      </c>
      <c r="C1045" t="s">
        <v>777</v>
      </c>
      <c r="E1045" s="8">
        <v>3</v>
      </c>
      <c r="F1045" s="1">
        <f>5816.67/3</f>
        <v>1938.89</v>
      </c>
      <c r="H1045">
        <v>1</v>
      </c>
      <c r="J1045" s="2">
        <f>+DATAIN_COMPRAS__2[[#This Row],[$/ UN NETO]]*DATAIN_COMPRAS__2[[#This Row],[IVA]]</f>
        <v>1938.89</v>
      </c>
      <c r="K1045" s="7">
        <f t="shared" si="20"/>
        <v>5816.67</v>
      </c>
      <c r="L1045" t="s">
        <v>255</v>
      </c>
    </row>
    <row r="1046" spans="1:12" x14ac:dyDescent="0.35">
      <c r="A1046" s="13">
        <v>45866</v>
      </c>
      <c r="B1046" t="s">
        <v>256</v>
      </c>
      <c r="C1046" t="s">
        <v>776</v>
      </c>
      <c r="E1046" s="8">
        <v>1</v>
      </c>
      <c r="F1046" s="1">
        <v>12730.26</v>
      </c>
      <c r="H1046">
        <v>1</v>
      </c>
      <c r="J1046" s="2">
        <f>+DATAIN_COMPRAS__2[[#This Row],[$/ UN NETO]]*DATAIN_COMPRAS__2[[#This Row],[IVA]]</f>
        <v>12730.26</v>
      </c>
      <c r="K1046" s="7">
        <f t="shared" si="20"/>
        <v>12730.26</v>
      </c>
      <c r="L1046" t="s">
        <v>255</v>
      </c>
    </row>
    <row r="1047" spans="1:12" x14ac:dyDescent="0.35">
      <c r="A1047" s="13">
        <v>45866</v>
      </c>
      <c r="B1047" t="s">
        <v>256</v>
      </c>
      <c r="C1047" t="s">
        <v>266</v>
      </c>
      <c r="E1047" s="8">
        <v>1</v>
      </c>
      <c r="F1047" s="1">
        <v>13630.48</v>
      </c>
      <c r="H1047">
        <v>1</v>
      </c>
      <c r="J1047" s="2">
        <f>+DATAIN_COMPRAS__2[[#This Row],[$/ UN NETO]]*DATAIN_COMPRAS__2[[#This Row],[IVA]]</f>
        <v>13630.48</v>
      </c>
      <c r="K1047" s="7">
        <f t="shared" si="20"/>
        <v>13630.48</v>
      </c>
      <c r="L1047" t="s">
        <v>255</v>
      </c>
    </row>
    <row r="1048" spans="1:12" x14ac:dyDescent="0.35">
      <c r="A1048" s="13">
        <v>45866</v>
      </c>
      <c r="B1048" t="s">
        <v>75</v>
      </c>
      <c r="C1048" t="s">
        <v>361</v>
      </c>
      <c r="E1048" s="8">
        <v>25</v>
      </c>
      <c r="F1048" s="1">
        <f>262635.82/DATAIN_COMPRAS__2[[#This Row],[CANT]]</f>
        <v>10505.4328</v>
      </c>
      <c r="H1048">
        <v>1</v>
      </c>
      <c r="J1048" s="2">
        <f>+DATAIN_COMPRAS__2[[#This Row],[$/ UN NETO]]*DATAIN_COMPRAS__2[[#This Row],[IVA]]</f>
        <v>10505.4328</v>
      </c>
      <c r="K1048" s="7">
        <f t="shared" si="20"/>
        <v>262635.82</v>
      </c>
      <c r="L1048" t="s">
        <v>255</v>
      </c>
    </row>
    <row r="1049" spans="1:12" x14ac:dyDescent="0.35">
      <c r="A1049" s="13">
        <v>45866</v>
      </c>
      <c r="B1049" t="s">
        <v>75</v>
      </c>
      <c r="C1049" s="14" t="s">
        <v>69</v>
      </c>
      <c r="E1049" s="8">
        <v>0.8</v>
      </c>
      <c r="F1049" s="1">
        <f>9360.43/0.8</f>
        <v>11700.5375</v>
      </c>
      <c r="H1049">
        <v>1</v>
      </c>
      <c r="J1049" s="2">
        <f>+DATAIN_COMPRAS__2[[#This Row],[$/ UN NETO]]*DATAIN_COMPRAS__2[[#This Row],[IVA]]</f>
        <v>11700.5375</v>
      </c>
      <c r="K1049" s="7">
        <f t="shared" si="20"/>
        <v>9360.43</v>
      </c>
      <c r="L1049" t="s">
        <v>255</v>
      </c>
    </row>
    <row r="1050" spans="1:12" x14ac:dyDescent="0.35">
      <c r="A1050" s="13">
        <v>45867</v>
      </c>
      <c r="B1050" t="s">
        <v>48</v>
      </c>
      <c r="C1050" t="s">
        <v>57</v>
      </c>
      <c r="E1050" s="8">
        <v>2</v>
      </c>
      <c r="F1050" s="1">
        <v>1121.76</v>
      </c>
      <c r="H1050">
        <v>1.21</v>
      </c>
      <c r="I1050">
        <v>0.06</v>
      </c>
      <c r="J1050" s="2">
        <f>+DATAIN_COMPRAS__2[[#This Row],[$/ UN NETO]]*DATAIN_COMPRAS__2[[#This Row],[IVA]]</f>
        <v>1357.3296</v>
      </c>
      <c r="K1050" s="7">
        <f t="shared" si="20"/>
        <v>2551.7796479999997</v>
      </c>
      <c r="L1050" t="s">
        <v>237</v>
      </c>
    </row>
    <row r="1051" spans="1:12" x14ac:dyDescent="0.35">
      <c r="A1051" s="13">
        <v>45867</v>
      </c>
      <c r="B1051" t="s">
        <v>48</v>
      </c>
      <c r="C1051" t="s">
        <v>116</v>
      </c>
      <c r="E1051" s="8">
        <v>10</v>
      </c>
      <c r="F1051" s="1">
        <v>700.74379999999996</v>
      </c>
      <c r="H1051">
        <v>1.21</v>
      </c>
      <c r="I1051">
        <v>0.06</v>
      </c>
      <c r="J1051" s="2">
        <f>+DATAIN_COMPRAS__2[[#This Row],[$/ UN NETO]]*DATAIN_COMPRAS__2[[#This Row],[IVA]]</f>
        <v>847.89999799999998</v>
      </c>
      <c r="K1051" s="7">
        <f t="shared" si="20"/>
        <v>7970.2599811999999</v>
      </c>
      <c r="L1051" t="s">
        <v>237</v>
      </c>
    </row>
    <row r="1052" spans="1:12" x14ac:dyDescent="0.35">
      <c r="A1052" s="13">
        <v>45867</v>
      </c>
      <c r="B1052" t="s">
        <v>48</v>
      </c>
      <c r="C1052" t="s">
        <v>64</v>
      </c>
      <c r="E1052" s="8">
        <v>0.8</v>
      </c>
      <c r="F1052" s="1">
        <f>6162.3041/0.8</f>
        <v>7702.8801249999997</v>
      </c>
      <c r="H1052">
        <v>1.21</v>
      </c>
      <c r="I1052">
        <v>0.06</v>
      </c>
      <c r="J1052" s="2">
        <f>+DATAIN_COMPRAS__2[[#This Row],[$/ UN NETO]]*DATAIN_COMPRAS__2[[#This Row],[IVA]]</f>
        <v>9320.4849512499986</v>
      </c>
      <c r="K1052" s="7">
        <f t="shared" si="20"/>
        <v>7009.0046833399992</v>
      </c>
      <c r="L1052" t="s">
        <v>237</v>
      </c>
    </row>
    <row r="1053" spans="1:12" x14ac:dyDescent="0.35">
      <c r="A1053" s="13">
        <v>45867</v>
      </c>
      <c r="B1053" t="s">
        <v>48</v>
      </c>
      <c r="C1053" t="s">
        <v>61</v>
      </c>
      <c r="E1053" s="8">
        <v>2</v>
      </c>
      <c r="F1053" s="1">
        <v>993.04380000000003</v>
      </c>
      <c r="H1053">
        <v>1.21</v>
      </c>
      <c r="I1053">
        <v>0.06</v>
      </c>
      <c r="J1053" s="2">
        <f>+DATAIN_COMPRAS__2[[#This Row],[$/ UN NETO]]*DATAIN_COMPRAS__2[[#This Row],[IVA]]</f>
        <v>1201.5829980000001</v>
      </c>
      <c r="K1053" s="7">
        <f t="shared" si="20"/>
        <v>2258.9760362400002</v>
      </c>
      <c r="L1053" t="s">
        <v>237</v>
      </c>
    </row>
    <row r="1054" spans="1:12" x14ac:dyDescent="0.35">
      <c r="A1054" s="13">
        <v>45867</v>
      </c>
      <c r="B1054" t="s">
        <v>48</v>
      </c>
      <c r="C1054" t="s">
        <v>79</v>
      </c>
      <c r="E1054" s="8">
        <v>2</v>
      </c>
      <c r="F1054" s="1">
        <v>4943.8546999999999</v>
      </c>
      <c r="H1054">
        <v>1.21</v>
      </c>
      <c r="I1054">
        <v>0.06</v>
      </c>
      <c r="J1054" s="2">
        <f>+DATAIN_COMPRAS__2[[#This Row],[$/ UN NETO]]*DATAIN_COMPRAS__2[[#This Row],[IVA]]</f>
        <v>5982.0641869999999</v>
      </c>
      <c r="K1054" s="7">
        <f t="shared" si="20"/>
        <v>11246.280671559998</v>
      </c>
      <c r="L1054" t="s">
        <v>237</v>
      </c>
    </row>
    <row r="1055" spans="1:12" x14ac:dyDescent="0.35">
      <c r="A1055" s="13">
        <v>45867</v>
      </c>
      <c r="B1055" t="s">
        <v>48</v>
      </c>
      <c r="C1055" t="s">
        <v>358</v>
      </c>
      <c r="E1055" s="8">
        <f>0.485*3</f>
        <v>1.4550000000000001</v>
      </c>
      <c r="F1055" s="1">
        <f>1506.7895/0.485</f>
        <v>3106.7824742268044</v>
      </c>
      <c r="H1055">
        <v>1.21</v>
      </c>
      <c r="I1055">
        <v>0.06</v>
      </c>
      <c r="J1055" s="2">
        <f>+DATAIN_COMPRAS__2[[#This Row],[$/ UN NETO]]*DATAIN_COMPRAS__2[[#This Row],[IVA]]</f>
        <v>3759.2067938144332</v>
      </c>
      <c r="K1055" s="7">
        <f t="shared" si="20"/>
        <v>5141.4671318999999</v>
      </c>
      <c r="L1055" t="s">
        <v>237</v>
      </c>
    </row>
    <row r="1056" spans="1:12" x14ac:dyDescent="0.35">
      <c r="A1056" s="13">
        <v>45867</v>
      </c>
      <c r="B1056" t="s">
        <v>48</v>
      </c>
      <c r="C1056" t="s">
        <v>51</v>
      </c>
      <c r="E1056" s="8">
        <v>3.5</v>
      </c>
      <c r="F1056" s="1">
        <v>8776.8161</v>
      </c>
      <c r="H1056">
        <v>1.21</v>
      </c>
      <c r="I1056">
        <v>0.06</v>
      </c>
      <c r="J1056" s="2">
        <f>+DATAIN_COMPRAS__2[[#This Row],[$/ UN NETO]]*DATAIN_COMPRAS__2[[#This Row],[IVA]]</f>
        <v>10619.947480999999</v>
      </c>
      <c r="K1056" s="7">
        <f t="shared" si="20"/>
        <v>34939.627212489999</v>
      </c>
      <c r="L1056" t="s">
        <v>237</v>
      </c>
    </row>
    <row r="1057" spans="1:12" x14ac:dyDescent="0.35">
      <c r="A1057" s="13">
        <v>45867</v>
      </c>
      <c r="B1057" t="s">
        <v>48</v>
      </c>
      <c r="C1057" t="s">
        <v>321</v>
      </c>
      <c r="E1057" s="8">
        <v>2</v>
      </c>
      <c r="F1057" s="1">
        <v>2928.4427999999998</v>
      </c>
      <c r="H1057">
        <v>1.21</v>
      </c>
      <c r="I1057" s="9">
        <v>0.06</v>
      </c>
      <c r="J1057" s="2">
        <f>+DATAIN_COMPRAS__2[[#This Row],[$/ UN NETO]]*DATAIN_COMPRAS__2[[#This Row],[IVA]]</f>
        <v>3543.4157879999998</v>
      </c>
      <c r="K1057" s="7">
        <f t="shared" si="20"/>
        <v>6661.6216814399995</v>
      </c>
      <c r="L1057" t="s">
        <v>158</v>
      </c>
    </row>
    <row r="1058" spans="1:12" x14ac:dyDescent="0.35">
      <c r="A1058" s="13">
        <v>45867</v>
      </c>
      <c r="B1058" t="s">
        <v>48</v>
      </c>
      <c r="C1058" t="s">
        <v>69</v>
      </c>
      <c r="E1058" s="8">
        <v>1.6</v>
      </c>
      <c r="F1058" s="1">
        <f>6795.0706/0.8</f>
        <v>8493.8382499999989</v>
      </c>
      <c r="H1058">
        <v>1.21</v>
      </c>
      <c r="I1058">
        <v>0.06</v>
      </c>
      <c r="J1058" s="2">
        <f>+DATAIN_COMPRAS__2[[#This Row],[$/ UN NETO]]*DATAIN_COMPRAS__2[[#This Row],[IVA]]</f>
        <v>10277.544282499999</v>
      </c>
      <c r="K1058" s="7">
        <f t="shared" si="20"/>
        <v>15457.426600879997</v>
      </c>
      <c r="L1058" t="s">
        <v>237</v>
      </c>
    </row>
    <row r="1059" spans="1:12" x14ac:dyDescent="0.35">
      <c r="A1059" s="13">
        <v>45867</v>
      </c>
      <c r="B1059" t="s">
        <v>48</v>
      </c>
      <c r="C1059" t="s">
        <v>780</v>
      </c>
      <c r="E1059" s="8">
        <v>1</v>
      </c>
      <c r="F1059" s="1">
        <v>2224</v>
      </c>
      <c r="H1059">
        <v>1.21</v>
      </c>
      <c r="I1059">
        <v>0.06</v>
      </c>
      <c r="J1059" s="2">
        <f>+DATAIN_COMPRAS__2[[#This Row],[$/ UN NETO]]*DATAIN_COMPRAS__2[[#This Row],[IVA]]</f>
        <v>2691.04</v>
      </c>
      <c r="K1059" s="7">
        <f t="shared" ref="K1059:K1122" si="21">(E1059*F1059)*(1-I1059)*(H1059)</f>
        <v>2529.5776000000001</v>
      </c>
      <c r="L1059" t="s">
        <v>237</v>
      </c>
    </row>
    <row r="1060" spans="1:12" x14ac:dyDescent="0.35">
      <c r="A1060" s="13">
        <v>45867</v>
      </c>
      <c r="B1060" t="s">
        <v>48</v>
      </c>
      <c r="C1060" t="s">
        <v>53</v>
      </c>
      <c r="E1060" s="8">
        <v>2</v>
      </c>
      <c r="F1060" s="1">
        <v>1098.9000000000001</v>
      </c>
      <c r="H1060">
        <v>1.21</v>
      </c>
      <c r="I1060" s="9"/>
      <c r="J1060" s="2">
        <f>+DATAIN_COMPRAS__2[[#This Row],[$/ UN NETO]]*DATAIN_COMPRAS__2[[#This Row],[IVA]]</f>
        <v>1329.6690000000001</v>
      </c>
      <c r="K1060" s="7">
        <f t="shared" si="21"/>
        <v>2659.3380000000002</v>
      </c>
      <c r="L1060" t="s">
        <v>237</v>
      </c>
    </row>
    <row r="1061" spans="1:12" x14ac:dyDescent="0.35">
      <c r="A1061" s="13">
        <v>45867</v>
      </c>
      <c r="B1061" t="s">
        <v>48</v>
      </c>
      <c r="C1061" t="s">
        <v>52</v>
      </c>
      <c r="E1061" s="8">
        <v>3.74</v>
      </c>
      <c r="F1061" s="1">
        <v>7745.6279999999997</v>
      </c>
      <c r="H1061">
        <v>1.21</v>
      </c>
      <c r="J1061" s="2">
        <f>+DATAIN_COMPRAS__2[[#This Row],[$/ UN NETO]]*DATAIN_COMPRAS__2[[#This Row],[IVA]]</f>
        <v>9372.2098799999985</v>
      </c>
      <c r="K1061" s="7">
        <f t="shared" si="21"/>
        <v>35052.064951200002</v>
      </c>
      <c r="L1061" t="s">
        <v>237</v>
      </c>
    </row>
    <row r="1062" spans="1:12" x14ac:dyDescent="0.35">
      <c r="A1062" s="13">
        <v>45867</v>
      </c>
      <c r="B1062" t="s">
        <v>48</v>
      </c>
      <c r="C1062" t="s">
        <v>833</v>
      </c>
      <c r="E1062" s="8">
        <v>3.5</v>
      </c>
      <c r="F1062" s="1">
        <f>19208.0044/3.5</f>
        <v>5488.0012571428579</v>
      </c>
      <c r="H1062">
        <v>1.21</v>
      </c>
      <c r="I1062">
        <v>0.06</v>
      </c>
      <c r="J1062" s="2">
        <f>+DATAIN_COMPRAS__2[[#This Row],[$/ UN NETO]]*DATAIN_COMPRAS__2[[#This Row],[IVA]]</f>
        <v>6640.4815211428577</v>
      </c>
      <c r="K1062" s="7">
        <f t="shared" si="21"/>
        <v>21847.184204559999</v>
      </c>
      <c r="L1062" t="s">
        <v>237</v>
      </c>
    </row>
    <row r="1063" spans="1:12" x14ac:dyDescent="0.35">
      <c r="A1063" s="13">
        <v>45867</v>
      </c>
      <c r="B1063" t="s">
        <v>71</v>
      </c>
      <c r="C1063" t="s">
        <v>224</v>
      </c>
      <c r="E1063" s="8">
        <v>2</v>
      </c>
      <c r="F1063" s="1">
        <v>3819.83</v>
      </c>
      <c r="H1063">
        <v>1.21</v>
      </c>
      <c r="J1063" s="2">
        <f>+DATAIN_COMPRAS__2[[#This Row],[$/ UN NETO]]*DATAIN_COMPRAS__2[[#This Row],[IVA]]</f>
        <v>4621.9942999999994</v>
      </c>
      <c r="K1063" s="7">
        <f t="shared" si="21"/>
        <v>9243.9885999999988</v>
      </c>
      <c r="L1063" t="s">
        <v>237</v>
      </c>
    </row>
    <row r="1064" spans="1:12" x14ac:dyDescent="0.35">
      <c r="A1064" s="13">
        <v>45867</v>
      </c>
      <c r="B1064" t="s">
        <v>12</v>
      </c>
      <c r="C1064" t="s">
        <v>26</v>
      </c>
      <c r="E1064" s="8">
        <v>3</v>
      </c>
      <c r="F1064" s="1">
        <f>1700/DATAIN_COMPRAS__2[[#This Row],[IVA]]</f>
        <v>1538.4615384615386</v>
      </c>
      <c r="H1064">
        <v>1.105</v>
      </c>
      <c r="J1064" s="2">
        <f>+DATAIN_COMPRAS__2[[#This Row],[$/ UN NETO]]*DATAIN_COMPRAS__2[[#This Row],[IVA]]</f>
        <v>1700</v>
      </c>
      <c r="K1064" s="7">
        <f t="shared" si="21"/>
        <v>5100</v>
      </c>
      <c r="L1064" t="s">
        <v>237</v>
      </c>
    </row>
    <row r="1065" spans="1:12" x14ac:dyDescent="0.35">
      <c r="A1065" s="13">
        <v>45867</v>
      </c>
      <c r="B1065" t="s">
        <v>12</v>
      </c>
      <c r="C1065" t="s">
        <v>779</v>
      </c>
      <c r="E1065" s="8">
        <v>2.1</v>
      </c>
      <c r="F1065" s="1">
        <f>900/DATAIN_COMPRAS__2[[#This Row],[IVA]]</f>
        <v>814.47963800904984</v>
      </c>
      <c r="H1065">
        <v>1.105</v>
      </c>
      <c r="J1065" s="2">
        <f>+DATAIN_COMPRAS__2[[#This Row],[$/ UN NETO]]*DATAIN_COMPRAS__2[[#This Row],[IVA]]</f>
        <v>900</v>
      </c>
      <c r="K1065" s="7">
        <f t="shared" si="21"/>
        <v>1890</v>
      </c>
      <c r="L1065" t="s">
        <v>237</v>
      </c>
    </row>
    <row r="1066" spans="1:12" x14ac:dyDescent="0.35">
      <c r="A1066" s="13">
        <v>45867</v>
      </c>
      <c r="B1066" t="s">
        <v>12</v>
      </c>
      <c r="C1066" t="s">
        <v>41</v>
      </c>
      <c r="E1066" s="8">
        <v>1</v>
      </c>
      <c r="F1066" s="1">
        <f>1900/DATAIN_COMPRAS__2[[#This Row],[IVA]]</f>
        <v>1719.4570135746606</v>
      </c>
      <c r="H1066">
        <v>1.105</v>
      </c>
      <c r="J1066" s="2">
        <f>+DATAIN_COMPRAS__2[[#This Row],[$/ UN NETO]]*DATAIN_COMPRAS__2[[#This Row],[IVA]]</f>
        <v>1899.9999999999998</v>
      </c>
      <c r="K1066" s="7">
        <f t="shared" si="21"/>
        <v>1899.9999999999998</v>
      </c>
      <c r="L1066" t="s">
        <v>237</v>
      </c>
    </row>
    <row r="1067" spans="1:12" x14ac:dyDescent="0.35">
      <c r="A1067" s="13">
        <v>45867</v>
      </c>
      <c r="B1067" t="s">
        <v>12</v>
      </c>
      <c r="C1067" t="s">
        <v>23</v>
      </c>
      <c r="E1067" s="8">
        <v>0.5</v>
      </c>
      <c r="F1067" s="1">
        <f>6800/DATAIN_COMPRAS__2[[#This Row],[IVA]]</f>
        <v>6153.8461538461543</v>
      </c>
      <c r="H1067">
        <v>1.105</v>
      </c>
      <c r="J1067" s="2">
        <f>+DATAIN_COMPRAS__2[[#This Row],[$/ UN NETO]]*DATAIN_COMPRAS__2[[#This Row],[IVA]]</f>
        <v>6800</v>
      </c>
      <c r="K1067" s="7">
        <f t="shared" si="21"/>
        <v>3400</v>
      </c>
      <c r="L1067" t="s">
        <v>237</v>
      </c>
    </row>
    <row r="1068" spans="1:12" x14ac:dyDescent="0.35">
      <c r="A1068" s="13">
        <v>45867</v>
      </c>
      <c r="B1068" t="s">
        <v>12</v>
      </c>
      <c r="C1068" t="s">
        <v>25</v>
      </c>
      <c r="E1068" s="8">
        <v>0.5</v>
      </c>
      <c r="F1068" s="1">
        <f>6300/DATAIN_COMPRAS__2[[#This Row],[IVA]]</f>
        <v>5701.3574660633485</v>
      </c>
      <c r="H1068">
        <v>1.105</v>
      </c>
      <c r="J1068" s="2">
        <f>+DATAIN_COMPRAS__2[[#This Row],[$/ UN NETO]]*DATAIN_COMPRAS__2[[#This Row],[IVA]]</f>
        <v>6300</v>
      </c>
      <c r="K1068" s="7">
        <f t="shared" si="21"/>
        <v>3150</v>
      </c>
      <c r="L1068" t="s">
        <v>237</v>
      </c>
    </row>
    <row r="1069" spans="1:12" x14ac:dyDescent="0.35">
      <c r="A1069" s="13">
        <v>45867</v>
      </c>
      <c r="B1069" t="s">
        <v>12</v>
      </c>
      <c r="C1069" t="s">
        <v>39</v>
      </c>
      <c r="E1069" s="8">
        <v>0.49</v>
      </c>
      <c r="F1069" s="1">
        <f>2600/DATAIN_COMPRAS__2[[#This Row],[IVA]]</f>
        <v>2352.9411764705883</v>
      </c>
      <c r="H1069">
        <v>1.105</v>
      </c>
      <c r="J1069" s="2">
        <f>+DATAIN_COMPRAS__2[[#This Row],[$/ UN NETO]]*DATAIN_COMPRAS__2[[#This Row],[IVA]]</f>
        <v>2600</v>
      </c>
      <c r="K1069" s="7">
        <f t="shared" si="21"/>
        <v>1274</v>
      </c>
      <c r="L1069" t="s">
        <v>237</v>
      </c>
    </row>
    <row r="1070" spans="1:12" x14ac:dyDescent="0.35">
      <c r="A1070" s="13">
        <v>45867</v>
      </c>
      <c r="B1070" t="s">
        <v>12</v>
      </c>
      <c r="C1070" t="s">
        <v>21</v>
      </c>
      <c r="E1070" s="8">
        <v>2</v>
      </c>
      <c r="F1070" s="1">
        <f>800/DATAIN_COMPRAS__2[[#This Row],[IVA]]</f>
        <v>723.98190045248873</v>
      </c>
      <c r="H1070">
        <v>1.105</v>
      </c>
      <c r="J1070" s="2">
        <f>+DATAIN_COMPRAS__2[[#This Row],[$/ UN NETO]]*DATAIN_COMPRAS__2[[#This Row],[IVA]]</f>
        <v>800</v>
      </c>
      <c r="K1070" s="7">
        <f t="shared" si="21"/>
        <v>1600</v>
      </c>
      <c r="L1070" t="s">
        <v>237</v>
      </c>
    </row>
    <row r="1071" spans="1:12" x14ac:dyDescent="0.35">
      <c r="A1071" s="13">
        <v>45867</v>
      </c>
      <c r="B1071" t="s">
        <v>12</v>
      </c>
      <c r="C1071" t="s">
        <v>28</v>
      </c>
      <c r="E1071" s="8">
        <v>1</v>
      </c>
      <c r="F1071" s="1">
        <f>1800/DATAIN_COMPRAS__2[[#This Row],[IVA]]</f>
        <v>1628.9592760180997</v>
      </c>
      <c r="H1071">
        <v>1.105</v>
      </c>
      <c r="J1071" s="2">
        <f>+DATAIN_COMPRAS__2[[#This Row],[$/ UN NETO]]*DATAIN_COMPRAS__2[[#This Row],[IVA]]</f>
        <v>1800</v>
      </c>
      <c r="K1071" s="7">
        <f t="shared" si="21"/>
        <v>1800</v>
      </c>
      <c r="L1071" t="s">
        <v>237</v>
      </c>
    </row>
    <row r="1072" spans="1:12" x14ac:dyDescent="0.35">
      <c r="A1072" s="13">
        <v>45867</v>
      </c>
      <c r="B1072" t="s">
        <v>12</v>
      </c>
      <c r="C1072" t="s">
        <v>20</v>
      </c>
      <c r="E1072" s="8">
        <v>1</v>
      </c>
      <c r="F1072" s="1">
        <f>1300/DATAIN_COMPRAS__2[[#This Row],[IVA]]</f>
        <v>1176.4705882352941</v>
      </c>
      <c r="H1072">
        <v>1.105</v>
      </c>
      <c r="J1072" s="2">
        <f>+DATAIN_COMPRAS__2[[#This Row],[$/ UN NETO]]*DATAIN_COMPRAS__2[[#This Row],[IVA]]</f>
        <v>1300</v>
      </c>
      <c r="K1072" s="7">
        <f t="shared" si="21"/>
        <v>1300</v>
      </c>
      <c r="L1072" t="s">
        <v>237</v>
      </c>
    </row>
    <row r="1073" spans="1:12" x14ac:dyDescent="0.35">
      <c r="A1073" s="13">
        <v>45867</v>
      </c>
      <c r="B1073" t="s">
        <v>12</v>
      </c>
      <c r="C1073" t="s">
        <v>30</v>
      </c>
      <c r="E1073" s="8">
        <v>2</v>
      </c>
      <c r="F1073" s="1">
        <f>1200/DATAIN_COMPRAS__2[[#This Row],[IVA]]</f>
        <v>1085.972850678733</v>
      </c>
      <c r="H1073">
        <v>1.105</v>
      </c>
      <c r="J1073" s="2">
        <f>+DATAIN_COMPRAS__2[[#This Row],[$/ UN NETO]]*DATAIN_COMPRAS__2[[#This Row],[IVA]]</f>
        <v>1200</v>
      </c>
      <c r="K1073" s="7">
        <f t="shared" si="21"/>
        <v>2400</v>
      </c>
      <c r="L1073" t="s">
        <v>237</v>
      </c>
    </row>
    <row r="1074" spans="1:12" x14ac:dyDescent="0.35">
      <c r="A1074" s="13">
        <v>45867</v>
      </c>
      <c r="B1074" t="s">
        <v>12</v>
      </c>
      <c r="C1074" t="s">
        <v>30</v>
      </c>
      <c r="E1074" s="8">
        <v>2</v>
      </c>
      <c r="F1074" s="1">
        <f>1200/DATAIN_COMPRAS__2[[#This Row],[IVA]]</f>
        <v>1085.972850678733</v>
      </c>
      <c r="H1074">
        <v>1.105</v>
      </c>
      <c r="J1074" s="2">
        <f>+DATAIN_COMPRAS__2[[#This Row],[$/ UN NETO]]*DATAIN_COMPRAS__2[[#This Row],[IVA]]</f>
        <v>1200</v>
      </c>
      <c r="K1074" s="7">
        <f t="shared" si="21"/>
        <v>2400</v>
      </c>
      <c r="L1074" t="s">
        <v>237</v>
      </c>
    </row>
    <row r="1075" spans="1:12" x14ac:dyDescent="0.35">
      <c r="A1075" s="13">
        <v>45867</v>
      </c>
      <c r="B1075" t="s">
        <v>12</v>
      </c>
      <c r="C1075" t="s">
        <v>22</v>
      </c>
      <c r="E1075" s="8">
        <v>1</v>
      </c>
      <c r="F1075" s="1">
        <f>2700/DATAIN_COMPRAS__2[[#This Row],[IVA]]</f>
        <v>2443.4389140271492</v>
      </c>
      <c r="H1075">
        <v>1.105</v>
      </c>
      <c r="J1075" s="2">
        <f>+DATAIN_COMPRAS__2[[#This Row],[$/ UN NETO]]*DATAIN_COMPRAS__2[[#This Row],[IVA]]</f>
        <v>2700</v>
      </c>
      <c r="K1075" s="7">
        <f t="shared" si="21"/>
        <v>2700</v>
      </c>
      <c r="L1075" t="s">
        <v>237</v>
      </c>
    </row>
    <row r="1076" spans="1:12" x14ac:dyDescent="0.35">
      <c r="A1076" s="13">
        <v>45867</v>
      </c>
      <c r="B1076" t="s">
        <v>75</v>
      </c>
      <c r="C1076" t="s">
        <v>76</v>
      </c>
      <c r="E1076" s="8">
        <v>96</v>
      </c>
      <c r="F1076" s="1">
        <v>1123.45</v>
      </c>
      <c r="H1076">
        <v>1.21</v>
      </c>
      <c r="J1076" s="2">
        <f>+DATAIN_COMPRAS__2[[#This Row],[$/ UN NETO]]*DATAIN_COMPRAS__2[[#This Row],[IVA]]</f>
        <v>1359.3745000000001</v>
      </c>
      <c r="K1076" s="7">
        <f t="shared" si="21"/>
        <v>130499.952</v>
      </c>
      <c r="L1076" t="s">
        <v>237</v>
      </c>
    </row>
    <row r="1077" spans="1:12" x14ac:dyDescent="0.35">
      <c r="A1077" s="13">
        <v>45868</v>
      </c>
      <c r="B1077" t="s">
        <v>256</v>
      </c>
      <c r="C1077" t="s">
        <v>258</v>
      </c>
      <c r="E1077" s="8">
        <v>5</v>
      </c>
      <c r="F1077" s="1">
        <v>9198.23</v>
      </c>
      <c r="H1077">
        <v>1.21</v>
      </c>
      <c r="I1077" s="9">
        <v>-3.2000000000000001E-2</v>
      </c>
      <c r="J1077" s="2">
        <f>+DATAIN_COMPRAS__2[[#This Row],[$/ UN NETO]]*DATAIN_COMPRAS__2[[#This Row],[IVA]]</f>
        <v>11129.8583</v>
      </c>
      <c r="K1077" s="7">
        <f t="shared" si="21"/>
        <v>57430.068827999996</v>
      </c>
      <c r="L1077" t="s">
        <v>237</v>
      </c>
    </row>
    <row r="1078" spans="1:12" x14ac:dyDescent="0.35">
      <c r="A1078" s="13">
        <v>45868</v>
      </c>
      <c r="B1078" t="s">
        <v>256</v>
      </c>
      <c r="C1078" t="s">
        <v>776</v>
      </c>
      <c r="E1078" s="8">
        <v>25</v>
      </c>
      <c r="F1078" s="1">
        <f>263021.98/25</f>
        <v>10520.879199999999</v>
      </c>
      <c r="H1078">
        <v>1.21</v>
      </c>
      <c r="I1078" s="9">
        <v>-3.2000000000000001E-2</v>
      </c>
      <c r="J1078" s="2">
        <f>+DATAIN_COMPRAS__2[[#This Row],[$/ UN NETO]]*DATAIN_COMPRAS__2[[#This Row],[IVA]]</f>
        <v>12730.263831999999</v>
      </c>
      <c r="K1078" s="7">
        <f t="shared" si="21"/>
        <v>328440.80686559994</v>
      </c>
      <c r="L1078" t="s">
        <v>158</v>
      </c>
    </row>
    <row r="1079" spans="1:12" x14ac:dyDescent="0.35">
      <c r="A1079" s="13">
        <v>45868</v>
      </c>
      <c r="B1079" t="s">
        <v>256</v>
      </c>
      <c r="C1079" t="s">
        <v>254</v>
      </c>
      <c r="E1079" s="8">
        <v>6.27</v>
      </c>
      <c r="F1079" s="1">
        <v>8625.0350999999991</v>
      </c>
      <c r="H1079">
        <v>1.21</v>
      </c>
      <c r="I1079" s="9">
        <v>-3.2000000000000001E-2</v>
      </c>
      <c r="J1079" s="2">
        <f>+DATAIN_COMPRAS__2[[#This Row],[$/ UN NETO]]*DATAIN_COMPRAS__2[[#This Row],[IVA]]</f>
        <v>10436.292470999999</v>
      </c>
      <c r="K1079" s="7">
        <f t="shared" si="21"/>
        <v>67529.491514551439</v>
      </c>
      <c r="L1079" t="s">
        <v>158</v>
      </c>
    </row>
    <row r="1080" spans="1:12" x14ac:dyDescent="0.35">
      <c r="A1080" s="13">
        <v>45868</v>
      </c>
      <c r="B1080" t="s">
        <v>256</v>
      </c>
      <c r="C1080" t="s">
        <v>259</v>
      </c>
      <c r="E1080" s="8">
        <v>5</v>
      </c>
      <c r="F1080" s="1">
        <v>9269.44</v>
      </c>
      <c r="H1080">
        <v>1.21</v>
      </c>
      <c r="I1080" s="9">
        <v>-3.2000000000000001E-2</v>
      </c>
      <c r="J1080" s="2">
        <f>+DATAIN_COMPRAS__2[[#This Row],[$/ UN NETO]]*DATAIN_COMPRAS__2[[#This Row],[IVA]]</f>
        <v>11216.0224</v>
      </c>
      <c r="K1080" s="7">
        <f t="shared" si="21"/>
        <v>57874.675584000011</v>
      </c>
      <c r="L1080" t="s">
        <v>237</v>
      </c>
    </row>
    <row r="1081" spans="1:12" x14ac:dyDescent="0.35">
      <c r="A1081" s="13">
        <v>45869</v>
      </c>
      <c r="B1081" t="s">
        <v>124</v>
      </c>
      <c r="C1081" t="s">
        <v>125</v>
      </c>
      <c r="E1081" s="8">
        <v>6</v>
      </c>
      <c r="F1081" s="1">
        <v>40000</v>
      </c>
      <c r="H1081">
        <v>1</v>
      </c>
      <c r="J1081" s="2">
        <f>+DATAIN_COMPRAS__2[[#This Row],[$/ UN NETO]]*DATAIN_COMPRAS__2[[#This Row],[IVA]]</f>
        <v>40000</v>
      </c>
      <c r="K1081" s="7">
        <f t="shared" si="21"/>
        <v>240000</v>
      </c>
      <c r="L1081" t="s">
        <v>237</v>
      </c>
    </row>
    <row r="1082" spans="1:12" x14ac:dyDescent="0.35">
      <c r="A1082" s="13">
        <v>45869</v>
      </c>
      <c r="B1082" t="s">
        <v>124</v>
      </c>
      <c r="C1082" t="s">
        <v>126</v>
      </c>
      <c r="E1082" s="8">
        <v>2</v>
      </c>
      <c r="F1082" s="1">
        <f>+(16500+17500)/2</f>
        <v>17000</v>
      </c>
      <c r="H1082">
        <v>1</v>
      </c>
      <c r="J1082" s="2">
        <f>+DATAIN_COMPRAS__2[[#This Row],[$/ UN NETO]]*DATAIN_COMPRAS__2[[#This Row],[IVA]]</f>
        <v>17000</v>
      </c>
      <c r="K1082" s="7">
        <f t="shared" si="21"/>
        <v>34000</v>
      </c>
      <c r="L1082" t="s">
        <v>237</v>
      </c>
    </row>
    <row r="1083" spans="1:12" x14ac:dyDescent="0.35">
      <c r="A1083" s="13">
        <v>45869</v>
      </c>
      <c r="B1083" t="s">
        <v>345</v>
      </c>
      <c r="C1083" t="s">
        <v>783</v>
      </c>
      <c r="E1083" s="8">
        <v>1</v>
      </c>
      <c r="F1083" s="1">
        <v>10950.41</v>
      </c>
      <c r="H1083">
        <v>1.21</v>
      </c>
      <c r="I1083" s="9">
        <f>2190.08/DATAIN_COMPRAS__2[[#This Row],[$/ UN NETO]]</f>
        <v>0.1999998173584368</v>
      </c>
      <c r="J1083" s="2">
        <f>+DATAIN_COMPRAS__2[[#This Row],[$/ UN NETO]]*DATAIN_COMPRAS__2[[#This Row],[IVA]]</f>
        <v>13249.9961</v>
      </c>
      <c r="K1083" s="7">
        <f t="shared" si="21"/>
        <v>10599.999299999999</v>
      </c>
      <c r="L1083" t="s">
        <v>158</v>
      </c>
    </row>
    <row r="1084" spans="1:12" x14ac:dyDescent="0.35">
      <c r="A1084" s="13">
        <v>45869</v>
      </c>
      <c r="B1084" t="s">
        <v>345</v>
      </c>
      <c r="C1084" t="s">
        <v>783</v>
      </c>
      <c r="E1084" s="8">
        <v>1</v>
      </c>
      <c r="F1084" s="1">
        <v>10950.41</v>
      </c>
      <c r="H1084">
        <v>1.21</v>
      </c>
      <c r="I1084" s="9">
        <f>2190.08/DATAIN_COMPRAS__2[[#This Row],[$/ UN NETO]]</f>
        <v>0.1999998173584368</v>
      </c>
      <c r="J1084" s="2">
        <f>+DATAIN_COMPRAS__2[[#This Row],[$/ UN NETO]]*DATAIN_COMPRAS__2[[#This Row],[IVA]]</f>
        <v>13249.9961</v>
      </c>
      <c r="K1084" s="7">
        <f t="shared" si="21"/>
        <v>10599.999299999999</v>
      </c>
      <c r="L1084" t="s">
        <v>237</v>
      </c>
    </row>
    <row r="1085" spans="1:12" x14ac:dyDescent="0.35">
      <c r="A1085" s="13">
        <v>45869</v>
      </c>
      <c r="B1085" t="s">
        <v>345</v>
      </c>
      <c r="C1085" t="s">
        <v>351</v>
      </c>
      <c r="E1085" s="8">
        <v>1</v>
      </c>
      <c r="F1085" s="1">
        <v>1652.89</v>
      </c>
      <c r="H1085">
        <v>1.21</v>
      </c>
      <c r="I1085">
        <v>0.1</v>
      </c>
      <c r="J1085" s="2">
        <f>+DATAIN_COMPRAS__2[[#This Row],[$/ UN NETO]]*DATAIN_COMPRAS__2[[#This Row],[IVA]]</f>
        <v>1999.9969000000001</v>
      </c>
      <c r="K1085" s="7">
        <f t="shared" si="21"/>
        <v>1799.99721</v>
      </c>
      <c r="L1085" t="s">
        <v>237</v>
      </c>
    </row>
    <row r="1086" spans="1:12" x14ac:dyDescent="0.35">
      <c r="A1086" s="13">
        <v>45869</v>
      </c>
      <c r="B1086" t="s">
        <v>345</v>
      </c>
      <c r="C1086" t="s">
        <v>785</v>
      </c>
      <c r="E1086" s="8">
        <v>1</v>
      </c>
      <c r="F1086" s="1">
        <v>19421.490000000002</v>
      </c>
      <c r="H1086">
        <v>1.21</v>
      </c>
      <c r="I1086">
        <v>0.1</v>
      </c>
      <c r="J1086" s="2">
        <f>+DATAIN_COMPRAS__2[[#This Row],[$/ UN NETO]]*DATAIN_COMPRAS__2[[#This Row],[IVA]]</f>
        <v>23500.002899999999</v>
      </c>
      <c r="K1086" s="7">
        <f t="shared" si="21"/>
        <v>21150.00261</v>
      </c>
      <c r="L1086" t="s">
        <v>237</v>
      </c>
    </row>
    <row r="1087" spans="1:12" x14ac:dyDescent="0.35">
      <c r="A1087" s="13">
        <v>45869</v>
      </c>
      <c r="B1087" t="s">
        <v>345</v>
      </c>
      <c r="C1087" t="s">
        <v>214</v>
      </c>
      <c r="E1087" s="8">
        <v>1</v>
      </c>
      <c r="F1087" s="1">
        <v>22619.83</v>
      </c>
      <c r="H1087">
        <v>1.21</v>
      </c>
      <c r="I1087" s="9">
        <f>4523.97/DATAIN_COMPRAS__2[[#This Row],[$/ UN NETO]]</f>
        <v>0.20000017683598859</v>
      </c>
      <c r="J1087" s="2">
        <f>+DATAIN_COMPRAS__2[[#This Row],[$/ UN NETO]]*DATAIN_COMPRAS__2[[#This Row],[IVA]]</f>
        <v>27369.994300000002</v>
      </c>
      <c r="K1087" s="7">
        <f t="shared" si="21"/>
        <v>21895.990600000001</v>
      </c>
      <c r="L1087" t="s">
        <v>237</v>
      </c>
    </row>
    <row r="1088" spans="1:12" x14ac:dyDescent="0.35">
      <c r="A1088" s="13">
        <v>45869</v>
      </c>
      <c r="B1088" t="s">
        <v>345</v>
      </c>
      <c r="C1088" t="s">
        <v>782</v>
      </c>
      <c r="E1088" s="8">
        <v>1</v>
      </c>
      <c r="F1088" s="1">
        <v>1776.86</v>
      </c>
      <c r="H1088">
        <v>1.21</v>
      </c>
      <c r="I1088" s="9">
        <f>177.69/DATAIN_COMPRAS__2[[#This Row],[$/ UN NETO]]</f>
        <v>0.10000225116216246</v>
      </c>
      <c r="J1088" s="2">
        <f>+DATAIN_COMPRAS__2[[#This Row],[$/ UN NETO]]*DATAIN_COMPRAS__2[[#This Row],[IVA]]</f>
        <v>2150.0005999999998</v>
      </c>
      <c r="K1088" s="7">
        <f t="shared" si="21"/>
        <v>1934.9956999999999</v>
      </c>
      <c r="L1088" t="s">
        <v>158</v>
      </c>
    </row>
    <row r="1089" spans="1:14" x14ac:dyDescent="0.35">
      <c r="A1089" s="13">
        <v>45869</v>
      </c>
      <c r="B1089" t="s">
        <v>345</v>
      </c>
      <c r="C1089" t="s">
        <v>784</v>
      </c>
      <c r="E1089" s="8">
        <v>2</v>
      </c>
      <c r="F1089" s="1">
        <v>11648.76</v>
      </c>
      <c r="H1089">
        <v>1.21</v>
      </c>
      <c r="I1089" s="9">
        <f>2329.75/DATAIN_COMPRAS__2[[#This Row],[$/ UN NETO]]</f>
        <v>0.19999982830790572</v>
      </c>
      <c r="J1089" s="2">
        <f>+DATAIN_COMPRAS__2[[#This Row],[$/ UN NETO]]*DATAIN_COMPRAS__2[[#This Row],[IVA]]</f>
        <v>14094.999599999999</v>
      </c>
      <c r="K1089" s="7">
        <f t="shared" si="21"/>
        <v>22552.004199999999</v>
      </c>
      <c r="L1089" t="s">
        <v>237</v>
      </c>
    </row>
    <row r="1090" spans="1:14" x14ac:dyDescent="0.35">
      <c r="A1090" s="13">
        <v>45869</v>
      </c>
      <c r="B1090" t="s">
        <v>345</v>
      </c>
      <c r="C1090" t="s">
        <v>781</v>
      </c>
      <c r="E1090" s="8">
        <v>4</v>
      </c>
      <c r="F1090" s="1">
        <v>690.08</v>
      </c>
      <c r="H1090">
        <v>1.21</v>
      </c>
      <c r="I1090" s="9">
        <f>276.03/DATAIN_COMPRAS__2[[#This Row],[$/ UN NETO]]</f>
        <v>0.39999710178530018</v>
      </c>
      <c r="J1090" s="2">
        <f>+DATAIN_COMPRAS__2[[#This Row],[$/ UN NETO]]*DATAIN_COMPRAS__2[[#This Row],[IVA]]</f>
        <v>834.99680000000001</v>
      </c>
      <c r="K1090" s="7">
        <f t="shared" si="21"/>
        <v>2004.0020000000006</v>
      </c>
      <c r="L1090" t="s">
        <v>158</v>
      </c>
    </row>
    <row r="1091" spans="1:14" x14ac:dyDescent="0.35">
      <c r="A1091" s="13">
        <v>45869</v>
      </c>
      <c r="B1091" t="s">
        <v>345</v>
      </c>
      <c r="C1091" t="s">
        <v>352</v>
      </c>
      <c r="E1091" s="8">
        <v>2</v>
      </c>
      <c r="F1091" s="1">
        <v>3719.01</v>
      </c>
      <c r="H1091">
        <v>1.21</v>
      </c>
      <c r="I1091" s="9">
        <f>1487.6/DATAIN_COMPRAS__2[[#This Row],[$/ UN NETO]]</f>
        <v>0.39999892444494634</v>
      </c>
      <c r="J1091" s="2">
        <f>+DATAIN_COMPRAS__2[[#This Row],[$/ UN NETO]]*DATAIN_COMPRAS__2[[#This Row],[IVA]]</f>
        <v>4500.0020999999997</v>
      </c>
      <c r="K1091" s="7">
        <f t="shared" si="21"/>
        <v>5400.012200000001</v>
      </c>
      <c r="L1091" t="s">
        <v>237</v>
      </c>
    </row>
    <row r="1092" spans="1:14" x14ac:dyDescent="0.35">
      <c r="A1092" s="13">
        <v>45869</v>
      </c>
      <c r="B1092" t="s">
        <v>345</v>
      </c>
      <c r="C1092" t="s">
        <v>352</v>
      </c>
      <c r="E1092" s="8">
        <v>2</v>
      </c>
      <c r="F1092" s="1">
        <v>3719.01</v>
      </c>
      <c r="H1092">
        <v>1.21</v>
      </c>
      <c r="I1092" s="9">
        <f>1487.6/DATAIN_COMPRAS__2[[#This Row],[$/ UN NETO]]</f>
        <v>0.39999892444494634</v>
      </c>
      <c r="J1092" s="2">
        <f>+DATAIN_COMPRAS__2[[#This Row],[$/ UN NETO]]*DATAIN_COMPRAS__2[[#This Row],[IVA]]</f>
        <v>4500.0020999999997</v>
      </c>
      <c r="K1092" s="7">
        <f t="shared" si="21"/>
        <v>5400.012200000001</v>
      </c>
      <c r="L1092" t="s">
        <v>158</v>
      </c>
    </row>
    <row r="1093" spans="1:14" x14ac:dyDescent="0.35">
      <c r="A1093" s="13">
        <v>45869</v>
      </c>
      <c r="B1093" t="s">
        <v>309</v>
      </c>
      <c r="C1093" t="s">
        <v>103</v>
      </c>
      <c r="E1093" s="8">
        <v>360</v>
      </c>
      <c r="F1093" s="1">
        <f>66000/DATAIN_COMPRAS__2[[#This Row],[CANT]]</f>
        <v>183.33333333333334</v>
      </c>
      <c r="H1093">
        <v>1</v>
      </c>
      <c r="J1093" s="2">
        <f>+DATAIN_COMPRAS__2[[#This Row],[$/ UN NETO]]*DATAIN_COMPRAS__2[[#This Row],[IVA]]</f>
        <v>183.33333333333334</v>
      </c>
      <c r="K1093" s="7">
        <f t="shared" si="21"/>
        <v>66000</v>
      </c>
      <c r="L1093" t="s">
        <v>237</v>
      </c>
    </row>
    <row r="1094" spans="1:14" x14ac:dyDescent="0.35">
      <c r="A1094" s="13">
        <v>45869</v>
      </c>
      <c r="B1094" t="s">
        <v>309</v>
      </c>
      <c r="C1094" t="s">
        <v>331</v>
      </c>
      <c r="E1094" s="8">
        <v>14</v>
      </c>
      <c r="F1094" s="1">
        <f>12000/DATAIN_COMPRAS__2[[#This Row],[CANT]]</f>
        <v>857.14285714285711</v>
      </c>
      <c r="H1094">
        <v>1</v>
      </c>
      <c r="J1094" s="2">
        <f>+DATAIN_COMPRAS__2[[#This Row],[$/ UN NETO]]*DATAIN_COMPRAS__2[[#This Row],[IVA]]</f>
        <v>857.14285714285711</v>
      </c>
      <c r="K1094" s="7">
        <f t="shared" si="21"/>
        <v>12000</v>
      </c>
      <c r="L1094" t="s">
        <v>237</v>
      </c>
    </row>
    <row r="1095" spans="1:14" x14ac:dyDescent="0.35">
      <c r="A1095" s="13">
        <v>45869</v>
      </c>
      <c r="B1095" t="s">
        <v>309</v>
      </c>
      <c r="C1095" t="s">
        <v>356</v>
      </c>
      <c r="E1095" s="8">
        <v>18</v>
      </c>
      <c r="F1095" s="1">
        <f>17000/DATAIN_COMPRAS__2[[#This Row],[CANT]]</f>
        <v>944.44444444444446</v>
      </c>
      <c r="H1095">
        <v>1</v>
      </c>
      <c r="J1095" s="2">
        <f>+DATAIN_COMPRAS__2[[#This Row],[$/ UN NETO]]*DATAIN_COMPRAS__2[[#This Row],[IVA]]</f>
        <v>944.44444444444446</v>
      </c>
      <c r="K1095" s="7">
        <f t="shared" si="21"/>
        <v>17000</v>
      </c>
      <c r="L1095" t="s">
        <v>237</v>
      </c>
    </row>
    <row r="1096" spans="1:14" x14ac:dyDescent="0.35">
      <c r="A1096" s="13">
        <v>45869</v>
      </c>
      <c r="B1096" t="s">
        <v>309</v>
      </c>
      <c r="C1096" t="s">
        <v>17</v>
      </c>
      <c r="E1096" s="8">
        <v>18</v>
      </c>
      <c r="F1096" s="1">
        <f>22000/DATAIN_COMPRAS__2[[#This Row],[CANT]]</f>
        <v>1222.2222222222222</v>
      </c>
      <c r="H1096">
        <v>1</v>
      </c>
      <c r="J1096" s="2">
        <f>+DATAIN_COMPRAS__2[[#This Row],[$/ UN NETO]]*DATAIN_COMPRAS__2[[#This Row],[IVA]]</f>
        <v>1222.2222222222222</v>
      </c>
      <c r="K1096" s="7">
        <f t="shared" si="21"/>
        <v>22000</v>
      </c>
      <c r="L1096" t="s">
        <v>237</v>
      </c>
    </row>
    <row r="1097" spans="1:14" x14ac:dyDescent="0.35">
      <c r="A1097" s="13">
        <v>45869</v>
      </c>
      <c r="B1097" t="s">
        <v>309</v>
      </c>
      <c r="C1097" t="s">
        <v>18</v>
      </c>
      <c r="E1097" s="8">
        <v>5</v>
      </c>
      <c r="F1097" s="1">
        <f>12000/DATAIN_COMPRAS__2[[#This Row],[CANT]]</f>
        <v>2400</v>
      </c>
      <c r="H1097">
        <v>1</v>
      </c>
      <c r="J1097" s="2">
        <f>+DATAIN_COMPRAS__2[[#This Row],[$/ UN NETO]]*DATAIN_COMPRAS__2[[#This Row],[IVA]]</f>
        <v>2400</v>
      </c>
      <c r="K1097" s="7">
        <f t="shared" si="21"/>
        <v>12000</v>
      </c>
      <c r="L1097" t="s">
        <v>237</v>
      </c>
      <c r="M1097">
        <v>66000</v>
      </c>
      <c r="N1097" s="3">
        <v>45869</v>
      </c>
    </row>
    <row r="1098" spans="1:14" x14ac:dyDescent="0.35">
      <c r="A1098" s="13">
        <v>45871</v>
      </c>
      <c r="B1098" t="s">
        <v>12</v>
      </c>
      <c r="C1098" t="s">
        <v>28</v>
      </c>
      <c r="E1098" s="8">
        <v>0.27500000000000002</v>
      </c>
      <c r="F1098" s="1">
        <f>3000/DATAIN_COMPRAS__2[[#This Row],[CANT]]</f>
        <v>10909.090909090908</v>
      </c>
      <c r="H1098">
        <v>1</v>
      </c>
      <c r="J1098" s="2">
        <f>+DATAIN_COMPRAS__2[[#This Row],[$/ UN NETO]]*DATAIN_COMPRAS__2[[#This Row],[IVA]]</f>
        <v>10909.090909090908</v>
      </c>
      <c r="K1098" s="7">
        <f t="shared" si="21"/>
        <v>3000</v>
      </c>
      <c r="L1098" t="s">
        <v>237</v>
      </c>
    </row>
    <row r="1099" spans="1:14" x14ac:dyDescent="0.35">
      <c r="A1099" s="13">
        <v>45872</v>
      </c>
      <c r="B1099" t="s">
        <v>12</v>
      </c>
      <c r="C1099" t="s">
        <v>23</v>
      </c>
      <c r="E1099" s="8">
        <v>0.5</v>
      </c>
      <c r="F1099" s="1">
        <v>7500</v>
      </c>
      <c r="H1099">
        <v>1</v>
      </c>
      <c r="J1099" s="2">
        <f>+DATAIN_COMPRAS__2[[#This Row],[$/ UN NETO]]*DATAIN_COMPRAS__2[[#This Row],[IVA]]</f>
        <v>7500</v>
      </c>
      <c r="K1099" s="7">
        <f t="shared" si="21"/>
        <v>3750</v>
      </c>
      <c r="L1099" t="s">
        <v>237</v>
      </c>
    </row>
    <row r="1100" spans="1:14" x14ac:dyDescent="0.35">
      <c r="A1100" s="13">
        <v>45872</v>
      </c>
      <c r="B1100" t="s">
        <v>12</v>
      </c>
      <c r="C1100" t="s">
        <v>13</v>
      </c>
      <c r="E1100" s="8">
        <v>14</v>
      </c>
      <c r="F1100" s="1">
        <v>1214.2857142857142</v>
      </c>
      <c r="H1100">
        <v>1</v>
      </c>
      <c r="J1100" s="2">
        <f>+DATAIN_COMPRAS__2[[#This Row],[$/ UN NETO]]*DATAIN_COMPRAS__2[[#This Row],[IVA]]</f>
        <v>1214.2857142857142</v>
      </c>
      <c r="K1100" s="7">
        <f t="shared" si="21"/>
        <v>17000</v>
      </c>
      <c r="L1100" t="s">
        <v>237</v>
      </c>
    </row>
    <row r="1101" spans="1:14" x14ac:dyDescent="0.35">
      <c r="A1101" s="13">
        <v>45872</v>
      </c>
      <c r="B1101" t="s">
        <v>12</v>
      </c>
      <c r="C1101" t="s">
        <v>19</v>
      </c>
      <c r="E1101" s="8">
        <v>1.73</v>
      </c>
      <c r="F1101" s="1">
        <v>6300</v>
      </c>
      <c r="H1101">
        <v>1</v>
      </c>
      <c r="J1101" s="2">
        <f>+DATAIN_COMPRAS__2[[#This Row],[$/ UN NETO]]*DATAIN_COMPRAS__2[[#This Row],[IVA]]</f>
        <v>6300</v>
      </c>
      <c r="K1101" s="7">
        <f t="shared" si="21"/>
        <v>10899</v>
      </c>
      <c r="L1101" t="s">
        <v>237</v>
      </c>
    </row>
    <row r="1102" spans="1:14" x14ac:dyDescent="0.35">
      <c r="A1102" s="13">
        <v>45873</v>
      </c>
      <c r="B1102" t="s">
        <v>48</v>
      </c>
      <c r="C1102" t="str">
        <f>+UPPER("Crema Balde x 5Lt 44% MILKAUT")</f>
        <v>CREMA BALDE X 5LT 44% MILKAUT</v>
      </c>
      <c r="E1102" s="8">
        <v>5</v>
      </c>
      <c r="F1102" s="1">
        <f>41938.7603/5</f>
        <v>8387.7520600000007</v>
      </c>
      <c r="H1102">
        <v>1.21</v>
      </c>
      <c r="I1102">
        <v>0.06</v>
      </c>
      <c r="J1102" s="2">
        <f>+DATAIN_COMPRAS__2[[#This Row],[$/ UN NETO]]*DATAIN_COMPRAS__2[[#This Row],[IVA]]</f>
        <v>10149.1799926</v>
      </c>
      <c r="K1102" s="7">
        <f t="shared" si="21"/>
        <v>47701.145965219999</v>
      </c>
      <c r="L1102" t="s">
        <v>158</v>
      </c>
    </row>
    <row r="1103" spans="1:14" x14ac:dyDescent="0.35">
      <c r="A1103" s="13">
        <v>45873</v>
      </c>
      <c r="B1103" t="s">
        <v>48</v>
      </c>
      <c r="C1103" t="s">
        <v>321</v>
      </c>
      <c r="E1103" s="8">
        <v>2</v>
      </c>
      <c r="F1103" s="1">
        <v>2928.4427999999998</v>
      </c>
      <c r="H1103">
        <v>1.21</v>
      </c>
      <c r="I1103">
        <v>0.06</v>
      </c>
      <c r="J1103" s="2">
        <f>+DATAIN_COMPRAS__2[[#This Row],[$/ UN NETO]]*DATAIN_COMPRAS__2[[#This Row],[IVA]]</f>
        <v>3543.4157879999998</v>
      </c>
      <c r="K1103" s="7">
        <f t="shared" si="21"/>
        <v>6661.6216814399995</v>
      </c>
      <c r="L1103" t="s">
        <v>158</v>
      </c>
    </row>
    <row r="1104" spans="1:14" x14ac:dyDescent="0.35">
      <c r="A1104" s="13">
        <v>45873</v>
      </c>
      <c r="B1104" t="s">
        <v>80</v>
      </c>
      <c r="C1104" t="s">
        <v>282</v>
      </c>
      <c r="E1104" s="8">
        <v>30</v>
      </c>
      <c r="F1104" s="1">
        <v>49.59</v>
      </c>
      <c r="H1104">
        <v>1.21</v>
      </c>
      <c r="J1104" s="2">
        <f>+DATAIN_COMPRAS__2[[#This Row],[$/ UN NETO]]*DATAIN_COMPRAS__2[[#This Row],[IVA]]</f>
        <v>60.003900000000002</v>
      </c>
      <c r="K1104" s="7">
        <f t="shared" si="21"/>
        <v>1800.117</v>
      </c>
      <c r="L1104" t="s">
        <v>237</v>
      </c>
    </row>
    <row r="1105" spans="1:12" x14ac:dyDescent="0.35">
      <c r="A1105" s="13">
        <v>45873</v>
      </c>
      <c r="B1105" t="s">
        <v>80</v>
      </c>
      <c r="C1105" t="s">
        <v>94</v>
      </c>
      <c r="E1105" s="8">
        <v>5</v>
      </c>
      <c r="F1105" s="1">
        <v>1074.3800000000001</v>
      </c>
      <c r="H1105">
        <v>1.21</v>
      </c>
      <c r="J1105" s="2">
        <f>+DATAIN_COMPRAS__2[[#This Row],[$/ UN NETO]]*DATAIN_COMPRAS__2[[#This Row],[IVA]]</f>
        <v>1299.9998000000001</v>
      </c>
      <c r="K1105" s="7">
        <f t="shared" si="21"/>
        <v>6499.9990000000007</v>
      </c>
      <c r="L1105" t="s">
        <v>237</v>
      </c>
    </row>
    <row r="1106" spans="1:12" x14ac:dyDescent="0.35">
      <c r="A1106" s="13">
        <v>45873</v>
      </c>
      <c r="B1106" t="s">
        <v>80</v>
      </c>
      <c r="C1106" t="s">
        <v>304</v>
      </c>
      <c r="E1106" s="8">
        <v>30</v>
      </c>
      <c r="F1106" s="1">
        <v>74.38</v>
      </c>
      <c r="H1106">
        <v>1.21</v>
      </c>
      <c r="J1106" s="2">
        <f>+DATAIN_COMPRAS__2[[#This Row],[$/ UN NETO]]*DATAIN_COMPRAS__2[[#This Row],[IVA]]</f>
        <v>89.999799999999993</v>
      </c>
      <c r="K1106" s="7">
        <f t="shared" si="21"/>
        <v>2699.9939999999997</v>
      </c>
      <c r="L1106" t="s">
        <v>237</v>
      </c>
    </row>
    <row r="1107" spans="1:12" x14ac:dyDescent="0.35">
      <c r="A1107" s="13">
        <v>45873</v>
      </c>
      <c r="B1107" t="s">
        <v>80</v>
      </c>
      <c r="C1107" t="s">
        <v>303</v>
      </c>
      <c r="E1107" s="8">
        <v>30</v>
      </c>
      <c r="F1107" s="1">
        <v>181.82</v>
      </c>
      <c r="H1107">
        <v>1.21</v>
      </c>
      <c r="J1107" s="2">
        <f>+DATAIN_COMPRAS__2[[#This Row],[$/ UN NETO]]*DATAIN_COMPRAS__2[[#This Row],[IVA]]</f>
        <v>220.00219999999999</v>
      </c>
      <c r="K1107" s="7">
        <f t="shared" si="21"/>
        <v>6600.0659999999989</v>
      </c>
      <c r="L1107" t="s">
        <v>237</v>
      </c>
    </row>
    <row r="1108" spans="1:12" x14ac:dyDescent="0.35">
      <c r="A1108" s="13">
        <v>45873</v>
      </c>
      <c r="B1108" t="s">
        <v>12</v>
      </c>
      <c r="C1108" t="s">
        <v>28</v>
      </c>
      <c r="E1108" s="8">
        <v>0.27500000000000002</v>
      </c>
      <c r="F1108" s="1">
        <f>3000/DATAIN_COMPRAS__2[[#This Row],[CANT]]</f>
        <v>10909.090909090908</v>
      </c>
      <c r="H1108">
        <v>1</v>
      </c>
      <c r="J1108" s="2">
        <f>+DATAIN_COMPRAS__2[[#This Row],[$/ UN NETO]]*DATAIN_COMPRAS__2[[#This Row],[IVA]]</f>
        <v>10909.090909090908</v>
      </c>
      <c r="K1108" s="7">
        <f t="shared" si="21"/>
        <v>3000</v>
      </c>
      <c r="L1108" t="s">
        <v>237</v>
      </c>
    </row>
    <row r="1109" spans="1:12" x14ac:dyDescent="0.35">
      <c r="A1109" s="13">
        <v>45874</v>
      </c>
      <c r="B1109" t="s">
        <v>124</v>
      </c>
      <c r="C1109" t="s">
        <v>125</v>
      </c>
      <c r="E1109" s="8">
        <v>9</v>
      </c>
      <c r="F1109" s="16">
        <v>41500</v>
      </c>
      <c r="H1109">
        <v>1</v>
      </c>
      <c r="J1109" s="2">
        <f>+DATAIN_COMPRAS__2[[#This Row],[$/ UN NETO]]*DATAIN_COMPRAS__2[[#This Row],[IVA]]</f>
        <v>41500</v>
      </c>
      <c r="K1109" s="7">
        <f t="shared" si="21"/>
        <v>373500</v>
      </c>
      <c r="L1109" t="s">
        <v>158</v>
      </c>
    </row>
    <row r="1110" spans="1:12" x14ac:dyDescent="0.35">
      <c r="A1110" s="13">
        <v>45874</v>
      </c>
      <c r="B1110" t="s">
        <v>48</v>
      </c>
      <c r="C1110" s="14" t="s">
        <v>116</v>
      </c>
      <c r="E1110" s="8">
        <v>10</v>
      </c>
      <c r="F1110" s="1">
        <v>700.74379999999996</v>
      </c>
      <c r="H1110">
        <v>1.21</v>
      </c>
      <c r="I1110">
        <v>0.06</v>
      </c>
      <c r="J1110" s="2">
        <f>+DATAIN_COMPRAS__2[[#This Row],[$/ UN NETO]]*DATAIN_COMPRAS__2[[#This Row],[IVA]]</f>
        <v>847.89999799999998</v>
      </c>
      <c r="K1110" s="7">
        <f t="shared" si="21"/>
        <v>7970.2599811999999</v>
      </c>
      <c r="L1110" t="s">
        <v>237</v>
      </c>
    </row>
    <row r="1111" spans="1:12" x14ac:dyDescent="0.35">
      <c r="A1111" s="13">
        <v>45874</v>
      </c>
      <c r="B1111" t="s">
        <v>48</v>
      </c>
      <c r="C1111" t="s">
        <v>833</v>
      </c>
      <c r="E1111" s="8">
        <v>3.5</v>
      </c>
      <c r="F1111" s="1">
        <f>19208.0044/3.5</f>
        <v>5488.0012571428579</v>
      </c>
      <c r="H1111">
        <v>1.21</v>
      </c>
      <c r="I1111">
        <v>0.06</v>
      </c>
      <c r="J1111" s="2">
        <f>+DATAIN_COMPRAS__2[[#This Row],[$/ UN NETO]]*DATAIN_COMPRAS__2[[#This Row],[IVA]]</f>
        <v>6640.4815211428577</v>
      </c>
      <c r="K1111" s="7">
        <f t="shared" si="21"/>
        <v>21847.184204559999</v>
      </c>
      <c r="L1111" t="s">
        <v>237</v>
      </c>
    </row>
    <row r="1112" spans="1:12" x14ac:dyDescent="0.35">
      <c r="A1112" s="13">
        <v>45874</v>
      </c>
      <c r="B1112" t="s">
        <v>359</v>
      </c>
      <c r="C1112" t="s">
        <v>111</v>
      </c>
      <c r="E1112" s="8">
        <v>1</v>
      </c>
      <c r="F1112" s="1">
        <f>6526.02/3</f>
        <v>2175.34</v>
      </c>
      <c r="H1112">
        <v>1</v>
      </c>
      <c r="J1112" s="2">
        <f>+DATAIN_COMPRAS__2[[#This Row],[$/ UN NETO]]*DATAIN_COMPRAS__2[[#This Row],[IVA]]</f>
        <v>2175.34</v>
      </c>
      <c r="K1112" s="7">
        <f t="shared" si="21"/>
        <v>2175.34</v>
      </c>
      <c r="L1112" t="s">
        <v>255</v>
      </c>
    </row>
    <row r="1113" spans="1:12" x14ac:dyDescent="0.35">
      <c r="A1113" s="13">
        <v>45874</v>
      </c>
      <c r="B1113" t="s">
        <v>359</v>
      </c>
      <c r="C1113" t="s">
        <v>111</v>
      </c>
      <c r="E1113" s="8">
        <v>3</v>
      </c>
      <c r="F1113" s="1">
        <f>5393.4/3</f>
        <v>1797.8</v>
      </c>
      <c r="H1113">
        <v>1.21</v>
      </c>
      <c r="J1113" s="2">
        <f>+DATAIN_COMPRAS__2[[#This Row],[$/ UN NETO]]*DATAIN_COMPRAS__2[[#This Row],[IVA]]</f>
        <v>2175.3379999999997</v>
      </c>
      <c r="K1113" s="7">
        <f t="shared" si="21"/>
        <v>6526.0139999999992</v>
      </c>
      <c r="L1113" t="s">
        <v>237</v>
      </c>
    </row>
    <row r="1114" spans="1:12" x14ac:dyDescent="0.35">
      <c r="A1114" s="13">
        <v>45874</v>
      </c>
      <c r="B1114" t="s">
        <v>359</v>
      </c>
      <c r="C1114" t="s">
        <v>144</v>
      </c>
      <c r="E1114" s="8">
        <v>3</v>
      </c>
      <c r="F1114" s="1">
        <f>5474.38/3</f>
        <v>1824.7933333333333</v>
      </c>
      <c r="H1114">
        <v>1.21</v>
      </c>
      <c r="J1114" s="2">
        <f>+DATAIN_COMPRAS__2[[#This Row],[$/ UN NETO]]*DATAIN_COMPRAS__2[[#This Row],[IVA]]</f>
        <v>2207.999933333333</v>
      </c>
      <c r="K1114" s="7">
        <f t="shared" si="21"/>
        <v>6623.9997999999996</v>
      </c>
      <c r="L1114" t="s">
        <v>158</v>
      </c>
    </row>
    <row r="1115" spans="1:12" x14ac:dyDescent="0.35">
      <c r="A1115" s="13">
        <v>45874</v>
      </c>
      <c r="B1115" t="s">
        <v>359</v>
      </c>
      <c r="C1115" t="s">
        <v>144</v>
      </c>
      <c r="E1115" s="8">
        <v>3</v>
      </c>
      <c r="F1115" s="1">
        <f>5474.38/3</f>
        <v>1824.7933333333333</v>
      </c>
      <c r="H1115">
        <v>1.21</v>
      </c>
      <c r="J1115" s="2">
        <f>+DATAIN_COMPRAS__2[[#This Row],[$/ UN NETO]]*DATAIN_COMPRAS__2[[#This Row],[IVA]]</f>
        <v>2207.999933333333</v>
      </c>
      <c r="K1115" s="7">
        <f t="shared" si="21"/>
        <v>6623.9997999999996</v>
      </c>
      <c r="L1115" t="s">
        <v>237</v>
      </c>
    </row>
    <row r="1116" spans="1:12" x14ac:dyDescent="0.35">
      <c r="A1116" s="13">
        <v>45874</v>
      </c>
      <c r="B1116" t="s">
        <v>359</v>
      </c>
      <c r="C1116" t="s">
        <v>70</v>
      </c>
      <c r="E1116" s="8">
        <v>1</v>
      </c>
      <c r="F1116" s="1">
        <v>4554</v>
      </c>
      <c r="H1116">
        <v>1</v>
      </c>
      <c r="J1116" s="2">
        <f>+DATAIN_COMPRAS__2[[#This Row],[$/ UN NETO]]*DATAIN_COMPRAS__2[[#This Row],[IVA]]</f>
        <v>4554</v>
      </c>
      <c r="K1116" s="7">
        <f t="shared" si="21"/>
        <v>4554</v>
      </c>
      <c r="L1116" t="s">
        <v>255</v>
      </c>
    </row>
    <row r="1117" spans="1:12" x14ac:dyDescent="0.35">
      <c r="A1117" s="13">
        <v>45874</v>
      </c>
      <c r="B1117" t="s">
        <v>359</v>
      </c>
      <c r="C1117" t="s">
        <v>70</v>
      </c>
      <c r="E1117" s="8">
        <v>1</v>
      </c>
      <c r="F1117" s="1">
        <v>3763.64</v>
      </c>
      <c r="H1117">
        <v>1.21</v>
      </c>
      <c r="J1117" s="2">
        <f>+DATAIN_COMPRAS__2[[#This Row],[$/ UN NETO]]*DATAIN_COMPRAS__2[[#This Row],[IVA]]</f>
        <v>4554.0043999999998</v>
      </c>
      <c r="K1117" s="7">
        <f t="shared" si="21"/>
        <v>4554.0043999999998</v>
      </c>
      <c r="L1117" t="s">
        <v>237</v>
      </c>
    </row>
    <row r="1118" spans="1:12" x14ac:dyDescent="0.35">
      <c r="A1118" s="13">
        <v>45874</v>
      </c>
      <c r="B1118" t="s">
        <v>80</v>
      </c>
      <c r="C1118" t="s">
        <v>88</v>
      </c>
      <c r="E1118" s="8">
        <v>100</v>
      </c>
      <c r="F1118" s="1">
        <f>1570.25/100</f>
        <v>15.702500000000001</v>
      </c>
      <c r="H1118">
        <v>1.21</v>
      </c>
      <c r="J1118" s="2">
        <f>+DATAIN_COMPRAS__2[[#This Row],[$/ UN NETO]]*DATAIN_COMPRAS__2[[#This Row],[IVA]]</f>
        <v>19.000025000000001</v>
      </c>
      <c r="K1118" s="7">
        <f t="shared" si="21"/>
        <v>1900.0025000000001</v>
      </c>
      <c r="L1118" t="s">
        <v>237</v>
      </c>
    </row>
    <row r="1119" spans="1:12" x14ac:dyDescent="0.35">
      <c r="A1119" s="13">
        <v>45874</v>
      </c>
      <c r="B1119" t="s">
        <v>80</v>
      </c>
      <c r="C1119" t="s">
        <v>92</v>
      </c>
      <c r="E1119" s="8">
        <v>1</v>
      </c>
      <c r="F1119" s="1">
        <v>1983.47</v>
      </c>
      <c r="H1119">
        <v>1.21</v>
      </c>
      <c r="J1119" s="2">
        <f>+DATAIN_COMPRAS__2[[#This Row],[$/ UN NETO]]*DATAIN_COMPRAS__2[[#This Row],[IVA]]</f>
        <v>2399.9987000000001</v>
      </c>
      <c r="K1119" s="7">
        <f t="shared" si="21"/>
        <v>2399.9987000000001</v>
      </c>
      <c r="L1119" t="s">
        <v>237</v>
      </c>
    </row>
    <row r="1120" spans="1:12" x14ac:dyDescent="0.35">
      <c r="A1120" s="13">
        <v>45874</v>
      </c>
      <c r="B1120" t="s">
        <v>80</v>
      </c>
      <c r="C1120" t="s">
        <v>87</v>
      </c>
      <c r="E1120" s="8">
        <v>1</v>
      </c>
      <c r="F1120" s="1">
        <v>5537.19</v>
      </c>
      <c r="H1120">
        <v>1.21</v>
      </c>
      <c r="J1120" s="2">
        <f>+DATAIN_COMPRAS__2[[#This Row],[$/ UN NETO]]*DATAIN_COMPRAS__2[[#This Row],[IVA]]</f>
        <v>6699.9998999999989</v>
      </c>
      <c r="K1120" s="7">
        <f t="shared" si="21"/>
        <v>6699.9998999999989</v>
      </c>
      <c r="L1120" t="s">
        <v>237</v>
      </c>
    </row>
    <row r="1121" spans="1:14" x14ac:dyDescent="0.35">
      <c r="A1121" s="13">
        <v>45874</v>
      </c>
      <c r="B1121" t="s">
        <v>80</v>
      </c>
      <c r="C1121" t="s">
        <v>86</v>
      </c>
      <c r="E1121" s="8">
        <v>30</v>
      </c>
      <c r="F1121" s="1">
        <v>164.1</v>
      </c>
      <c r="H1121">
        <v>1.21</v>
      </c>
      <c r="J1121" s="2">
        <f>+DATAIN_COMPRAS__2[[#This Row],[$/ UN NETO]]*DATAIN_COMPRAS__2[[#This Row],[IVA]]</f>
        <v>198.56099999999998</v>
      </c>
      <c r="K1121" s="7">
        <f t="shared" si="21"/>
        <v>5956.83</v>
      </c>
      <c r="L1121" t="s">
        <v>237</v>
      </c>
    </row>
    <row r="1122" spans="1:14" x14ac:dyDescent="0.35">
      <c r="A1122" s="13">
        <v>45874</v>
      </c>
      <c r="B1122" t="s">
        <v>80</v>
      </c>
      <c r="C1122" t="s">
        <v>97</v>
      </c>
      <c r="E1122" s="8">
        <v>24</v>
      </c>
      <c r="F1122" s="1">
        <v>283.37</v>
      </c>
      <c r="H1122">
        <v>1.21</v>
      </c>
      <c r="J1122" s="2">
        <f>+DATAIN_COMPRAS__2[[#This Row],[$/ UN NETO]]*DATAIN_COMPRAS__2[[#This Row],[IVA]]</f>
        <v>342.8777</v>
      </c>
      <c r="K1122" s="7">
        <f t="shared" si="21"/>
        <v>8229.0648000000001</v>
      </c>
      <c r="L1122" t="s">
        <v>237</v>
      </c>
    </row>
    <row r="1123" spans="1:14" x14ac:dyDescent="0.35">
      <c r="A1123" s="13">
        <v>45874</v>
      </c>
      <c r="B1123" t="s">
        <v>80</v>
      </c>
      <c r="C1123" t="s">
        <v>94</v>
      </c>
      <c r="E1123" s="8">
        <v>5</v>
      </c>
      <c r="F1123" s="1">
        <v>1074.3800000000001</v>
      </c>
      <c r="H1123">
        <v>1.21</v>
      </c>
      <c r="J1123" s="2">
        <f>+DATAIN_COMPRAS__2[[#This Row],[$/ UN NETO]]*DATAIN_COMPRAS__2[[#This Row],[IVA]]</f>
        <v>1299.9998000000001</v>
      </c>
      <c r="K1123" s="7">
        <f t="shared" ref="K1123:K1186" si="22">(E1123*F1123)*(1-I1123)*(H1123)</f>
        <v>6499.9990000000007</v>
      </c>
      <c r="L1123" t="s">
        <v>237</v>
      </c>
    </row>
    <row r="1124" spans="1:14" x14ac:dyDescent="0.35">
      <c r="A1124" s="13">
        <v>45874</v>
      </c>
      <c r="B1124" t="s">
        <v>104</v>
      </c>
      <c r="C1124" t="s">
        <v>108</v>
      </c>
      <c r="E1124" s="8">
        <v>1</v>
      </c>
      <c r="F1124" s="1">
        <v>9300</v>
      </c>
      <c r="H1124">
        <v>1</v>
      </c>
      <c r="J1124" s="2">
        <f>+DATAIN_COMPRAS__2[[#This Row],[$/ UN NETO]]*DATAIN_COMPRAS__2[[#This Row],[IVA]]</f>
        <v>9300</v>
      </c>
      <c r="K1124" s="7">
        <f t="shared" si="22"/>
        <v>9300</v>
      </c>
      <c r="L1124" t="s">
        <v>158</v>
      </c>
    </row>
    <row r="1125" spans="1:14" x14ac:dyDescent="0.35">
      <c r="A1125" s="13">
        <v>45874</v>
      </c>
      <c r="B1125" s="8" t="s">
        <v>104</v>
      </c>
      <c r="C1125" t="s">
        <v>105</v>
      </c>
      <c r="E1125" s="8">
        <v>2</v>
      </c>
      <c r="F1125" s="1">
        <v>10580</v>
      </c>
      <c r="H1125">
        <v>1</v>
      </c>
      <c r="J1125" s="2">
        <f>+DATAIN_COMPRAS__2[[#This Row],[$/ UN NETO]]*DATAIN_COMPRAS__2[[#This Row],[IVA]]</f>
        <v>10580</v>
      </c>
      <c r="K1125" s="7">
        <f t="shared" si="22"/>
        <v>21160</v>
      </c>
      <c r="L1125" t="s">
        <v>237</v>
      </c>
    </row>
    <row r="1126" spans="1:14" x14ac:dyDescent="0.35">
      <c r="A1126" s="13">
        <v>45874</v>
      </c>
      <c r="B1126" t="s">
        <v>104</v>
      </c>
      <c r="C1126" t="s">
        <v>105</v>
      </c>
      <c r="E1126" s="8">
        <v>2</v>
      </c>
      <c r="F1126" s="1">
        <v>10580</v>
      </c>
      <c r="H1126">
        <v>1</v>
      </c>
      <c r="J1126" s="2">
        <f>+DATAIN_COMPRAS__2[[#This Row],[$/ UN NETO]]*DATAIN_COMPRAS__2[[#This Row],[IVA]]</f>
        <v>10580</v>
      </c>
      <c r="K1126" s="7">
        <f t="shared" si="22"/>
        <v>21160</v>
      </c>
      <c r="L1126" t="s">
        <v>158</v>
      </c>
    </row>
    <row r="1127" spans="1:14" x14ac:dyDescent="0.35">
      <c r="A1127" s="13">
        <v>45874</v>
      </c>
      <c r="B1127" t="s">
        <v>110</v>
      </c>
      <c r="C1127" t="s">
        <v>163</v>
      </c>
      <c r="E1127" s="8">
        <v>10</v>
      </c>
      <c r="F1127" s="1">
        <f>13501.472/10</f>
        <v>1350.1471999999999</v>
      </c>
      <c r="H1127">
        <v>1.21</v>
      </c>
      <c r="I1127">
        <v>0.05</v>
      </c>
      <c r="J1127" s="2">
        <f>+DATAIN_COMPRAS__2[[#This Row],[$/ UN NETO]]*DATAIN_COMPRAS__2[[#This Row],[IVA]]</f>
        <v>1633.6781119999998</v>
      </c>
      <c r="K1127" s="7">
        <f t="shared" si="22"/>
        <v>15519.942063999997</v>
      </c>
      <c r="L1127" t="s">
        <v>158</v>
      </c>
    </row>
    <row r="1128" spans="1:14" x14ac:dyDescent="0.35">
      <c r="A1128" s="13">
        <v>45874</v>
      </c>
      <c r="B1128" t="s">
        <v>179</v>
      </c>
      <c r="C1128" t="s">
        <v>180</v>
      </c>
      <c r="E1128" s="8">
        <v>20</v>
      </c>
      <c r="F1128" s="1">
        <f>32622.48/10</f>
        <v>3262.248</v>
      </c>
      <c r="H1128">
        <v>1.21</v>
      </c>
      <c r="I1128">
        <v>0.05</v>
      </c>
      <c r="J1128" s="2">
        <f>+DATAIN_COMPRAS__2[[#This Row],[$/ UN NETO]]*DATAIN_COMPRAS__2[[#This Row],[IVA]]</f>
        <v>3947.32008</v>
      </c>
      <c r="K1128" s="7">
        <f t="shared" si="22"/>
        <v>74999.081519999992</v>
      </c>
      <c r="L1128" t="s">
        <v>158</v>
      </c>
    </row>
    <row r="1129" spans="1:14" x14ac:dyDescent="0.35">
      <c r="A1129" s="13">
        <v>45874</v>
      </c>
      <c r="B1129" t="s">
        <v>75</v>
      </c>
      <c r="C1129" t="s">
        <v>76</v>
      </c>
      <c r="E1129" s="8">
        <v>96</v>
      </c>
      <c r="F1129" s="1">
        <v>1123.45</v>
      </c>
      <c r="H1129">
        <v>1.21</v>
      </c>
      <c r="J1129" s="2">
        <f>+DATAIN_COMPRAS__2[[#This Row],[$/ UN NETO]]*DATAIN_COMPRAS__2[[#This Row],[IVA]]</f>
        <v>1359.3745000000001</v>
      </c>
      <c r="K1129" s="7">
        <f t="shared" si="22"/>
        <v>130499.952</v>
      </c>
      <c r="L1129" t="s">
        <v>237</v>
      </c>
    </row>
    <row r="1130" spans="1:14" x14ac:dyDescent="0.35">
      <c r="A1130" s="13">
        <v>45875</v>
      </c>
      <c r="B1130" t="s">
        <v>309</v>
      </c>
      <c r="C1130" t="s">
        <v>103</v>
      </c>
      <c r="E1130" s="8">
        <v>360</v>
      </c>
      <c r="F1130" s="1">
        <f>66000/DATAIN_COMPRAS__2[[#This Row],[CANT]]</f>
        <v>183.33333333333334</v>
      </c>
      <c r="H1130">
        <v>1</v>
      </c>
      <c r="J1130" s="2">
        <f>+DATAIN_COMPRAS__2[[#This Row],[$/ UN NETO]]*DATAIN_COMPRAS__2[[#This Row],[IVA]]</f>
        <v>183.33333333333334</v>
      </c>
      <c r="K1130" s="7">
        <f t="shared" si="22"/>
        <v>66000</v>
      </c>
      <c r="L1130" t="s">
        <v>237</v>
      </c>
      <c r="M1130">
        <v>63000</v>
      </c>
      <c r="N1130" s="3">
        <v>45873</v>
      </c>
    </row>
    <row r="1131" spans="1:14" x14ac:dyDescent="0.35">
      <c r="A1131" s="13">
        <v>45875</v>
      </c>
      <c r="B1131" t="s">
        <v>309</v>
      </c>
      <c r="C1131" t="s">
        <v>32</v>
      </c>
      <c r="E1131" s="8">
        <v>28</v>
      </c>
      <c r="F1131" s="1">
        <f>28000/DATAIN_COMPRAS__2[[#This Row],[CANT]]</f>
        <v>1000</v>
      </c>
      <c r="H1131">
        <v>1</v>
      </c>
      <c r="J1131" s="2">
        <f>+DATAIN_COMPRAS__2[[#This Row],[$/ UN NETO]]*DATAIN_COMPRAS__2[[#This Row],[IVA]]</f>
        <v>1000</v>
      </c>
      <c r="K1131" s="7">
        <f t="shared" si="22"/>
        <v>28000</v>
      </c>
      <c r="L1131" t="s">
        <v>237</v>
      </c>
    </row>
    <row r="1132" spans="1:14" x14ac:dyDescent="0.35">
      <c r="A1132" s="13">
        <v>45875</v>
      </c>
      <c r="B1132" t="s">
        <v>309</v>
      </c>
      <c r="C1132" t="s">
        <v>19</v>
      </c>
      <c r="E1132" s="8">
        <v>11</v>
      </c>
      <c r="F1132" s="1">
        <f>65000/DATAIN_COMPRAS__2[[#This Row],[CANT]]</f>
        <v>5909.090909090909</v>
      </c>
      <c r="H1132">
        <v>1</v>
      </c>
      <c r="J1132" s="2">
        <f>+DATAIN_COMPRAS__2[[#This Row],[$/ UN NETO]]*DATAIN_COMPRAS__2[[#This Row],[IVA]]</f>
        <v>5909.090909090909</v>
      </c>
      <c r="K1132" s="7">
        <f t="shared" si="22"/>
        <v>65000</v>
      </c>
      <c r="L1132" t="s">
        <v>237</v>
      </c>
    </row>
    <row r="1133" spans="1:14" x14ac:dyDescent="0.35">
      <c r="A1133" s="13">
        <v>45875</v>
      </c>
      <c r="B1133" t="s">
        <v>309</v>
      </c>
      <c r="C1133" t="s">
        <v>18</v>
      </c>
      <c r="E1133" s="8">
        <v>5</v>
      </c>
      <c r="F1133" s="1">
        <f>8000/DATAIN_COMPRAS__2[[#This Row],[CANT]]</f>
        <v>1600</v>
      </c>
      <c r="H1133">
        <v>1</v>
      </c>
      <c r="J1133" s="2">
        <f>+DATAIN_COMPRAS__2[[#This Row],[$/ UN NETO]]*DATAIN_COMPRAS__2[[#This Row],[IVA]]</f>
        <v>1600</v>
      </c>
      <c r="K1133" s="7">
        <f t="shared" si="22"/>
        <v>8000</v>
      </c>
      <c r="L1133" t="s">
        <v>237</v>
      </c>
    </row>
    <row r="1134" spans="1:14" x14ac:dyDescent="0.35">
      <c r="A1134" s="13">
        <v>45875</v>
      </c>
      <c r="B1134" t="s">
        <v>256</v>
      </c>
      <c r="C1134" t="str">
        <f>+UPPER("Crema Balde x 5Lt 44% MILKAUT")</f>
        <v>CREMA BALDE X 5LT 44% MILKAUT</v>
      </c>
      <c r="E1134" s="8">
        <v>5</v>
      </c>
      <c r="F1134" s="1">
        <f>29956.825/DATAIN_COMPRAS__2[[#This Row],[CANT]]</f>
        <v>5991.3649999999998</v>
      </c>
      <c r="H1134">
        <v>1.21</v>
      </c>
      <c r="I1134">
        <v>-2.4193558361097999E-2</v>
      </c>
      <c r="J1134" s="2">
        <f>+DATAIN_COMPRAS__2[[#This Row],[$/ UN NETO]]*DATAIN_COMPRAS__2[[#This Row],[IVA]]</f>
        <v>7249.5516499999994</v>
      </c>
      <c r="K1134" s="7">
        <f t="shared" si="22"/>
        <v>37124.720504680336</v>
      </c>
      <c r="L1134" t="s">
        <v>158</v>
      </c>
    </row>
    <row r="1135" spans="1:14" x14ac:dyDescent="0.35">
      <c r="A1135" s="13">
        <v>45875</v>
      </c>
      <c r="B1135" t="s">
        <v>256</v>
      </c>
      <c r="C1135" t="s">
        <v>258</v>
      </c>
      <c r="E1135" s="8">
        <v>5</v>
      </c>
      <c r="F1135" s="1">
        <v>9904.6</v>
      </c>
      <c r="H1135">
        <v>1.21</v>
      </c>
      <c r="J1135" s="2">
        <f>+DATAIN_COMPRAS__2[[#This Row],[$/ UN NETO]]*DATAIN_COMPRAS__2[[#This Row],[IVA]]</f>
        <v>11984.566000000001</v>
      </c>
      <c r="K1135" s="7">
        <f t="shared" si="22"/>
        <v>59922.83</v>
      </c>
      <c r="L1135" t="s">
        <v>237</v>
      </c>
    </row>
    <row r="1136" spans="1:14" x14ac:dyDescent="0.35">
      <c r="A1136" s="13">
        <v>45875</v>
      </c>
      <c r="B1136" t="s">
        <v>256</v>
      </c>
      <c r="C1136" t="s">
        <v>259</v>
      </c>
      <c r="E1136" s="8">
        <v>5.05</v>
      </c>
      <c r="F1136" s="1">
        <v>9269.44</v>
      </c>
      <c r="H1136">
        <v>1.21</v>
      </c>
      <c r="J1136" s="2">
        <f>+DATAIN_COMPRAS__2[[#This Row],[$/ UN NETO]]*DATAIN_COMPRAS__2[[#This Row],[IVA]]</f>
        <v>11216.0224</v>
      </c>
      <c r="K1136" s="7">
        <f t="shared" si="22"/>
        <v>56640.913119999997</v>
      </c>
      <c r="L1136" t="s">
        <v>237</v>
      </c>
    </row>
    <row r="1137" spans="1:12" x14ac:dyDescent="0.35">
      <c r="A1137" s="13">
        <v>45876</v>
      </c>
      <c r="B1137" t="s">
        <v>256</v>
      </c>
      <c r="C1137" t="s">
        <v>776</v>
      </c>
      <c r="E1137" s="8">
        <v>25</v>
      </c>
      <c r="F1137" s="1">
        <f>263021.98/25</f>
        <v>10520.879199999999</v>
      </c>
      <c r="H1137">
        <v>1.21</v>
      </c>
      <c r="I1137">
        <v>-2.4193558361097999E-2</v>
      </c>
      <c r="J1137" s="2">
        <f>+DATAIN_COMPRAS__2[[#This Row],[$/ UN NETO]]*DATAIN_COMPRAS__2[[#This Row],[IVA]]</f>
        <v>12730.263831999999</v>
      </c>
      <c r="K1137" s="7">
        <f t="shared" si="22"/>
        <v>325956.35532429162</v>
      </c>
      <c r="L1137" t="s">
        <v>158</v>
      </c>
    </row>
    <row r="1138" spans="1:12" x14ac:dyDescent="0.35">
      <c r="A1138" s="13">
        <v>45877</v>
      </c>
      <c r="B1138" t="s">
        <v>185</v>
      </c>
      <c r="C1138" t="s">
        <v>189</v>
      </c>
      <c r="E1138" s="8">
        <v>25</v>
      </c>
      <c r="F1138" s="1">
        <f>23681/DATAIN_COMPRAS__2[[#This Row],[CANT]]</f>
        <v>947.24</v>
      </c>
      <c r="H1138">
        <v>1</v>
      </c>
      <c r="J1138" s="2">
        <f>+DATAIN_COMPRAS__2[[#This Row],[$/ UN NETO]]*DATAIN_COMPRAS__2[[#This Row],[IVA]]</f>
        <v>947.24</v>
      </c>
      <c r="K1138" s="7">
        <f t="shared" si="22"/>
        <v>23681</v>
      </c>
      <c r="L1138" t="s">
        <v>158</v>
      </c>
    </row>
    <row r="1139" spans="1:12" x14ac:dyDescent="0.35">
      <c r="A1139" s="13">
        <v>45877</v>
      </c>
      <c r="B1139" t="s">
        <v>185</v>
      </c>
      <c r="C1139" t="s">
        <v>187</v>
      </c>
      <c r="E1139" s="8">
        <v>150</v>
      </c>
      <c r="F1139" s="1">
        <f>146916/DATAIN_COMPRAS__2[[#This Row],[CANT]]</f>
        <v>979.44</v>
      </c>
      <c r="H1139">
        <v>1</v>
      </c>
      <c r="J1139" s="2">
        <f>+DATAIN_COMPRAS__2[[#This Row],[$/ UN NETO]]*DATAIN_COMPRAS__2[[#This Row],[IVA]]</f>
        <v>979.44</v>
      </c>
      <c r="K1139" s="7">
        <f t="shared" si="22"/>
        <v>146916</v>
      </c>
      <c r="L1139" t="s">
        <v>158</v>
      </c>
    </row>
    <row r="1140" spans="1:12" x14ac:dyDescent="0.35">
      <c r="A1140" s="13">
        <v>45877</v>
      </c>
      <c r="B1140" t="s">
        <v>185</v>
      </c>
      <c r="C1140" t="s">
        <v>186</v>
      </c>
      <c r="E1140" s="8">
        <v>50</v>
      </c>
      <c r="F1140" s="1">
        <f>51782/DATAIN_COMPRAS__2[[#This Row],[CANT]]</f>
        <v>1035.6400000000001</v>
      </c>
      <c r="H1140">
        <v>1</v>
      </c>
      <c r="J1140" s="2">
        <f>+DATAIN_COMPRAS__2[[#This Row],[$/ UN NETO]]*DATAIN_COMPRAS__2[[#This Row],[IVA]]</f>
        <v>1035.6400000000001</v>
      </c>
      <c r="K1140" s="7">
        <f t="shared" si="22"/>
        <v>51782.000000000007</v>
      </c>
      <c r="L1140" t="s">
        <v>158</v>
      </c>
    </row>
    <row r="1141" spans="1:12" x14ac:dyDescent="0.35">
      <c r="A1141" s="13">
        <v>45877</v>
      </c>
      <c r="B1141" t="s">
        <v>256</v>
      </c>
      <c r="C1141" t="s">
        <v>254</v>
      </c>
      <c r="E1141" s="8">
        <v>6.1</v>
      </c>
      <c r="F1141" s="1">
        <v>8625.0350999999991</v>
      </c>
      <c r="H1141">
        <v>1.21</v>
      </c>
      <c r="I1141">
        <v>-2.4193558361097999E-2</v>
      </c>
      <c r="J1141" s="2">
        <f>+DATAIN_COMPRAS__2[[#This Row],[$/ UN NETO]]*DATAIN_COMPRAS__2[[#This Row],[IVA]]</f>
        <v>10436.292470999999</v>
      </c>
      <c r="K1141" s="7">
        <f t="shared" si="22"/>
        <v>65201.579484020804</v>
      </c>
      <c r="L1141" t="s">
        <v>158</v>
      </c>
    </row>
    <row r="1142" spans="1:12" x14ac:dyDescent="0.35">
      <c r="A1142" s="13">
        <v>45878</v>
      </c>
      <c r="B1142" t="s">
        <v>174</v>
      </c>
      <c r="C1142" t="s">
        <v>111</v>
      </c>
      <c r="E1142" s="8">
        <v>1</v>
      </c>
      <c r="F1142" s="1">
        <v>2500</v>
      </c>
      <c r="H1142">
        <v>1</v>
      </c>
      <c r="J1142" s="2">
        <f>+DATAIN_COMPRAS__2[[#This Row],[$/ UN NETO]]*DATAIN_COMPRAS__2[[#This Row],[IVA]]</f>
        <v>2500</v>
      </c>
      <c r="K1142" s="7">
        <f t="shared" si="22"/>
        <v>2500</v>
      </c>
      <c r="L1142" t="s">
        <v>255</v>
      </c>
    </row>
    <row r="1143" spans="1:12" x14ac:dyDescent="0.35">
      <c r="A1143" s="13">
        <v>45878</v>
      </c>
      <c r="B1143" t="s">
        <v>174</v>
      </c>
      <c r="C1143" t="s">
        <v>180</v>
      </c>
      <c r="E1143" s="8">
        <v>10</v>
      </c>
      <c r="F1143" s="1">
        <f>43855/10</f>
        <v>4385.5</v>
      </c>
      <c r="H1143">
        <v>1</v>
      </c>
      <c r="J1143" s="2">
        <f>+DATAIN_COMPRAS__2[[#This Row],[$/ UN NETO]]*DATAIN_COMPRAS__2[[#This Row],[IVA]]</f>
        <v>4385.5</v>
      </c>
      <c r="K1143" s="7">
        <f t="shared" si="22"/>
        <v>43855</v>
      </c>
      <c r="L1143" t="s">
        <v>255</v>
      </c>
    </row>
    <row r="1144" spans="1:12" x14ac:dyDescent="0.35">
      <c r="A1144" s="13">
        <v>45878</v>
      </c>
      <c r="B1144" t="s">
        <v>174</v>
      </c>
      <c r="C1144" t="s">
        <v>112</v>
      </c>
      <c r="E1144" s="8">
        <v>1</v>
      </c>
      <c r="F1144" s="1">
        <v>11000</v>
      </c>
      <c r="H1144">
        <v>1</v>
      </c>
      <c r="J1144" s="2">
        <f>+DATAIN_COMPRAS__2[[#This Row],[$/ UN NETO]]*DATAIN_COMPRAS__2[[#This Row],[IVA]]</f>
        <v>11000</v>
      </c>
      <c r="K1144" s="7">
        <f t="shared" si="22"/>
        <v>11000</v>
      </c>
      <c r="L1144" t="s">
        <v>255</v>
      </c>
    </row>
    <row r="1145" spans="1:12" x14ac:dyDescent="0.35">
      <c r="A1145" s="13">
        <v>45878</v>
      </c>
      <c r="B1145" t="s">
        <v>134</v>
      </c>
      <c r="C1145" t="s">
        <v>136</v>
      </c>
      <c r="E1145" s="8">
        <v>8</v>
      </c>
      <c r="F1145" s="16">
        <f>22479.34/8</f>
        <v>2809.9175</v>
      </c>
      <c r="H1145">
        <v>1.21</v>
      </c>
      <c r="J1145" s="2">
        <f>+DATAIN_COMPRAS__2[[#This Row],[$/ UN NETO]]*DATAIN_COMPRAS__2[[#This Row],[IVA]]</f>
        <v>3400.0001750000001</v>
      </c>
      <c r="K1145" s="7">
        <f t="shared" si="22"/>
        <v>27200.001400000001</v>
      </c>
      <c r="L1145" t="s">
        <v>237</v>
      </c>
    </row>
    <row r="1146" spans="1:12" x14ac:dyDescent="0.35">
      <c r="A1146" s="13">
        <v>45878</v>
      </c>
      <c r="B1146" t="s">
        <v>134</v>
      </c>
      <c r="C1146" t="s">
        <v>136</v>
      </c>
      <c r="E1146" s="8">
        <v>8</v>
      </c>
      <c r="F1146" s="16">
        <f>22479.34/8</f>
        <v>2809.9175</v>
      </c>
      <c r="H1146">
        <v>1.21</v>
      </c>
      <c r="J1146" s="2">
        <f>+DATAIN_COMPRAS__2[[#This Row],[$/ UN NETO]]*DATAIN_COMPRAS__2[[#This Row],[IVA]]</f>
        <v>3400.0001750000001</v>
      </c>
      <c r="K1146" s="7">
        <f t="shared" si="22"/>
        <v>27200.001400000001</v>
      </c>
      <c r="L1146" t="s">
        <v>237</v>
      </c>
    </row>
    <row r="1147" spans="1:12" x14ac:dyDescent="0.35">
      <c r="A1147" s="13">
        <v>45878</v>
      </c>
      <c r="B1147" t="s">
        <v>134</v>
      </c>
      <c r="C1147" t="s">
        <v>136</v>
      </c>
      <c r="E1147" s="8">
        <v>8</v>
      </c>
      <c r="F1147" s="16">
        <f>22479.34/8</f>
        <v>2809.9175</v>
      </c>
      <c r="H1147">
        <v>1.21</v>
      </c>
      <c r="J1147" s="2">
        <f>+DATAIN_COMPRAS__2[[#This Row],[$/ UN NETO]]*DATAIN_COMPRAS__2[[#This Row],[IVA]]</f>
        <v>3400.0001750000001</v>
      </c>
      <c r="K1147" s="7">
        <f t="shared" si="22"/>
        <v>27200.001400000001</v>
      </c>
      <c r="L1147" t="s">
        <v>158</v>
      </c>
    </row>
    <row r="1148" spans="1:12" x14ac:dyDescent="0.35">
      <c r="A1148" s="13">
        <v>45880</v>
      </c>
      <c r="B1148" t="s">
        <v>124</v>
      </c>
      <c r="C1148" t="s">
        <v>125</v>
      </c>
      <c r="E1148" s="8">
        <v>9</v>
      </c>
      <c r="F1148" s="16">
        <v>41000</v>
      </c>
      <c r="H1148">
        <v>1</v>
      </c>
      <c r="J1148" s="2">
        <f>+DATAIN_COMPRAS__2[[#This Row],[$/ UN NETO]]*DATAIN_COMPRAS__2[[#This Row],[IVA]]</f>
        <v>41000</v>
      </c>
      <c r="K1148" s="7">
        <f t="shared" si="22"/>
        <v>369000</v>
      </c>
      <c r="L1148" t="s">
        <v>158</v>
      </c>
    </row>
    <row r="1149" spans="1:12" x14ac:dyDescent="0.35">
      <c r="A1149" s="13">
        <v>45880</v>
      </c>
      <c r="B1149" t="s">
        <v>124</v>
      </c>
      <c r="C1149" t="s">
        <v>126</v>
      </c>
      <c r="E1149" s="8">
        <v>0.75</v>
      </c>
      <c r="F1149" s="16">
        <f>19000*4</f>
        <v>76000</v>
      </c>
      <c r="H1149">
        <v>1</v>
      </c>
      <c r="J1149" s="2">
        <f>+DATAIN_COMPRAS__2[[#This Row],[$/ UN NETO]]*DATAIN_COMPRAS__2[[#This Row],[IVA]]</f>
        <v>76000</v>
      </c>
      <c r="K1149" s="7">
        <f t="shared" si="22"/>
        <v>57000</v>
      </c>
      <c r="L1149" t="s">
        <v>158</v>
      </c>
    </row>
    <row r="1150" spans="1:12" x14ac:dyDescent="0.35">
      <c r="A1150" s="13">
        <v>45880</v>
      </c>
      <c r="B1150" t="s">
        <v>48</v>
      </c>
      <c r="C1150" t="s">
        <v>69</v>
      </c>
      <c r="E1150" s="8">
        <v>2</v>
      </c>
      <c r="F1150" s="1">
        <v>6795.0105999999996</v>
      </c>
      <c r="H1150">
        <v>1.21</v>
      </c>
      <c r="I1150">
        <v>0.06</v>
      </c>
      <c r="J1150" s="2">
        <f>+DATAIN_COMPRAS__2[[#This Row],[$/ UN NETO]]*DATAIN_COMPRAS__2[[#This Row],[IVA]]</f>
        <v>8221.962825999999</v>
      </c>
      <c r="K1150" s="7">
        <f t="shared" si="22"/>
        <v>15457.290112879997</v>
      </c>
      <c r="L1150" t="s">
        <v>237</v>
      </c>
    </row>
    <row r="1151" spans="1:12" x14ac:dyDescent="0.35">
      <c r="A1151" s="13">
        <v>45880</v>
      </c>
      <c r="B1151" t="s">
        <v>48</v>
      </c>
      <c r="C1151" t="s">
        <v>56</v>
      </c>
      <c r="E1151" s="8">
        <v>4.5</v>
      </c>
      <c r="F1151" s="1">
        <v>5456.9036999999998</v>
      </c>
      <c r="H1151">
        <v>1.21</v>
      </c>
      <c r="I1151">
        <v>0.06</v>
      </c>
      <c r="J1151" s="2">
        <f>+DATAIN_COMPRAS__2[[#This Row],[$/ UN NETO]]*DATAIN_COMPRAS__2[[#This Row],[IVA]]</f>
        <v>6602.8534769999997</v>
      </c>
      <c r="K1151" s="7">
        <f t="shared" si="22"/>
        <v>27930.07020771</v>
      </c>
      <c r="L1151" t="s">
        <v>237</v>
      </c>
    </row>
    <row r="1152" spans="1:12" x14ac:dyDescent="0.35">
      <c r="A1152" s="13">
        <v>45880</v>
      </c>
      <c r="B1152" t="s">
        <v>48</v>
      </c>
      <c r="C1152" t="s">
        <v>786</v>
      </c>
      <c r="E1152" s="8">
        <v>2</v>
      </c>
      <c r="F1152" s="1">
        <v>19208.004400000002</v>
      </c>
      <c r="H1152">
        <v>1.21</v>
      </c>
      <c r="I1152">
        <v>0.06</v>
      </c>
      <c r="J1152" s="2">
        <f>+DATAIN_COMPRAS__2[[#This Row],[$/ UN NETO]]*DATAIN_COMPRAS__2[[#This Row],[IVA]]</f>
        <v>23241.685324000002</v>
      </c>
      <c r="K1152" s="7">
        <f t="shared" si="22"/>
        <v>43694.368409119998</v>
      </c>
      <c r="L1152" t="s">
        <v>237</v>
      </c>
    </row>
    <row r="1153" spans="1:12" x14ac:dyDescent="0.35">
      <c r="A1153" s="13">
        <v>45880</v>
      </c>
      <c r="B1153" t="s">
        <v>48</v>
      </c>
      <c r="C1153" t="s">
        <v>59</v>
      </c>
      <c r="E1153" s="8">
        <v>1</v>
      </c>
      <c r="F1153" s="1">
        <v>2333.9490000000001</v>
      </c>
      <c r="H1153">
        <v>1.21</v>
      </c>
      <c r="I1153">
        <v>0.06</v>
      </c>
      <c r="J1153" s="2">
        <f>+DATAIN_COMPRAS__2[[#This Row],[$/ UN NETO]]*DATAIN_COMPRAS__2[[#This Row],[IVA]]</f>
        <v>2824.0782899999999</v>
      </c>
      <c r="K1153" s="7">
        <f t="shared" si="22"/>
        <v>2654.6335926000002</v>
      </c>
      <c r="L1153" t="s">
        <v>237</v>
      </c>
    </row>
    <row r="1154" spans="1:12" x14ac:dyDescent="0.35">
      <c r="A1154" s="13">
        <v>45880</v>
      </c>
      <c r="B1154" t="s">
        <v>110</v>
      </c>
      <c r="C1154" t="s">
        <v>111</v>
      </c>
      <c r="E1154" s="8">
        <v>3</v>
      </c>
      <c r="F1154" s="1">
        <v>1443.18</v>
      </c>
      <c r="H1154">
        <v>1.21</v>
      </c>
      <c r="J1154" s="2">
        <f>+DATAIN_COMPRAS__2[[#This Row],[$/ UN NETO]]*DATAIN_COMPRAS__2[[#This Row],[IVA]]</f>
        <v>1746.2478000000001</v>
      </c>
      <c r="K1154" s="7">
        <f t="shared" si="22"/>
        <v>5238.7433999999994</v>
      </c>
      <c r="L1154" t="s">
        <v>158</v>
      </c>
    </row>
    <row r="1155" spans="1:12" x14ac:dyDescent="0.35">
      <c r="A1155" s="13">
        <v>45880</v>
      </c>
      <c r="B1155" t="s">
        <v>110</v>
      </c>
      <c r="C1155" t="s">
        <v>164</v>
      </c>
      <c r="E1155" s="8">
        <v>1</v>
      </c>
      <c r="F1155" s="1">
        <v>9855</v>
      </c>
      <c r="H1155">
        <v>1.21</v>
      </c>
      <c r="J1155" s="2">
        <f>+DATAIN_COMPRAS__2[[#This Row],[$/ UN NETO]]*DATAIN_COMPRAS__2[[#This Row],[IVA]]</f>
        <v>11924.55</v>
      </c>
      <c r="K1155" s="7">
        <f t="shared" si="22"/>
        <v>11924.55</v>
      </c>
      <c r="L1155" t="s">
        <v>158</v>
      </c>
    </row>
    <row r="1156" spans="1:12" x14ac:dyDescent="0.35">
      <c r="A1156" s="13">
        <v>45880</v>
      </c>
      <c r="B1156" t="s">
        <v>71</v>
      </c>
      <c r="C1156" t="s">
        <v>224</v>
      </c>
      <c r="E1156" s="8">
        <v>2</v>
      </c>
      <c r="F1156" s="1">
        <v>3818.84</v>
      </c>
      <c r="H1156">
        <v>1.21</v>
      </c>
      <c r="J1156" s="2">
        <f>+DATAIN_COMPRAS__2[[#This Row],[$/ UN NETO]]*DATAIN_COMPRAS__2[[#This Row],[IVA]]</f>
        <v>4620.7964000000002</v>
      </c>
      <c r="K1156" s="7">
        <f t="shared" si="22"/>
        <v>9241.5928000000004</v>
      </c>
      <c r="L1156" t="s">
        <v>237</v>
      </c>
    </row>
    <row r="1157" spans="1:12" x14ac:dyDescent="0.35">
      <c r="A1157" s="13">
        <v>45880</v>
      </c>
      <c r="B1157" t="s">
        <v>71</v>
      </c>
      <c r="C1157" t="s">
        <v>73</v>
      </c>
      <c r="E1157" s="8">
        <v>3.48</v>
      </c>
      <c r="F1157" s="1">
        <v>12718.18</v>
      </c>
      <c r="H1157">
        <v>1.21</v>
      </c>
      <c r="J1157" s="2">
        <f>+DATAIN_COMPRAS__2[[#This Row],[$/ UN NETO]]*DATAIN_COMPRAS__2[[#This Row],[IVA]]</f>
        <v>15388.997799999999</v>
      </c>
      <c r="K1157" s="7">
        <f t="shared" si="22"/>
        <v>53553.712344</v>
      </c>
      <c r="L1157" t="s">
        <v>237</v>
      </c>
    </row>
    <row r="1158" spans="1:12" x14ac:dyDescent="0.35">
      <c r="A1158" s="13">
        <v>45880</v>
      </c>
      <c r="B1158" t="s">
        <v>71</v>
      </c>
      <c r="C1158" t="s">
        <v>74</v>
      </c>
      <c r="E1158" s="8">
        <v>2</v>
      </c>
      <c r="F1158" s="1">
        <v>6707.44</v>
      </c>
      <c r="H1158">
        <v>1.21</v>
      </c>
      <c r="J1158" s="2">
        <f>+DATAIN_COMPRAS__2[[#This Row],[$/ UN NETO]]*DATAIN_COMPRAS__2[[#This Row],[IVA]]</f>
        <v>8116.0023999999994</v>
      </c>
      <c r="K1158" s="7">
        <f t="shared" si="22"/>
        <v>16232.004799999999</v>
      </c>
      <c r="L1158" t="s">
        <v>237</v>
      </c>
    </row>
    <row r="1159" spans="1:12" x14ac:dyDescent="0.35">
      <c r="A1159" s="13">
        <v>45880</v>
      </c>
      <c r="B1159" t="s">
        <v>12</v>
      </c>
      <c r="C1159" t="s">
        <v>26</v>
      </c>
      <c r="E1159" s="8">
        <v>4</v>
      </c>
      <c r="F1159" s="1">
        <f>1700/DATAIN_COMPRAS__2[[#This Row],[IVA]]</f>
        <v>1538.4615384615386</v>
      </c>
      <c r="H1159">
        <v>1.105</v>
      </c>
      <c r="J1159" s="2">
        <f>+DATAIN_COMPRAS__2[[#This Row],[$/ UN NETO]]*DATAIN_COMPRAS__2[[#This Row],[IVA]]</f>
        <v>1700</v>
      </c>
      <c r="K1159" s="7">
        <f t="shared" si="22"/>
        <v>6800</v>
      </c>
      <c r="L1159" t="s">
        <v>237</v>
      </c>
    </row>
    <row r="1160" spans="1:12" x14ac:dyDescent="0.35">
      <c r="A1160" s="13">
        <v>45880</v>
      </c>
      <c r="B1160" t="s">
        <v>12</v>
      </c>
      <c r="C1160" t="s">
        <v>40</v>
      </c>
      <c r="E1160" s="8">
        <v>1.34</v>
      </c>
      <c r="F1160" s="1">
        <f>900/DATAIN_COMPRAS__2[[#This Row],[IVA]]</f>
        <v>814.47963800904984</v>
      </c>
      <c r="H1160">
        <v>1.105</v>
      </c>
      <c r="J1160" s="2">
        <f>+DATAIN_COMPRAS__2[[#This Row],[$/ UN NETO]]*DATAIN_COMPRAS__2[[#This Row],[IVA]]</f>
        <v>900</v>
      </c>
      <c r="K1160" s="7">
        <f t="shared" si="22"/>
        <v>1206.0000000000002</v>
      </c>
      <c r="L1160" t="s">
        <v>237</v>
      </c>
    </row>
    <row r="1161" spans="1:12" x14ac:dyDescent="0.35">
      <c r="A1161" s="13">
        <v>45880</v>
      </c>
      <c r="B1161" t="s">
        <v>12</v>
      </c>
      <c r="C1161" t="s">
        <v>41</v>
      </c>
      <c r="E1161" s="8">
        <v>1</v>
      </c>
      <c r="F1161" s="1">
        <f>1400/DATAIN_COMPRAS__2[[#This Row],[IVA]]</f>
        <v>1266.9683257918552</v>
      </c>
      <c r="H1161">
        <v>1.105</v>
      </c>
      <c r="J1161" s="2">
        <f>+DATAIN_COMPRAS__2[[#This Row],[$/ UN NETO]]*DATAIN_COMPRAS__2[[#This Row],[IVA]]</f>
        <v>1400</v>
      </c>
      <c r="K1161" s="7">
        <f t="shared" si="22"/>
        <v>1400</v>
      </c>
      <c r="L1161" t="s">
        <v>237</v>
      </c>
    </row>
    <row r="1162" spans="1:12" x14ac:dyDescent="0.35">
      <c r="A1162" s="13">
        <v>45880</v>
      </c>
      <c r="B1162" t="s">
        <v>12</v>
      </c>
      <c r="C1162" t="s">
        <v>25</v>
      </c>
      <c r="E1162" s="8">
        <v>1</v>
      </c>
      <c r="F1162" s="1">
        <f>6800/DATAIN_COMPRAS__2[[#This Row],[IVA]]</f>
        <v>6153.8461538461543</v>
      </c>
      <c r="H1162">
        <v>1.105</v>
      </c>
      <c r="J1162" s="2">
        <f>+DATAIN_COMPRAS__2[[#This Row],[$/ UN NETO]]*DATAIN_COMPRAS__2[[#This Row],[IVA]]</f>
        <v>6800</v>
      </c>
      <c r="K1162" s="7">
        <f t="shared" si="22"/>
        <v>6800</v>
      </c>
      <c r="L1162" t="s">
        <v>237</v>
      </c>
    </row>
    <row r="1163" spans="1:12" x14ac:dyDescent="0.35">
      <c r="A1163" s="13">
        <v>45880</v>
      </c>
      <c r="B1163" t="s">
        <v>12</v>
      </c>
      <c r="C1163" t="s">
        <v>28</v>
      </c>
      <c r="E1163" s="8">
        <v>1</v>
      </c>
      <c r="F1163" s="1">
        <f>3000/DATAIN_COMPRAS__2[[#This Row],[IVA]]</f>
        <v>2714.9321266968327</v>
      </c>
      <c r="H1163">
        <v>1.105</v>
      </c>
      <c r="J1163" s="2">
        <f>+DATAIN_COMPRAS__2[[#This Row],[$/ UN NETO]]*DATAIN_COMPRAS__2[[#This Row],[IVA]]</f>
        <v>3000</v>
      </c>
      <c r="K1163" s="7">
        <f t="shared" si="22"/>
        <v>3000</v>
      </c>
      <c r="L1163" t="s">
        <v>237</v>
      </c>
    </row>
    <row r="1164" spans="1:12" x14ac:dyDescent="0.35">
      <c r="A1164" s="13">
        <v>45880</v>
      </c>
      <c r="B1164" t="s">
        <v>12</v>
      </c>
      <c r="C1164" t="s">
        <v>20</v>
      </c>
      <c r="E1164" s="8">
        <v>1</v>
      </c>
      <c r="F1164" s="1">
        <f>2000/DATAIN_COMPRAS__2[[#This Row],[IVA]]</f>
        <v>1809.9547511312217</v>
      </c>
      <c r="H1164">
        <v>1.105</v>
      </c>
      <c r="J1164" s="2">
        <f>+DATAIN_COMPRAS__2[[#This Row],[$/ UN NETO]]*DATAIN_COMPRAS__2[[#This Row],[IVA]]</f>
        <v>2000</v>
      </c>
      <c r="K1164" s="7">
        <f t="shared" si="22"/>
        <v>2000</v>
      </c>
      <c r="L1164" t="s">
        <v>237</v>
      </c>
    </row>
    <row r="1165" spans="1:12" x14ac:dyDescent="0.35">
      <c r="A1165" s="13">
        <v>45880</v>
      </c>
      <c r="B1165" t="s">
        <v>12</v>
      </c>
      <c r="C1165" t="s">
        <v>22</v>
      </c>
      <c r="E1165" s="8">
        <v>1</v>
      </c>
      <c r="F1165" s="1">
        <f>1800/DATAIN_COMPRAS__2[[#This Row],[IVA]]</f>
        <v>1628.9592760180997</v>
      </c>
      <c r="H1165">
        <v>1.105</v>
      </c>
      <c r="J1165" s="2">
        <f>+DATAIN_COMPRAS__2[[#This Row],[$/ UN NETO]]*DATAIN_COMPRAS__2[[#This Row],[IVA]]</f>
        <v>1800</v>
      </c>
      <c r="K1165" s="7">
        <f t="shared" si="22"/>
        <v>1800</v>
      </c>
      <c r="L1165" t="s">
        <v>237</v>
      </c>
    </row>
    <row r="1166" spans="1:12" x14ac:dyDescent="0.35">
      <c r="A1166" s="13">
        <v>45881</v>
      </c>
      <c r="B1166" t="s">
        <v>80</v>
      </c>
      <c r="C1166" t="s">
        <v>96</v>
      </c>
      <c r="E1166" s="8">
        <v>30</v>
      </c>
      <c r="F1166" s="1">
        <v>90.91</v>
      </c>
      <c r="H1166">
        <v>1.21</v>
      </c>
      <c r="J1166" s="2">
        <f>+DATAIN_COMPRAS__2[[#This Row],[$/ UN NETO]]*DATAIN_COMPRAS__2[[#This Row],[IVA]]</f>
        <v>110.00109999999999</v>
      </c>
      <c r="K1166" s="7">
        <f t="shared" si="22"/>
        <v>3300.0329999999994</v>
      </c>
      <c r="L1166" t="s">
        <v>237</v>
      </c>
    </row>
    <row r="1167" spans="1:12" x14ac:dyDescent="0.35">
      <c r="A1167" s="13">
        <v>45881</v>
      </c>
      <c r="B1167" t="s">
        <v>80</v>
      </c>
      <c r="C1167" t="s">
        <v>86</v>
      </c>
      <c r="E1167" s="8">
        <v>30</v>
      </c>
      <c r="F1167" s="1">
        <v>164.1</v>
      </c>
      <c r="H1167">
        <v>1.21</v>
      </c>
      <c r="J1167" s="2">
        <f>+DATAIN_COMPRAS__2[[#This Row],[$/ UN NETO]]*DATAIN_COMPRAS__2[[#This Row],[IVA]]</f>
        <v>198.56099999999998</v>
      </c>
      <c r="K1167" s="7">
        <f t="shared" si="22"/>
        <v>5956.83</v>
      </c>
      <c r="L1167" t="s">
        <v>237</v>
      </c>
    </row>
    <row r="1168" spans="1:12" x14ac:dyDescent="0.35">
      <c r="A1168" s="13">
        <v>45881</v>
      </c>
      <c r="B1168" t="s">
        <v>80</v>
      </c>
      <c r="C1168" t="s">
        <v>97</v>
      </c>
      <c r="E1168" s="8">
        <v>20</v>
      </c>
      <c r="F1168" s="1">
        <v>283.37</v>
      </c>
      <c r="H1168">
        <v>1.21</v>
      </c>
      <c r="J1168" s="2">
        <f>+DATAIN_COMPRAS__2[[#This Row],[$/ UN NETO]]*DATAIN_COMPRAS__2[[#This Row],[IVA]]</f>
        <v>342.8777</v>
      </c>
      <c r="K1168" s="7">
        <f t="shared" si="22"/>
        <v>6857.5539999999992</v>
      </c>
      <c r="L1168" t="s">
        <v>237</v>
      </c>
    </row>
    <row r="1169" spans="1:12" x14ac:dyDescent="0.35">
      <c r="A1169" s="13">
        <v>45881</v>
      </c>
      <c r="B1169" t="s">
        <v>80</v>
      </c>
      <c r="C1169" t="s">
        <v>788</v>
      </c>
      <c r="E1169" s="8">
        <v>15</v>
      </c>
      <c r="F1169" s="1">
        <v>758.38</v>
      </c>
      <c r="H1169">
        <v>1.21</v>
      </c>
      <c r="J1169" s="2">
        <f>+DATAIN_COMPRAS__2[[#This Row],[$/ UN NETO]]*DATAIN_COMPRAS__2[[#This Row],[IVA]]</f>
        <v>917.63979999999992</v>
      </c>
      <c r="K1169" s="7">
        <f t="shared" si="22"/>
        <v>13764.597</v>
      </c>
      <c r="L1169" t="s">
        <v>237</v>
      </c>
    </row>
    <row r="1170" spans="1:12" x14ac:dyDescent="0.35">
      <c r="A1170" s="13">
        <v>45881</v>
      </c>
      <c r="B1170" t="s">
        <v>80</v>
      </c>
      <c r="C1170" t="s">
        <v>89</v>
      </c>
      <c r="E1170" s="8">
        <v>0</v>
      </c>
      <c r="F1170" s="1">
        <v>0</v>
      </c>
      <c r="H1170">
        <v>1.21</v>
      </c>
      <c r="J1170" s="2">
        <f>+DATAIN_COMPRAS__2[[#This Row],[$/ UN NETO]]*DATAIN_COMPRAS__2[[#This Row],[IVA]]</f>
        <v>0</v>
      </c>
      <c r="K1170" s="7">
        <f t="shared" si="22"/>
        <v>0</v>
      </c>
      <c r="L1170" t="s">
        <v>237</v>
      </c>
    </row>
    <row r="1171" spans="1:12" x14ac:dyDescent="0.35">
      <c r="A1171" s="13">
        <v>45881</v>
      </c>
      <c r="B1171" t="s">
        <v>80</v>
      </c>
      <c r="C1171" t="s">
        <v>282</v>
      </c>
      <c r="E1171" s="8">
        <v>30</v>
      </c>
      <c r="F1171" s="1">
        <v>49.59</v>
      </c>
      <c r="H1171">
        <v>1.21</v>
      </c>
      <c r="J1171" s="2">
        <f>+DATAIN_COMPRAS__2[[#This Row],[$/ UN NETO]]*DATAIN_COMPRAS__2[[#This Row],[IVA]]</f>
        <v>60.003900000000002</v>
      </c>
      <c r="K1171" s="7">
        <f t="shared" si="22"/>
        <v>1800.117</v>
      </c>
      <c r="L1171" t="s">
        <v>237</v>
      </c>
    </row>
    <row r="1172" spans="1:12" x14ac:dyDescent="0.35">
      <c r="A1172" s="13">
        <v>45881</v>
      </c>
      <c r="B1172" t="s">
        <v>80</v>
      </c>
      <c r="C1172" t="s">
        <v>279</v>
      </c>
      <c r="E1172" s="8">
        <v>50</v>
      </c>
      <c r="F1172" s="1">
        <f>1487.6/50</f>
        <v>29.751999999999999</v>
      </c>
      <c r="H1172">
        <v>1.21</v>
      </c>
      <c r="J1172" s="2">
        <f>+DATAIN_COMPRAS__2[[#This Row],[$/ UN NETO]]*DATAIN_COMPRAS__2[[#This Row],[IVA]]</f>
        <v>35.999919999999996</v>
      </c>
      <c r="K1172" s="7">
        <f t="shared" si="22"/>
        <v>1799.9959999999999</v>
      </c>
      <c r="L1172" t="s">
        <v>237</v>
      </c>
    </row>
    <row r="1173" spans="1:12" x14ac:dyDescent="0.35">
      <c r="A1173" s="13">
        <v>45881</v>
      </c>
      <c r="B1173" t="s">
        <v>80</v>
      </c>
      <c r="C1173" t="s">
        <v>82</v>
      </c>
      <c r="E1173" s="8">
        <v>3</v>
      </c>
      <c r="F1173" s="1">
        <v>371.9</v>
      </c>
      <c r="H1173">
        <v>1.21</v>
      </c>
      <c r="J1173" s="2">
        <f>+DATAIN_COMPRAS__2[[#This Row],[$/ UN NETO]]*DATAIN_COMPRAS__2[[#This Row],[IVA]]</f>
        <v>449.99899999999997</v>
      </c>
      <c r="K1173" s="7">
        <f t="shared" si="22"/>
        <v>1349.9969999999998</v>
      </c>
      <c r="L1173" t="s">
        <v>237</v>
      </c>
    </row>
    <row r="1174" spans="1:12" x14ac:dyDescent="0.35">
      <c r="A1174" s="13">
        <v>45881</v>
      </c>
      <c r="B1174" t="s">
        <v>80</v>
      </c>
      <c r="C1174" t="s">
        <v>789</v>
      </c>
      <c r="E1174" s="8">
        <v>1</v>
      </c>
      <c r="F1174" s="1">
        <v>6776.86</v>
      </c>
      <c r="H1174">
        <v>1.21</v>
      </c>
      <c r="J1174" s="2">
        <f>+DATAIN_COMPRAS__2[[#This Row],[$/ UN NETO]]*DATAIN_COMPRAS__2[[#This Row],[IVA]]</f>
        <v>8200.0005999999994</v>
      </c>
      <c r="K1174" s="7">
        <f t="shared" si="22"/>
        <v>8200.0005999999994</v>
      </c>
      <c r="L1174" t="s">
        <v>237</v>
      </c>
    </row>
    <row r="1175" spans="1:12" x14ac:dyDescent="0.35">
      <c r="A1175" s="13">
        <v>45881</v>
      </c>
      <c r="B1175" t="s">
        <v>80</v>
      </c>
      <c r="C1175" t="s">
        <v>281</v>
      </c>
      <c r="E1175" s="8">
        <v>50</v>
      </c>
      <c r="F1175" s="1">
        <f>1487.6/50</f>
        <v>29.751999999999999</v>
      </c>
      <c r="H1175">
        <v>1.21</v>
      </c>
      <c r="J1175" s="2">
        <f>+DATAIN_COMPRAS__2[[#This Row],[$/ UN NETO]]*DATAIN_COMPRAS__2[[#This Row],[IVA]]</f>
        <v>35.999919999999996</v>
      </c>
      <c r="K1175" s="7">
        <f t="shared" si="22"/>
        <v>1799.9959999999999</v>
      </c>
      <c r="L1175" t="s">
        <v>237</v>
      </c>
    </row>
    <row r="1176" spans="1:12" x14ac:dyDescent="0.35">
      <c r="A1176" s="13">
        <v>45881</v>
      </c>
      <c r="B1176" t="s">
        <v>80</v>
      </c>
      <c r="C1176" t="s">
        <v>787</v>
      </c>
      <c r="E1176" s="8">
        <v>30</v>
      </c>
      <c r="F1176" s="1">
        <f>206.61+82.64</f>
        <v>289.25</v>
      </c>
      <c r="H1176">
        <v>1.21</v>
      </c>
      <c r="J1176" s="2">
        <f>+DATAIN_COMPRAS__2[[#This Row],[$/ UN NETO]]*DATAIN_COMPRAS__2[[#This Row],[IVA]]</f>
        <v>349.99250000000001</v>
      </c>
      <c r="K1176" s="7">
        <f t="shared" si="22"/>
        <v>10499.775</v>
      </c>
      <c r="L1176" t="s">
        <v>237</v>
      </c>
    </row>
    <row r="1177" spans="1:12" x14ac:dyDescent="0.35">
      <c r="A1177" s="13">
        <v>45881</v>
      </c>
      <c r="B1177" t="s">
        <v>104</v>
      </c>
      <c r="C1177" t="s">
        <v>105</v>
      </c>
      <c r="E1177" s="8">
        <v>2</v>
      </c>
      <c r="F1177" s="1">
        <v>10580</v>
      </c>
      <c r="H1177">
        <v>1</v>
      </c>
      <c r="J1177" s="2">
        <f>+DATAIN_COMPRAS__2[[#This Row],[$/ UN NETO]]*DATAIN_COMPRAS__2[[#This Row],[IVA]]</f>
        <v>10580</v>
      </c>
      <c r="K1177" s="7">
        <f t="shared" si="22"/>
        <v>21160</v>
      </c>
      <c r="L1177" t="s">
        <v>237</v>
      </c>
    </row>
    <row r="1178" spans="1:12" x14ac:dyDescent="0.35">
      <c r="A1178" s="13">
        <v>45881</v>
      </c>
      <c r="B1178" t="s">
        <v>104</v>
      </c>
      <c r="C1178" t="s">
        <v>105</v>
      </c>
      <c r="E1178" s="8">
        <v>2</v>
      </c>
      <c r="F1178" s="1">
        <v>10580</v>
      </c>
      <c r="H1178">
        <v>1</v>
      </c>
      <c r="J1178" s="2">
        <f>+DATAIN_COMPRAS__2[[#This Row],[$/ UN NETO]]*DATAIN_COMPRAS__2[[#This Row],[IVA]]</f>
        <v>10580</v>
      </c>
      <c r="K1178" s="7">
        <f t="shared" si="22"/>
        <v>21160</v>
      </c>
      <c r="L1178" t="s">
        <v>158</v>
      </c>
    </row>
    <row r="1179" spans="1:12" x14ac:dyDescent="0.35">
      <c r="A1179" s="13">
        <v>45881</v>
      </c>
      <c r="B1179" t="s">
        <v>75</v>
      </c>
      <c r="C1179" t="s">
        <v>78</v>
      </c>
      <c r="E1179" s="8">
        <v>12</v>
      </c>
      <c r="F1179" s="1">
        <v>1223.95</v>
      </c>
      <c r="H1179">
        <v>1.21</v>
      </c>
      <c r="J1179" s="2">
        <f>+DATAIN_COMPRAS__2[[#This Row],[$/ UN NETO]]*DATAIN_COMPRAS__2[[#This Row],[IVA]]</f>
        <v>1480.9794999999999</v>
      </c>
      <c r="K1179" s="7">
        <f t="shared" si="22"/>
        <v>17771.754000000001</v>
      </c>
      <c r="L1179" t="s">
        <v>237</v>
      </c>
    </row>
    <row r="1180" spans="1:12" x14ac:dyDescent="0.35">
      <c r="A1180" s="13">
        <v>45881</v>
      </c>
      <c r="B1180" t="s">
        <v>75</v>
      </c>
      <c r="C1180" t="s">
        <v>76</v>
      </c>
      <c r="E1180" s="8">
        <v>96</v>
      </c>
      <c r="F1180" s="1">
        <v>1123.45</v>
      </c>
      <c r="H1180">
        <v>1.21</v>
      </c>
      <c r="J1180" s="2">
        <f>+DATAIN_COMPRAS__2[[#This Row],[$/ UN NETO]]*DATAIN_COMPRAS__2[[#This Row],[IVA]]</f>
        <v>1359.3745000000001</v>
      </c>
      <c r="K1180" s="7">
        <f t="shared" si="22"/>
        <v>130499.952</v>
      </c>
      <c r="L1180" t="s">
        <v>237</v>
      </c>
    </row>
    <row r="1181" spans="1:12" x14ac:dyDescent="0.35">
      <c r="A1181" s="13">
        <v>45881</v>
      </c>
      <c r="B1181" t="s">
        <v>75</v>
      </c>
      <c r="C1181" t="s">
        <v>76</v>
      </c>
      <c r="E1181" s="8">
        <v>24</v>
      </c>
      <c r="F1181" s="1">
        <v>1123.45</v>
      </c>
      <c r="H1181">
        <v>1.21</v>
      </c>
      <c r="J1181" s="2">
        <f>+DATAIN_COMPRAS__2[[#This Row],[$/ UN NETO]]*DATAIN_COMPRAS__2[[#This Row],[IVA]]</f>
        <v>1359.3745000000001</v>
      </c>
      <c r="K1181" s="7">
        <f t="shared" si="22"/>
        <v>32624.988000000001</v>
      </c>
      <c r="L1181" t="s">
        <v>158</v>
      </c>
    </row>
    <row r="1182" spans="1:12" x14ac:dyDescent="0.35">
      <c r="A1182" s="13">
        <v>45882</v>
      </c>
      <c r="B1182" t="s">
        <v>256</v>
      </c>
      <c r="C1182" t="s">
        <v>258</v>
      </c>
      <c r="E1182" s="8">
        <v>5</v>
      </c>
      <c r="F1182" s="1">
        <v>9098.23</v>
      </c>
      <c r="H1182">
        <v>1.21</v>
      </c>
      <c r="I1182">
        <v>-2.4792999999999999E-2</v>
      </c>
      <c r="J1182" s="2">
        <f>+DATAIN_COMPRAS__2[[#This Row],[$/ UN NETO]]*DATAIN_COMPRAS__2[[#This Row],[IVA]]</f>
        <v>11008.8583</v>
      </c>
      <c r="K1182" s="7">
        <f t="shared" si="22"/>
        <v>56409.004619159488</v>
      </c>
      <c r="L1182" t="s">
        <v>237</v>
      </c>
    </row>
    <row r="1183" spans="1:12" x14ac:dyDescent="0.35">
      <c r="A1183" s="13">
        <v>45882</v>
      </c>
      <c r="B1183" t="s">
        <v>256</v>
      </c>
      <c r="C1183" t="s">
        <v>254</v>
      </c>
      <c r="E1183" s="8">
        <v>2.97</v>
      </c>
      <c r="F1183" s="1">
        <v>8625.0350999999991</v>
      </c>
      <c r="H1183">
        <v>1.21</v>
      </c>
      <c r="J1183" s="2">
        <f>+DATAIN_COMPRAS__2[[#This Row],[$/ UN NETO]]*DATAIN_COMPRAS__2[[#This Row],[IVA]]</f>
        <v>10436.292470999999</v>
      </c>
      <c r="K1183" s="7">
        <f t="shared" si="22"/>
        <v>30995.788638869999</v>
      </c>
      <c r="L1183" t="s">
        <v>158</v>
      </c>
    </row>
    <row r="1184" spans="1:12" x14ac:dyDescent="0.35">
      <c r="A1184" s="13">
        <v>45882</v>
      </c>
      <c r="B1184" t="s">
        <v>256</v>
      </c>
      <c r="C1184" t="s">
        <v>259</v>
      </c>
      <c r="E1184" s="8">
        <v>7</v>
      </c>
      <c r="F1184" s="1">
        <v>9269.44</v>
      </c>
      <c r="H1184">
        <v>1.21</v>
      </c>
      <c r="I1184">
        <v>-2.4792999999999999E-2</v>
      </c>
      <c r="J1184" s="2">
        <f>+DATAIN_COMPRAS__2[[#This Row],[$/ UN NETO]]*DATAIN_COMPRAS__2[[#This Row],[IVA]]</f>
        <v>11216.0224</v>
      </c>
      <c r="K1184" s="7">
        <f t="shared" si="22"/>
        <v>80458.708703542405</v>
      </c>
      <c r="L1184" t="s">
        <v>237</v>
      </c>
    </row>
    <row r="1185" spans="1:12" x14ac:dyDescent="0.35">
      <c r="A1185" s="13">
        <v>45882</v>
      </c>
      <c r="B1185" t="s">
        <v>134</v>
      </c>
      <c r="C1185" t="s">
        <v>135</v>
      </c>
      <c r="E1185" s="8">
        <v>60</v>
      </c>
      <c r="F1185" s="1">
        <f>7404.298/10</f>
        <v>740.4298</v>
      </c>
      <c r="H1185">
        <v>1.21</v>
      </c>
      <c r="J1185" s="2">
        <f>+DATAIN_COMPRAS__2[[#This Row],[$/ UN NETO]]*DATAIN_COMPRAS__2[[#This Row],[IVA]]</f>
        <v>895.92005799999993</v>
      </c>
      <c r="K1185" s="7">
        <f t="shared" si="22"/>
        <v>53755.203479999996</v>
      </c>
      <c r="L1185" t="s">
        <v>237</v>
      </c>
    </row>
    <row r="1186" spans="1:12" x14ac:dyDescent="0.35">
      <c r="A1186" s="13">
        <v>45884</v>
      </c>
      <c r="B1186" t="s">
        <v>174</v>
      </c>
      <c r="C1186" t="s">
        <v>176</v>
      </c>
      <c r="E1186" s="8">
        <v>6</v>
      </c>
      <c r="F1186" s="1">
        <v>8636.36</v>
      </c>
      <c r="H1186">
        <v>1.21</v>
      </c>
      <c r="J1186" s="2">
        <f>+DATAIN_COMPRAS__2[[#This Row],[$/ UN NETO]]*DATAIN_COMPRAS__2[[#This Row],[IVA]]</f>
        <v>10449.9956</v>
      </c>
      <c r="K1186" s="7">
        <f t="shared" si="22"/>
        <v>62699.973600000005</v>
      </c>
      <c r="L1186" t="s">
        <v>158</v>
      </c>
    </row>
    <row r="1187" spans="1:12" x14ac:dyDescent="0.35">
      <c r="A1187" s="13">
        <v>45884</v>
      </c>
      <c r="B1187" t="s">
        <v>174</v>
      </c>
      <c r="C1187" t="s">
        <v>175</v>
      </c>
      <c r="E1187" s="8">
        <v>6</v>
      </c>
      <c r="F1187" s="1">
        <v>8636.36</v>
      </c>
      <c r="H1187">
        <v>1.21</v>
      </c>
      <c r="J1187" s="2">
        <f>+DATAIN_COMPRAS__2[[#This Row],[$/ UN NETO]]*DATAIN_COMPRAS__2[[#This Row],[IVA]]</f>
        <v>10449.9956</v>
      </c>
      <c r="K1187" s="7">
        <f t="shared" ref="K1187:K1250" si="23">(E1187*F1187)*(1-I1187)*(H1187)</f>
        <v>62699.973600000005</v>
      </c>
      <c r="L1187" t="s">
        <v>158</v>
      </c>
    </row>
    <row r="1188" spans="1:12" x14ac:dyDescent="0.35">
      <c r="A1188" s="13">
        <v>45884</v>
      </c>
      <c r="B1188" t="s">
        <v>174</v>
      </c>
      <c r="C1188" t="s">
        <v>177</v>
      </c>
      <c r="E1188" s="8">
        <v>2</v>
      </c>
      <c r="F1188" s="1">
        <v>1287.5999999999999</v>
      </c>
      <c r="H1188">
        <v>1.21</v>
      </c>
      <c r="J1188" s="2">
        <f>+DATAIN_COMPRAS__2[[#This Row],[$/ UN NETO]]*DATAIN_COMPRAS__2[[#This Row],[IVA]]</f>
        <v>1557.9959999999999</v>
      </c>
      <c r="K1188" s="7">
        <f t="shared" si="23"/>
        <v>3115.9919999999997</v>
      </c>
      <c r="L1188" t="s">
        <v>158</v>
      </c>
    </row>
    <row r="1189" spans="1:12" x14ac:dyDescent="0.35">
      <c r="A1189" s="13">
        <v>45884</v>
      </c>
      <c r="B1189" t="s">
        <v>309</v>
      </c>
      <c r="C1189" t="s">
        <v>103</v>
      </c>
      <c r="E1189" s="8">
        <v>360</v>
      </c>
      <c r="F1189" s="1">
        <f>66000/360</f>
        <v>183.33333333333334</v>
      </c>
      <c r="H1189">
        <v>1</v>
      </c>
      <c r="J1189" s="2">
        <f>+DATAIN_COMPRAS__2[[#This Row],[$/ UN NETO]]*DATAIN_COMPRAS__2[[#This Row],[IVA]]</f>
        <v>183.33333333333334</v>
      </c>
      <c r="K1189" s="7">
        <f t="shared" si="23"/>
        <v>66000</v>
      </c>
      <c r="L1189" t="s">
        <v>237</v>
      </c>
    </row>
    <row r="1190" spans="1:12" x14ac:dyDescent="0.35">
      <c r="A1190" s="13">
        <v>45884</v>
      </c>
      <c r="B1190" t="s">
        <v>309</v>
      </c>
      <c r="C1190" t="s">
        <v>103</v>
      </c>
      <c r="E1190" s="8">
        <v>360</v>
      </c>
      <c r="F1190" s="1">
        <f>66000/360</f>
        <v>183.33333333333334</v>
      </c>
      <c r="H1190">
        <v>1</v>
      </c>
      <c r="J1190" s="2">
        <f>+DATAIN_COMPRAS__2[[#This Row],[$/ UN NETO]]*DATAIN_COMPRAS__2[[#This Row],[IVA]]</f>
        <v>183.33333333333334</v>
      </c>
      <c r="K1190" s="7">
        <f t="shared" si="23"/>
        <v>66000</v>
      </c>
      <c r="L1190" t="s">
        <v>158</v>
      </c>
    </row>
    <row r="1191" spans="1:12" x14ac:dyDescent="0.35">
      <c r="A1191" s="13">
        <v>45884</v>
      </c>
      <c r="B1191" t="s">
        <v>309</v>
      </c>
      <c r="C1191" t="s">
        <v>331</v>
      </c>
      <c r="E1191" s="8">
        <v>7</v>
      </c>
      <c r="F1191" s="1">
        <v>1000</v>
      </c>
      <c r="H1191">
        <v>1</v>
      </c>
      <c r="J1191" s="2">
        <f>+DATAIN_COMPRAS__2[[#This Row],[$/ UN NETO]]*DATAIN_COMPRAS__2[[#This Row],[IVA]]</f>
        <v>1000</v>
      </c>
      <c r="K1191" s="7">
        <f t="shared" si="23"/>
        <v>7000</v>
      </c>
      <c r="L1191" t="s">
        <v>237</v>
      </c>
    </row>
    <row r="1192" spans="1:12" x14ac:dyDescent="0.35">
      <c r="A1192" s="13">
        <v>45884</v>
      </c>
      <c r="B1192" t="s">
        <v>309</v>
      </c>
      <c r="C1192" t="s">
        <v>331</v>
      </c>
      <c r="E1192" s="8">
        <v>7</v>
      </c>
      <c r="F1192" s="1">
        <v>1000</v>
      </c>
      <c r="H1192">
        <v>1</v>
      </c>
      <c r="J1192" s="2">
        <f>+DATAIN_COMPRAS__2[[#This Row],[$/ UN NETO]]*DATAIN_COMPRAS__2[[#This Row],[IVA]]</f>
        <v>1000</v>
      </c>
      <c r="K1192" s="7">
        <f t="shared" si="23"/>
        <v>7000</v>
      </c>
      <c r="L1192" t="s">
        <v>158</v>
      </c>
    </row>
    <row r="1193" spans="1:12" x14ac:dyDescent="0.35">
      <c r="A1193" s="13">
        <v>45884</v>
      </c>
      <c r="B1193" t="s">
        <v>309</v>
      </c>
      <c r="C1193" t="s">
        <v>15</v>
      </c>
      <c r="E1193" s="8">
        <v>9</v>
      </c>
      <c r="F1193" s="1">
        <f>34000/18</f>
        <v>1888.8888888888889</v>
      </c>
      <c r="H1193">
        <v>1</v>
      </c>
      <c r="J1193" s="2">
        <f>+DATAIN_COMPRAS__2[[#This Row],[$/ UN NETO]]*DATAIN_COMPRAS__2[[#This Row],[IVA]]</f>
        <v>1888.8888888888889</v>
      </c>
      <c r="K1193" s="7">
        <f t="shared" si="23"/>
        <v>17000</v>
      </c>
      <c r="L1193" t="s">
        <v>237</v>
      </c>
    </row>
    <row r="1194" spans="1:12" x14ac:dyDescent="0.35">
      <c r="A1194" s="13">
        <v>45884</v>
      </c>
      <c r="B1194" t="s">
        <v>309</v>
      </c>
      <c r="C1194" t="s">
        <v>15</v>
      </c>
      <c r="E1194" s="8">
        <v>9</v>
      </c>
      <c r="F1194" s="1">
        <f>34000/18</f>
        <v>1888.8888888888889</v>
      </c>
      <c r="H1194">
        <v>1</v>
      </c>
      <c r="J1194" s="2">
        <f>+DATAIN_COMPRAS__2[[#This Row],[$/ UN NETO]]*DATAIN_COMPRAS__2[[#This Row],[IVA]]</f>
        <v>1888.8888888888889</v>
      </c>
      <c r="K1194" s="7">
        <f t="shared" si="23"/>
        <v>17000</v>
      </c>
      <c r="L1194" t="s">
        <v>158</v>
      </c>
    </row>
    <row r="1195" spans="1:12" x14ac:dyDescent="0.35">
      <c r="A1195" s="13">
        <v>45884</v>
      </c>
      <c r="B1195" t="s">
        <v>309</v>
      </c>
      <c r="C1195" t="s">
        <v>332</v>
      </c>
      <c r="E1195" s="8">
        <v>28</v>
      </c>
      <c r="F1195" s="1">
        <v>857.14285714285711</v>
      </c>
      <c r="H1195">
        <v>1</v>
      </c>
      <c r="J1195" s="2">
        <f>+DATAIN_COMPRAS__2[[#This Row],[$/ UN NETO]]*DATAIN_COMPRAS__2[[#This Row],[IVA]]</f>
        <v>857.14285714285711</v>
      </c>
      <c r="K1195" s="7">
        <f t="shared" si="23"/>
        <v>24000</v>
      </c>
      <c r="L1195" t="s">
        <v>237</v>
      </c>
    </row>
    <row r="1196" spans="1:12" x14ac:dyDescent="0.35">
      <c r="A1196" s="13">
        <v>45884</v>
      </c>
      <c r="B1196" t="s">
        <v>309</v>
      </c>
      <c r="C1196" t="s">
        <v>19</v>
      </c>
      <c r="E1196" s="8">
        <v>11</v>
      </c>
      <c r="F1196" s="1">
        <v>5000</v>
      </c>
      <c r="H1196">
        <v>1</v>
      </c>
      <c r="J1196" s="2">
        <f>+DATAIN_COMPRAS__2[[#This Row],[$/ UN NETO]]*DATAIN_COMPRAS__2[[#This Row],[IVA]]</f>
        <v>5000</v>
      </c>
      <c r="K1196" s="7">
        <f t="shared" si="23"/>
        <v>55000</v>
      </c>
      <c r="L1196" t="s">
        <v>237</v>
      </c>
    </row>
    <row r="1197" spans="1:12" x14ac:dyDescent="0.35">
      <c r="A1197" s="13">
        <v>45884</v>
      </c>
      <c r="B1197" t="s">
        <v>309</v>
      </c>
      <c r="C1197" t="s">
        <v>18</v>
      </c>
      <c r="E1197" s="8">
        <v>5</v>
      </c>
      <c r="F1197" s="1">
        <v>2000</v>
      </c>
      <c r="H1197">
        <v>1</v>
      </c>
      <c r="J1197" s="2">
        <f>+DATAIN_COMPRAS__2[[#This Row],[$/ UN NETO]]*DATAIN_COMPRAS__2[[#This Row],[IVA]]</f>
        <v>2000</v>
      </c>
      <c r="K1197" s="7">
        <f t="shared" si="23"/>
        <v>10000</v>
      </c>
      <c r="L1197" t="s">
        <v>237</v>
      </c>
    </row>
    <row r="1198" spans="1:12" x14ac:dyDescent="0.35">
      <c r="A1198" s="13">
        <v>45887</v>
      </c>
      <c r="B1198" t="s">
        <v>185</v>
      </c>
      <c r="C1198" t="s">
        <v>189</v>
      </c>
      <c r="E1198" s="8">
        <v>25</v>
      </c>
      <c r="F1198" s="1">
        <v>948.12</v>
      </c>
      <c r="H1198">
        <v>1</v>
      </c>
      <c r="J1198" s="2">
        <f>+DATAIN_COMPRAS__2[[#This Row],[$/ UN NETO]]*DATAIN_COMPRAS__2[[#This Row],[IVA]]</f>
        <v>948.12</v>
      </c>
      <c r="K1198" s="7">
        <f t="shared" si="23"/>
        <v>23703</v>
      </c>
      <c r="L1198" t="s">
        <v>255</v>
      </c>
    </row>
    <row r="1199" spans="1:12" x14ac:dyDescent="0.35">
      <c r="A1199" s="13">
        <v>45887</v>
      </c>
      <c r="B1199" t="s">
        <v>185</v>
      </c>
      <c r="C1199" t="s">
        <v>187</v>
      </c>
      <c r="E1199" s="8">
        <v>25</v>
      </c>
      <c r="F1199" s="1">
        <v>1048.44</v>
      </c>
      <c r="H1199">
        <v>1</v>
      </c>
      <c r="J1199" s="2">
        <f>+DATAIN_COMPRAS__2[[#This Row],[$/ UN NETO]]*DATAIN_COMPRAS__2[[#This Row],[IVA]]</f>
        <v>1048.44</v>
      </c>
      <c r="K1199" s="7">
        <f t="shared" si="23"/>
        <v>26211</v>
      </c>
      <c r="L1199" t="s">
        <v>255</v>
      </c>
    </row>
    <row r="1200" spans="1:12" x14ac:dyDescent="0.35">
      <c r="A1200" s="13">
        <v>45887</v>
      </c>
      <c r="B1200" t="s">
        <v>185</v>
      </c>
      <c r="C1200" t="s">
        <v>186</v>
      </c>
      <c r="E1200" s="8">
        <v>25</v>
      </c>
      <c r="F1200" s="1">
        <f>27849/DATAIN_COMPRAS__2[[#This Row],[CANT]]</f>
        <v>1113.96</v>
      </c>
      <c r="H1200">
        <v>1</v>
      </c>
      <c r="J1200" s="2">
        <f>+DATAIN_COMPRAS__2[[#This Row],[$/ UN NETO]]*DATAIN_COMPRAS__2[[#This Row],[IVA]]</f>
        <v>1113.96</v>
      </c>
      <c r="K1200" s="7">
        <f t="shared" si="23"/>
        <v>27849</v>
      </c>
      <c r="L1200" t="s">
        <v>255</v>
      </c>
    </row>
    <row r="1201" spans="1:12" x14ac:dyDescent="0.35">
      <c r="A1201" s="13">
        <v>45887</v>
      </c>
      <c r="B1201" t="s">
        <v>185</v>
      </c>
      <c r="C1201" t="s">
        <v>188</v>
      </c>
      <c r="E1201" s="8">
        <v>25</v>
      </c>
      <c r="F1201" s="1">
        <f>34831/25</f>
        <v>1393.24</v>
      </c>
      <c r="H1201">
        <v>1</v>
      </c>
      <c r="J1201" s="2">
        <f>+DATAIN_COMPRAS__2[[#This Row],[$/ UN NETO]]*DATAIN_COMPRAS__2[[#This Row],[IVA]]</f>
        <v>1393.24</v>
      </c>
      <c r="K1201" s="7">
        <f t="shared" si="23"/>
        <v>34831</v>
      </c>
      <c r="L1201" t="s">
        <v>255</v>
      </c>
    </row>
    <row r="1202" spans="1:12" x14ac:dyDescent="0.35">
      <c r="A1202" s="13">
        <v>45887</v>
      </c>
      <c r="B1202" t="s">
        <v>256</v>
      </c>
      <c r="C1202" t="str">
        <f>+UPPER("Crema Balde x 5Lt 44% MILKAUT")</f>
        <v>CREMA BALDE X 5LT 44% MILKAUT</v>
      </c>
      <c r="E1202" s="8">
        <v>1</v>
      </c>
      <c r="F1202" s="1">
        <f>43866.37/5</f>
        <v>8773.2740000000013</v>
      </c>
      <c r="H1202">
        <v>1</v>
      </c>
      <c r="J1202" s="2">
        <f>+DATAIN_COMPRAS__2[[#This Row],[$/ UN NETO]]*DATAIN_COMPRAS__2[[#This Row],[IVA]]</f>
        <v>8773.2740000000013</v>
      </c>
      <c r="K1202" s="7">
        <f t="shared" si="23"/>
        <v>8773.2740000000013</v>
      </c>
      <c r="L1202" t="s">
        <v>255</v>
      </c>
    </row>
    <row r="1203" spans="1:12" x14ac:dyDescent="0.35">
      <c r="A1203" s="13">
        <v>45887</v>
      </c>
      <c r="B1203" t="s">
        <v>256</v>
      </c>
      <c r="C1203" t="s">
        <v>258</v>
      </c>
      <c r="E1203" s="8">
        <v>1</v>
      </c>
      <c r="F1203" s="1">
        <v>11593.03</v>
      </c>
      <c r="H1203">
        <v>1</v>
      </c>
      <c r="J1203" s="2">
        <f>+DATAIN_COMPRAS__2[[#This Row],[$/ UN NETO]]*DATAIN_COMPRAS__2[[#This Row],[IVA]]</f>
        <v>11593.03</v>
      </c>
      <c r="K1203" s="7">
        <f t="shared" si="23"/>
        <v>11593.03</v>
      </c>
      <c r="L1203" t="s">
        <v>255</v>
      </c>
    </row>
    <row r="1204" spans="1:12" x14ac:dyDescent="0.35">
      <c r="A1204" s="13">
        <v>45887</v>
      </c>
      <c r="B1204" t="s">
        <v>256</v>
      </c>
      <c r="C1204" t="s">
        <v>776</v>
      </c>
      <c r="E1204" s="8">
        <v>1</v>
      </c>
      <c r="F1204" s="1">
        <f>324621.73/25</f>
        <v>12984.869199999999</v>
      </c>
      <c r="H1204">
        <v>1</v>
      </c>
      <c r="J1204" s="2">
        <f>+DATAIN_COMPRAS__2[[#This Row],[$/ UN NETO]]*DATAIN_COMPRAS__2[[#This Row],[IVA]]</f>
        <v>12984.869199999999</v>
      </c>
      <c r="K1204" s="7">
        <f t="shared" si="23"/>
        <v>12984.869199999999</v>
      </c>
      <c r="L1204" t="s">
        <v>255</v>
      </c>
    </row>
    <row r="1205" spans="1:12" x14ac:dyDescent="0.35">
      <c r="A1205" s="13">
        <v>45887</v>
      </c>
      <c r="B1205" t="s">
        <v>256</v>
      </c>
      <c r="C1205" t="s">
        <v>254</v>
      </c>
      <c r="E1205" s="8">
        <v>1</v>
      </c>
      <c r="F1205" s="1">
        <v>10436.290000000001</v>
      </c>
      <c r="H1205">
        <v>1</v>
      </c>
      <c r="J1205" s="2">
        <f>+DATAIN_COMPRAS__2[[#This Row],[$/ UN NETO]]*DATAIN_COMPRAS__2[[#This Row],[IVA]]</f>
        <v>10436.290000000001</v>
      </c>
      <c r="K1205" s="7">
        <f t="shared" si="23"/>
        <v>10436.290000000001</v>
      </c>
      <c r="L1205" t="s">
        <v>255</v>
      </c>
    </row>
    <row r="1206" spans="1:12" x14ac:dyDescent="0.35">
      <c r="A1206" s="13">
        <v>45887</v>
      </c>
      <c r="B1206" t="s">
        <v>256</v>
      </c>
      <c r="C1206" t="s">
        <v>259</v>
      </c>
      <c r="E1206" s="8">
        <v>1</v>
      </c>
      <c r="F1206" s="1">
        <v>11216.02</v>
      </c>
      <c r="H1206">
        <v>1</v>
      </c>
      <c r="J1206" s="2">
        <f>+DATAIN_COMPRAS__2[[#This Row],[$/ UN NETO]]*DATAIN_COMPRAS__2[[#This Row],[IVA]]</f>
        <v>11216.02</v>
      </c>
      <c r="K1206" s="7">
        <f t="shared" si="23"/>
        <v>11216.02</v>
      </c>
      <c r="L1206" t="s">
        <v>255</v>
      </c>
    </row>
    <row r="1207" spans="1:12" x14ac:dyDescent="0.35">
      <c r="A1207" s="13">
        <v>45888</v>
      </c>
      <c r="B1207" t="s">
        <v>124</v>
      </c>
      <c r="C1207" t="s">
        <v>125</v>
      </c>
      <c r="E1207" s="8">
        <v>9</v>
      </c>
      <c r="F1207" s="16">
        <v>41000</v>
      </c>
      <c r="H1207">
        <v>1</v>
      </c>
      <c r="J1207" s="2">
        <f>+DATAIN_COMPRAS__2[[#This Row],[$/ UN NETO]]*DATAIN_COMPRAS__2[[#This Row],[IVA]]</f>
        <v>41000</v>
      </c>
      <c r="K1207" s="7">
        <f t="shared" si="23"/>
        <v>369000</v>
      </c>
      <c r="L1207" t="s">
        <v>158</v>
      </c>
    </row>
    <row r="1208" spans="1:12" x14ac:dyDescent="0.35">
      <c r="A1208" s="13">
        <v>45888</v>
      </c>
      <c r="B1208" t="s">
        <v>48</v>
      </c>
      <c r="C1208" t="s">
        <v>61</v>
      </c>
      <c r="E1208" s="8">
        <v>2</v>
      </c>
      <c r="F1208" s="1">
        <v>1123.6482000000001</v>
      </c>
      <c r="H1208">
        <v>1.21</v>
      </c>
      <c r="I1208">
        <v>0.06</v>
      </c>
      <c r="J1208" s="2">
        <f>+DATAIN_COMPRAS__2[[#This Row],[$/ UN NETO]]*DATAIN_COMPRAS__2[[#This Row],[IVA]]</f>
        <v>1359.6143220000001</v>
      </c>
      <c r="K1208" s="7">
        <f t="shared" si="23"/>
        <v>2556.0749253599997</v>
      </c>
      <c r="L1208" t="s">
        <v>237</v>
      </c>
    </row>
    <row r="1209" spans="1:12" x14ac:dyDescent="0.35">
      <c r="A1209" s="13">
        <v>45888</v>
      </c>
      <c r="B1209" t="s">
        <v>48</v>
      </c>
      <c r="C1209" t="s">
        <v>79</v>
      </c>
      <c r="E1209" s="8">
        <v>1</v>
      </c>
      <c r="F1209" s="1">
        <v>4943.8546999999999</v>
      </c>
      <c r="H1209">
        <v>1.21</v>
      </c>
      <c r="I1209">
        <v>0.06</v>
      </c>
      <c r="J1209" s="2">
        <f>+DATAIN_COMPRAS__2[[#This Row],[$/ UN NETO]]*DATAIN_COMPRAS__2[[#This Row],[IVA]]</f>
        <v>5982.0641869999999</v>
      </c>
      <c r="K1209" s="7">
        <f t="shared" si="23"/>
        <v>5623.1403357799991</v>
      </c>
      <c r="L1209" t="s">
        <v>237</v>
      </c>
    </row>
    <row r="1210" spans="1:12" x14ac:dyDescent="0.35">
      <c r="A1210" s="13">
        <v>45888</v>
      </c>
      <c r="B1210" t="s">
        <v>48</v>
      </c>
      <c r="C1210" t="s">
        <v>358</v>
      </c>
      <c r="E1210" s="8">
        <v>2</v>
      </c>
      <c r="F1210" s="1">
        <v>1415.7149999999999</v>
      </c>
      <c r="H1210">
        <v>1.21</v>
      </c>
      <c r="I1210">
        <v>0.06</v>
      </c>
      <c r="J1210" s="2">
        <f>+DATAIN_COMPRAS__2[[#This Row],[$/ UN NETO]]*DATAIN_COMPRAS__2[[#This Row],[IVA]]</f>
        <v>1713.0151499999999</v>
      </c>
      <c r="K1210" s="7">
        <f t="shared" si="23"/>
        <v>3220.4684819999998</v>
      </c>
      <c r="L1210" t="s">
        <v>237</v>
      </c>
    </row>
    <row r="1211" spans="1:12" x14ac:dyDescent="0.35">
      <c r="A1211" s="13">
        <v>45888</v>
      </c>
      <c r="B1211" t="s">
        <v>48</v>
      </c>
      <c r="C1211" t="s">
        <v>321</v>
      </c>
      <c r="E1211" s="8">
        <v>2</v>
      </c>
      <c r="F1211" s="1">
        <v>2928.4427999999998</v>
      </c>
      <c r="H1211">
        <v>1.21</v>
      </c>
      <c r="I1211">
        <v>0.06</v>
      </c>
      <c r="J1211" s="2">
        <f>+DATAIN_COMPRAS__2[[#This Row],[$/ UN NETO]]*DATAIN_COMPRAS__2[[#This Row],[IVA]]</f>
        <v>3543.4157879999998</v>
      </c>
      <c r="K1211" s="7">
        <f t="shared" si="23"/>
        <v>6661.6216814399995</v>
      </c>
      <c r="L1211" t="s">
        <v>158</v>
      </c>
    </row>
    <row r="1212" spans="1:12" x14ac:dyDescent="0.35">
      <c r="A1212" s="13">
        <v>45888</v>
      </c>
      <c r="B1212" t="s">
        <v>48</v>
      </c>
      <c r="C1212" t="s">
        <v>833</v>
      </c>
      <c r="E1212" s="8">
        <v>3.5</v>
      </c>
      <c r="F1212">
        <f>19208.0044/3.5</f>
        <v>5488.0012571428579</v>
      </c>
      <c r="H1212">
        <v>1.21</v>
      </c>
      <c r="I1212">
        <v>0.06</v>
      </c>
      <c r="J1212" s="2">
        <f>+DATAIN_COMPRAS__2[[#This Row],[$/ UN NETO]]*DATAIN_COMPRAS__2[[#This Row],[IVA]]</f>
        <v>6640.4815211428577</v>
      </c>
      <c r="K1212" s="7">
        <f t="shared" si="23"/>
        <v>21847.184204559999</v>
      </c>
      <c r="L1212" t="s">
        <v>158</v>
      </c>
    </row>
    <row r="1213" spans="1:12" x14ac:dyDescent="0.35">
      <c r="A1213" s="13">
        <v>45888</v>
      </c>
      <c r="B1213" t="s">
        <v>48</v>
      </c>
      <c r="C1213" t="s">
        <v>54</v>
      </c>
      <c r="E1213" s="8">
        <v>2</v>
      </c>
      <c r="F1213" s="1">
        <v>849.42899999999997</v>
      </c>
      <c r="H1213">
        <v>1.21</v>
      </c>
      <c r="I1213">
        <v>0.06</v>
      </c>
      <c r="J1213" s="2">
        <f>+DATAIN_COMPRAS__2[[#This Row],[$/ UN NETO]]*DATAIN_COMPRAS__2[[#This Row],[IVA]]</f>
        <v>1027.80909</v>
      </c>
      <c r="K1213" s="7">
        <f t="shared" si="23"/>
        <v>1932.2810891999995</v>
      </c>
      <c r="L1213" t="s">
        <v>237</v>
      </c>
    </row>
    <row r="1214" spans="1:12" x14ac:dyDescent="0.35">
      <c r="A1214" s="13">
        <v>45888</v>
      </c>
      <c r="B1214" t="s">
        <v>80</v>
      </c>
      <c r="C1214" t="s">
        <v>87</v>
      </c>
      <c r="E1214" s="8">
        <v>1</v>
      </c>
      <c r="F1214" s="1">
        <v>5537.19</v>
      </c>
      <c r="H1214">
        <v>1.21</v>
      </c>
      <c r="J1214" s="2">
        <f>+DATAIN_COMPRAS__2[[#This Row],[$/ UN NETO]]*DATAIN_COMPRAS__2[[#This Row],[IVA]]</f>
        <v>6699.9998999999989</v>
      </c>
      <c r="K1214" s="7">
        <f t="shared" si="23"/>
        <v>6699.9998999999989</v>
      </c>
      <c r="L1214" t="s">
        <v>158</v>
      </c>
    </row>
    <row r="1215" spans="1:12" x14ac:dyDescent="0.35">
      <c r="A1215" s="13">
        <v>45888</v>
      </c>
      <c r="B1215" t="s">
        <v>80</v>
      </c>
      <c r="C1215" t="s">
        <v>86</v>
      </c>
      <c r="E1215" s="8">
        <v>30</v>
      </c>
      <c r="F1215" s="1">
        <v>164.1</v>
      </c>
      <c r="H1215">
        <v>1.21</v>
      </c>
      <c r="J1215" s="2">
        <f>+DATAIN_COMPRAS__2[[#This Row],[$/ UN NETO]]*DATAIN_COMPRAS__2[[#This Row],[IVA]]</f>
        <v>198.56099999999998</v>
      </c>
      <c r="K1215" s="7">
        <f t="shared" si="23"/>
        <v>5956.83</v>
      </c>
      <c r="L1215" t="s">
        <v>158</v>
      </c>
    </row>
    <row r="1216" spans="1:12" x14ac:dyDescent="0.35">
      <c r="A1216" s="13">
        <v>45888</v>
      </c>
      <c r="B1216" t="s">
        <v>80</v>
      </c>
      <c r="C1216" t="s">
        <v>90</v>
      </c>
      <c r="E1216" s="8">
        <v>1</v>
      </c>
      <c r="F1216" s="1">
        <v>8925.6200000000008</v>
      </c>
      <c r="H1216">
        <v>1.21</v>
      </c>
      <c r="J1216" s="2">
        <f>+DATAIN_COMPRAS__2[[#This Row],[$/ UN NETO]]*DATAIN_COMPRAS__2[[#This Row],[IVA]]</f>
        <v>10800.0002</v>
      </c>
      <c r="K1216" s="7">
        <f t="shared" si="23"/>
        <v>10800.0002</v>
      </c>
      <c r="L1216" t="s">
        <v>158</v>
      </c>
    </row>
    <row r="1217" spans="1:12" x14ac:dyDescent="0.35">
      <c r="A1217" s="13">
        <v>45888</v>
      </c>
      <c r="B1217" t="s">
        <v>80</v>
      </c>
      <c r="C1217" t="s">
        <v>790</v>
      </c>
      <c r="E1217" s="8">
        <v>2</v>
      </c>
      <c r="F1217" s="1">
        <v>991.74</v>
      </c>
      <c r="H1217">
        <v>1.21</v>
      </c>
      <c r="J1217" s="2">
        <f>+DATAIN_COMPRAS__2[[#This Row],[$/ UN NETO]]*DATAIN_COMPRAS__2[[#This Row],[IVA]]</f>
        <v>1200.0054</v>
      </c>
      <c r="K1217" s="7">
        <f t="shared" si="23"/>
        <v>2400.0108</v>
      </c>
      <c r="L1217" t="s">
        <v>158</v>
      </c>
    </row>
    <row r="1218" spans="1:12" x14ac:dyDescent="0.35">
      <c r="A1218" s="13">
        <v>45888</v>
      </c>
      <c r="B1218" t="s">
        <v>80</v>
      </c>
      <c r="C1218" t="s">
        <v>98</v>
      </c>
      <c r="E1218" s="8">
        <v>2</v>
      </c>
      <c r="F1218" s="1">
        <v>6859.5</v>
      </c>
      <c r="H1218">
        <v>1.21</v>
      </c>
      <c r="J1218" s="2">
        <f>+DATAIN_COMPRAS__2[[#This Row],[$/ UN NETO]]*DATAIN_COMPRAS__2[[#This Row],[IVA]]</f>
        <v>8299.994999999999</v>
      </c>
      <c r="K1218" s="7">
        <f t="shared" si="23"/>
        <v>16599.989999999998</v>
      </c>
      <c r="L1218" t="s">
        <v>158</v>
      </c>
    </row>
    <row r="1219" spans="1:12" x14ac:dyDescent="0.35">
      <c r="A1219" s="13">
        <v>45888</v>
      </c>
      <c r="B1219" t="s">
        <v>80</v>
      </c>
      <c r="C1219" t="s">
        <v>98</v>
      </c>
      <c r="E1219" s="8">
        <v>1</v>
      </c>
      <c r="F1219" s="1">
        <v>6859.5</v>
      </c>
      <c r="H1219">
        <v>1.21</v>
      </c>
      <c r="J1219" s="2">
        <f>+DATAIN_COMPRAS__2[[#This Row],[$/ UN NETO]]*DATAIN_COMPRAS__2[[#This Row],[IVA]]</f>
        <v>8299.994999999999</v>
      </c>
      <c r="K1219" s="7">
        <f t="shared" si="23"/>
        <v>8299.994999999999</v>
      </c>
      <c r="L1219" t="s">
        <v>158</v>
      </c>
    </row>
    <row r="1220" spans="1:12" x14ac:dyDescent="0.35">
      <c r="A1220" s="13">
        <v>45888</v>
      </c>
      <c r="B1220" t="s">
        <v>80</v>
      </c>
      <c r="C1220" t="s">
        <v>207</v>
      </c>
      <c r="E1220" s="8">
        <v>30</v>
      </c>
      <c r="F1220" s="1">
        <v>99.17</v>
      </c>
      <c r="H1220">
        <v>1.21</v>
      </c>
      <c r="J1220" s="2">
        <f>+DATAIN_COMPRAS__2[[#This Row],[$/ UN NETO]]*DATAIN_COMPRAS__2[[#This Row],[IVA]]</f>
        <v>119.9957</v>
      </c>
      <c r="K1220" s="7">
        <f t="shared" si="23"/>
        <v>3599.8709999999996</v>
      </c>
      <c r="L1220" t="s">
        <v>158</v>
      </c>
    </row>
    <row r="1221" spans="1:12" x14ac:dyDescent="0.35">
      <c r="A1221" s="13">
        <v>45888</v>
      </c>
      <c r="B1221" t="s">
        <v>12</v>
      </c>
      <c r="C1221" t="s">
        <v>40</v>
      </c>
      <c r="E1221" s="8">
        <v>1.63</v>
      </c>
      <c r="F1221" s="1">
        <v>900</v>
      </c>
      <c r="H1221">
        <v>1</v>
      </c>
      <c r="J1221" s="2">
        <f>+DATAIN_COMPRAS__2[[#This Row],[$/ UN NETO]]*DATAIN_COMPRAS__2[[#This Row],[IVA]]</f>
        <v>900</v>
      </c>
      <c r="K1221" s="7">
        <f t="shared" si="23"/>
        <v>1467</v>
      </c>
      <c r="L1221" t="s">
        <v>237</v>
      </c>
    </row>
    <row r="1222" spans="1:12" x14ac:dyDescent="0.35">
      <c r="A1222" s="13">
        <v>45888</v>
      </c>
      <c r="B1222" t="s">
        <v>12</v>
      </c>
      <c r="C1222" t="s">
        <v>41</v>
      </c>
      <c r="E1222" s="8">
        <v>0.56999999999999995</v>
      </c>
      <c r="F1222" s="1">
        <f>1400/DATAIN_COMPRAS__2[[#This Row],[CANT]]</f>
        <v>2456.1403508771932</v>
      </c>
      <c r="H1222">
        <v>1</v>
      </c>
      <c r="J1222" s="2">
        <f>+DATAIN_COMPRAS__2[[#This Row],[$/ UN NETO]]*DATAIN_COMPRAS__2[[#This Row],[IVA]]</f>
        <v>2456.1403508771932</v>
      </c>
      <c r="K1222" s="7">
        <f t="shared" si="23"/>
        <v>1400</v>
      </c>
      <c r="L1222" t="s">
        <v>237</v>
      </c>
    </row>
    <row r="1223" spans="1:12" x14ac:dyDescent="0.35">
      <c r="A1223" s="13">
        <v>45888</v>
      </c>
      <c r="B1223" t="s">
        <v>12</v>
      </c>
      <c r="C1223" t="s">
        <v>23</v>
      </c>
      <c r="E1223" s="8">
        <v>5</v>
      </c>
      <c r="F1223" s="1">
        <f>38000/5</f>
        <v>7600</v>
      </c>
      <c r="H1223">
        <v>1</v>
      </c>
      <c r="J1223" s="2">
        <f>+DATAIN_COMPRAS__2[[#This Row],[$/ UN NETO]]*DATAIN_COMPRAS__2[[#This Row],[IVA]]</f>
        <v>7600</v>
      </c>
      <c r="K1223" s="7">
        <f t="shared" si="23"/>
        <v>38000</v>
      </c>
      <c r="L1223" t="s">
        <v>237</v>
      </c>
    </row>
    <row r="1224" spans="1:12" x14ac:dyDescent="0.35">
      <c r="A1224" s="13">
        <v>45888</v>
      </c>
      <c r="B1224" t="s">
        <v>12</v>
      </c>
      <c r="C1224" t="s">
        <v>25</v>
      </c>
      <c r="E1224" s="8">
        <v>1</v>
      </c>
      <c r="F1224" s="1">
        <v>6800</v>
      </c>
      <c r="H1224">
        <v>1</v>
      </c>
      <c r="J1224" s="2">
        <f>+DATAIN_COMPRAS__2[[#This Row],[$/ UN NETO]]*DATAIN_COMPRAS__2[[#This Row],[IVA]]</f>
        <v>6800</v>
      </c>
      <c r="K1224" s="7">
        <f t="shared" si="23"/>
        <v>6800</v>
      </c>
      <c r="L1224" t="s">
        <v>237</v>
      </c>
    </row>
    <row r="1225" spans="1:12" x14ac:dyDescent="0.35">
      <c r="A1225" s="13">
        <v>45888</v>
      </c>
      <c r="B1225" t="s">
        <v>12</v>
      </c>
      <c r="C1225" t="s">
        <v>39</v>
      </c>
      <c r="E1225" s="8">
        <v>0.42</v>
      </c>
      <c r="F1225" s="1">
        <v>2600</v>
      </c>
      <c r="H1225">
        <v>1</v>
      </c>
      <c r="J1225" s="2">
        <f>+DATAIN_COMPRAS__2[[#This Row],[$/ UN NETO]]*DATAIN_COMPRAS__2[[#This Row],[IVA]]</f>
        <v>2600</v>
      </c>
      <c r="K1225" s="7">
        <f t="shared" si="23"/>
        <v>1092</v>
      </c>
      <c r="L1225" t="s">
        <v>237</v>
      </c>
    </row>
    <row r="1226" spans="1:12" x14ac:dyDescent="0.35">
      <c r="A1226" s="13">
        <v>45888</v>
      </c>
      <c r="B1226" t="s">
        <v>12</v>
      </c>
      <c r="C1226" t="s">
        <v>791</v>
      </c>
      <c r="E1226" s="8">
        <v>2</v>
      </c>
      <c r="F1226" s="1">
        <v>1700</v>
      </c>
      <c r="H1226">
        <v>1</v>
      </c>
      <c r="J1226" s="2">
        <f>+DATAIN_COMPRAS__2[[#This Row],[$/ UN NETO]]*DATAIN_COMPRAS__2[[#This Row],[IVA]]</f>
        <v>1700</v>
      </c>
      <c r="K1226" s="7">
        <f t="shared" si="23"/>
        <v>3400</v>
      </c>
      <c r="L1226" t="s">
        <v>158</v>
      </c>
    </row>
    <row r="1227" spans="1:12" x14ac:dyDescent="0.35">
      <c r="A1227" s="13">
        <v>45888</v>
      </c>
      <c r="B1227" t="s">
        <v>12</v>
      </c>
      <c r="C1227" t="s">
        <v>28</v>
      </c>
      <c r="E1227" s="8">
        <v>0.27500000000000002</v>
      </c>
      <c r="F1227" s="1">
        <f>3000/DATAIN_COMPRAS__2[[#This Row],[CANT]]</f>
        <v>10909.090909090908</v>
      </c>
      <c r="H1227">
        <v>1</v>
      </c>
      <c r="J1227" s="2">
        <f>+DATAIN_COMPRAS__2[[#This Row],[$/ UN NETO]]*DATAIN_COMPRAS__2[[#This Row],[IVA]]</f>
        <v>10909.090909090908</v>
      </c>
      <c r="K1227" s="7">
        <f t="shared" si="23"/>
        <v>3000</v>
      </c>
      <c r="L1227" t="s">
        <v>237</v>
      </c>
    </row>
    <row r="1228" spans="1:12" x14ac:dyDescent="0.35">
      <c r="A1228" s="13">
        <v>45888</v>
      </c>
      <c r="B1228" t="s">
        <v>12</v>
      </c>
      <c r="C1228" t="s">
        <v>20</v>
      </c>
      <c r="E1228" s="8">
        <v>1</v>
      </c>
      <c r="F1228" s="1">
        <v>2000</v>
      </c>
      <c r="H1228">
        <v>1</v>
      </c>
      <c r="J1228" s="2">
        <f>+DATAIN_COMPRAS__2[[#This Row],[$/ UN NETO]]*DATAIN_COMPRAS__2[[#This Row],[IVA]]</f>
        <v>2000</v>
      </c>
      <c r="K1228" s="7">
        <f t="shared" si="23"/>
        <v>2000</v>
      </c>
      <c r="L1228" t="s">
        <v>237</v>
      </c>
    </row>
    <row r="1229" spans="1:12" x14ac:dyDescent="0.35">
      <c r="A1229" s="13">
        <v>45888</v>
      </c>
      <c r="B1229" t="s">
        <v>12</v>
      </c>
      <c r="C1229" t="s">
        <v>30</v>
      </c>
      <c r="E1229" s="8">
        <v>3</v>
      </c>
      <c r="F1229" s="1">
        <v>1200</v>
      </c>
      <c r="H1229">
        <v>1</v>
      </c>
      <c r="J1229" s="2">
        <f>+DATAIN_COMPRAS__2[[#This Row],[$/ UN NETO]]*DATAIN_COMPRAS__2[[#This Row],[IVA]]</f>
        <v>1200</v>
      </c>
      <c r="K1229" s="7">
        <f t="shared" si="23"/>
        <v>3600</v>
      </c>
      <c r="L1229" t="s">
        <v>237</v>
      </c>
    </row>
    <row r="1230" spans="1:12" x14ac:dyDescent="0.35">
      <c r="A1230" s="13">
        <v>45888</v>
      </c>
      <c r="B1230" t="s">
        <v>12</v>
      </c>
      <c r="C1230" t="s">
        <v>30</v>
      </c>
      <c r="E1230" s="8">
        <v>3</v>
      </c>
      <c r="F1230" s="1">
        <v>1200</v>
      </c>
      <c r="H1230">
        <v>1</v>
      </c>
      <c r="J1230" s="2">
        <f>+DATAIN_COMPRAS__2[[#This Row],[$/ UN NETO]]*DATAIN_COMPRAS__2[[#This Row],[IVA]]</f>
        <v>1200</v>
      </c>
      <c r="K1230" s="7">
        <f t="shared" si="23"/>
        <v>3600</v>
      </c>
      <c r="L1230" t="s">
        <v>158</v>
      </c>
    </row>
    <row r="1231" spans="1:12" x14ac:dyDescent="0.35">
      <c r="A1231" s="13">
        <v>45888</v>
      </c>
      <c r="B1231" t="s">
        <v>12</v>
      </c>
      <c r="C1231" t="s">
        <v>22</v>
      </c>
      <c r="E1231" s="8">
        <v>1</v>
      </c>
      <c r="F1231" s="1">
        <v>1200</v>
      </c>
      <c r="H1231">
        <v>1</v>
      </c>
      <c r="J1231" s="2">
        <f>+DATAIN_COMPRAS__2[[#This Row],[$/ UN NETO]]*DATAIN_COMPRAS__2[[#This Row],[IVA]]</f>
        <v>1200</v>
      </c>
      <c r="K1231" s="7">
        <f t="shared" si="23"/>
        <v>1200</v>
      </c>
      <c r="L1231" t="s">
        <v>237</v>
      </c>
    </row>
    <row r="1232" spans="1:12" x14ac:dyDescent="0.35">
      <c r="A1232" s="13">
        <v>45888</v>
      </c>
      <c r="B1232" t="s">
        <v>75</v>
      </c>
      <c r="C1232" t="s">
        <v>76</v>
      </c>
      <c r="E1232" s="8">
        <v>72</v>
      </c>
      <c r="F1232" s="1">
        <v>1157.1600000000001</v>
      </c>
      <c r="H1232">
        <v>1.21</v>
      </c>
      <c r="J1232" s="2">
        <f>+DATAIN_COMPRAS__2[[#This Row],[$/ UN NETO]]*DATAIN_COMPRAS__2[[#This Row],[IVA]]</f>
        <v>1400.1636000000001</v>
      </c>
      <c r="K1232" s="7">
        <f t="shared" si="23"/>
        <v>100811.7792</v>
      </c>
      <c r="L1232" t="s">
        <v>237</v>
      </c>
    </row>
    <row r="1233" spans="1:12" x14ac:dyDescent="0.35">
      <c r="A1233" s="13">
        <v>45889</v>
      </c>
      <c r="B1233" t="s">
        <v>256</v>
      </c>
      <c r="C1233" t="s">
        <v>792</v>
      </c>
      <c r="E1233" s="8">
        <v>5</v>
      </c>
      <c r="F1233" s="1">
        <f>36253.2/5</f>
        <v>7250.6399999999994</v>
      </c>
      <c r="H1233">
        <v>1.21</v>
      </c>
      <c r="I1233">
        <v>-2.4792999999999999E-2</v>
      </c>
      <c r="J1233" s="2">
        <f>+DATAIN_COMPRAS__2[[#This Row],[$/ UN NETO]]*DATAIN_COMPRAS__2[[#This Row],[IVA]]</f>
        <v>8773.2743999999984</v>
      </c>
      <c r="K1233" s="7">
        <f t="shared" si="23"/>
        <v>44953.950960996001</v>
      </c>
      <c r="L1233" t="s">
        <v>158</v>
      </c>
    </row>
    <row r="1234" spans="1:12" x14ac:dyDescent="0.35">
      <c r="A1234" s="13">
        <v>45889</v>
      </c>
      <c r="B1234" t="s">
        <v>256</v>
      </c>
      <c r="C1234" t="s">
        <v>258</v>
      </c>
      <c r="E1234" s="8">
        <v>4</v>
      </c>
      <c r="F1234" s="1">
        <v>9269.44</v>
      </c>
      <c r="H1234">
        <v>1.21</v>
      </c>
      <c r="J1234" s="2">
        <f>+DATAIN_COMPRAS__2[[#This Row],[$/ UN NETO]]*DATAIN_COMPRAS__2[[#This Row],[IVA]]</f>
        <v>11216.0224</v>
      </c>
      <c r="K1234" s="7">
        <f t="shared" si="23"/>
        <v>44864.089599999999</v>
      </c>
      <c r="L1234" t="s">
        <v>237</v>
      </c>
    </row>
    <row r="1235" spans="1:12" x14ac:dyDescent="0.35">
      <c r="A1235" s="13">
        <v>45889</v>
      </c>
      <c r="B1235" t="s">
        <v>256</v>
      </c>
      <c r="C1235" t="s">
        <v>776</v>
      </c>
      <c r="E1235" s="8">
        <v>25</v>
      </c>
      <c r="F1235" s="1">
        <f>268282.42/25</f>
        <v>10731.2968</v>
      </c>
      <c r="H1235">
        <v>1.21</v>
      </c>
      <c r="I1235">
        <v>-2.4792999999999999E-2</v>
      </c>
      <c r="J1235" s="2">
        <f>+DATAIN_COMPRAS__2[[#This Row],[$/ UN NETO]]*DATAIN_COMPRAS__2[[#This Row],[IVA]]</f>
        <v>12984.869128</v>
      </c>
      <c r="K1235" s="7">
        <f t="shared" si="23"/>
        <v>332670.07470726263</v>
      </c>
      <c r="L1235" t="s">
        <v>158</v>
      </c>
    </row>
    <row r="1236" spans="1:12" x14ac:dyDescent="0.35">
      <c r="A1236" s="13">
        <v>45889</v>
      </c>
      <c r="B1236" t="s">
        <v>256</v>
      </c>
      <c r="C1236" t="s">
        <v>259</v>
      </c>
      <c r="E1236" s="8">
        <v>4</v>
      </c>
      <c r="F1236" s="1">
        <v>9581.0159999999996</v>
      </c>
      <c r="H1236">
        <v>1.21</v>
      </c>
      <c r="J1236" s="2">
        <f>+DATAIN_COMPRAS__2[[#This Row],[$/ UN NETO]]*DATAIN_COMPRAS__2[[#This Row],[IVA]]</f>
        <v>11593.029359999999</v>
      </c>
      <c r="K1236" s="7">
        <f t="shared" si="23"/>
        <v>46372.117439999995</v>
      </c>
      <c r="L1236" t="s">
        <v>237</v>
      </c>
    </row>
    <row r="1237" spans="1:12" x14ac:dyDescent="0.35">
      <c r="A1237" s="13">
        <v>45889</v>
      </c>
      <c r="B1237" t="s">
        <v>179</v>
      </c>
      <c r="C1237" t="s">
        <v>180</v>
      </c>
      <c r="E1237" s="8">
        <v>20</v>
      </c>
      <c r="F1237" s="1">
        <f>30991.36/10</f>
        <v>3099.136</v>
      </c>
      <c r="H1237">
        <v>1.21</v>
      </c>
      <c r="J1237" s="2">
        <f>+DATAIN_COMPRAS__2[[#This Row],[$/ UN NETO]]*DATAIN_COMPRAS__2[[#This Row],[IVA]]</f>
        <v>3749.9545599999997</v>
      </c>
      <c r="K1237" s="7">
        <f t="shared" si="23"/>
        <v>74999.091199999995</v>
      </c>
      <c r="L1237" t="s">
        <v>158</v>
      </c>
    </row>
    <row r="1238" spans="1:12" x14ac:dyDescent="0.35">
      <c r="A1238" s="13">
        <v>45890</v>
      </c>
      <c r="B1238" t="s">
        <v>185</v>
      </c>
      <c r="C1238" t="s">
        <v>189</v>
      </c>
      <c r="E1238" s="8">
        <v>25</v>
      </c>
      <c r="F1238" s="1">
        <v>948.12</v>
      </c>
      <c r="H1238">
        <v>1</v>
      </c>
      <c r="J1238" s="2">
        <f>+DATAIN_COMPRAS__2[[#This Row],[$/ UN NETO]]*DATAIN_COMPRAS__2[[#This Row],[IVA]]</f>
        <v>948.12</v>
      </c>
      <c r="K1238" s="7">
        <f t="shared" si="23"/>
        <v>23703</v>
      </c>
      <c r="L1238" t="s">
        <v>158</v>
      </c>
    </row>
    <row r="1239" spans="1:12" x14ac:dyDescent="0.35">
      <c r="A1239" s="13">
        <v>45890</v>
      </c>
      <c r="B1239" t="s">
        <v>185</v>
      </c>
      <c r="C1239" t="s">
        <v>187</v>
      </c>
      <c r="E1239" s="8">
        <v>75</v>
      </c>
      <c r="F1239" s="1">
        <v>1048.44</v>
      </c>
      <c r="H1239">
        <v>1</v>
      </c>
      <c r="J1239" s="2">
        <f>+DATAIN_COMPRAS__2[[#This Row],[$/ UN NETO]]*DATAIN_COMPRAS__2[[#This Row],[IVA]]</f>
        <v>1048.44</v>
      </c>
      <c r="K1239" s="7">
        <f t="shared" si="23"/>
        <v>78633</v>
      </c>
      <c r="L1239" t="s">
        <v>158</v>
      </c>
    </row>
    <row r="1240" spans="1:12" x14ac:dyDescent="0.35">
      <c r="A1240" s="13">
        <v>45890</v>
      </c>
      <c r="B1240" t="s">
        <v>185</v>
      </c>
      <c r="C1240" t="s">
        <v>186</v>
      </c>
      <c r="E1240" s="8">
        <v>25</v>
      </c>
      <c r="F1240" s="1">
        <v>1113.96</v>
      </c>
      <c r="H1240">
        <v>1</v>
      </c>
      <c r="J1240" s="2">
        <f>+DATAIN_COMPRAS__2[[#This Row],[$/ UN NETO]]*DATAIN_COMPRAS__2[[#This Row],[IVA]]</f>
        <v>1113.96</v>
      </c>
      <c r="K1240" s="7">
        <f t="shared" si="23"/>
        <v>27849</v>
      </c>
      <c r="L1240" t="s">
        <v>158</v>
      </c>
    </row>
    <row r="1241" spans="1:12" x14ac:dyDescent="0.35">
      <c r="A1241" s="13">
        <v>45890</v>
      </c>
      <c r="B1241" t="s">
        <v>185</v>
      </c>
      <c r="C1241" t="s">
        <v>188</v>
      </c>
      <c r="E1241" s="8">
        <v>25</v>
      </c>
      <c r="F1241" s="1">
        <f>34831/25</f>
        <v>1393.24</v>
      </c>
      <c r="H1241">
        <v>1</v>
      </c>
      <c r="J1241" s="2">
        <f>+DATAIN_COMPRAS__2[[#This Row],[$/ UN NETO]]*DATAIN_COMPRAS__2[[#This Row],[IVA]]</f>
        <v>1393.24</v>
      </c>
      <c r="K1241" s="7">
        <f t="shared" si="23"/>
        <v>34831</v>
      </c>
      <c r="L1241" t="s">
        <v>158</v>
      </c>
    </row>
    <row r="1242" spans="1:12" x14ac:dyDescent="0.35">
      <c r="A1242" s="13">
        <v>45890</v>
      </c>
      <c r="B1242" t="s">
        <v>110</v>
      </c>
      <c r="C1242" t="s">
        <v>836</v>
      </c>
      <c r="E1242" s="8">
        <v>1</v>
      </c>
      <c r="F1242" s="1">
        <v>22686.3</v>
      </c>
      <c r="H1242">
        <v>1.21</v>
      </c>
      <c r="J1242" s="2">
        <f>+DATAIN_COMPRAS__2[[#This Row],[$/ UN NETO]]*DATAIN_COMPRAS__2[[#This Row],[IVA]]</f>
        <v>27450.422999999999</v>
      </c>
      <c r="K1242" s="7">
        <f t="shared" si="23"/>
        <v>27450.422999999999</v>
      </c>
      <c r="L1242" t="s">
        <v>158</v>
      </c>
    </row>
    <row r="1243" spans="1:12" x14ac:dyDescent="0.35">
      <c r="A1243" s="13">
        <v>45890</v>
      </c>
      <c r="B1243" t="s">
        <v>132</v>
      </c>
      <c r="C1243" t="s">
        <v>838</v>
      </c>
      <c r="E1243" s="8">
        <v>3.5000000000000003E-2</v>
      </c>
      <c r="F1243" s="1">
        <f>6000/DATAIN_COMPRAS__2[[#This Row],[CANT]]</f>
        <v>171428.57142857142</v>
      </c>
      <c r="H1243">
        <v>1</v>
      </c>
      <c r="J1243" s="2">
        <f>+DATAIN_COMPRAS__2[[#This Row],[$/ UN NETO]]*DATAIN_COMPRAS__2[[#This Row],[IVA]]</f>
        <v>171428.57142857142</v>
      </c>
      <c r="K1243" s="7">
        <f t="shared" si="23"/>
        <v>6000</v>
      </c>
      <c r="L1243" t="s">
        <v>237</v>
      </c>
    </row>
    <row r="1244" spans="1:12" x14ac:dyDescent="0.35">
      <c r="A1244" s="13">
        <v>45890</v>
      </c>
      <c r="B1244" t="s">
        <v>132</v>
      </c>
      <c r="C1244" t="s">
        <v>133</v>
      </c>
      <c r="E1244" s="8">
        <v>8.5000000000000006E-2</v>
      </c>
      <c r="F1244" s="1">
        <f>4000/DATAIN_COMPRAS__2[[#This Row],[CANT]]</f>
        <v>47058.823529411762</v>
      </c>
      <c r="H1244">
        <v>1</v>
      </c>
      <c r="J1244" s="2">
        <f>+DATAIN_COMPRAS__2[[#This Row],[$/ UN NETO]]*DATAIN_COMPRAS__2[[#This Row],[IVA]]</f>
        <v>47058.823529411762</v>
      </c>
      <c r="K1244" s="7">
        <f t="shared" si="23"/>
        <v>4000</v>
      </c>
      <c r="L1244" t="s">
        <v>237</v>
      </c>
    </row>
    <row r="1245" spans="1:12" x14ac:dyDescent="0.35">
      <c r="A1245" s="13">
        <v>45894</v>
      </c>
      <c r="B1245" t="s">
        <v>48</v>
      </c>
      <c r="C1245" t="s">
        <v>61</v>
      </c>
      <c r="E1245" s="8">
        <v>2</v>
      </c>
      <c r="F1245" s="1">
        <v>1123.6482000000001</v>
      </c>
      <c r="H1245">
        <v>1.21</v>
      </c>
      <c r="I1245">
        <v>0.06</v>
      </c>
      <c r="J1245" s="2">
        <f>+DATAIN_COMPRAS__2[[#This Row],[$/ UN NETO]]*DATAIN_COMPRAS__2[[#This Row],[IVA]]</f>
        <v>1359.6143220000001</v>
      </c>
      <c r="K1245" s="7">
        <f t="shared" si="23"/>
        <v>2556.0749253599997</v>
      </c>
      <c r="L1245" t="s">
        <v>237</v>
      </c>
    </row>
    <row r="1246" spans="1:12" x14ac:dyDescent="0.35">
      <c r="A1246" s="13">
        <v>45894</v>
      </c>
      <c r="B1246" t="s">
        <v>48</v>
      </c>
      <c r="C1246" t="s">
        <v>79</v>
      </c>
      <c r="E1246" s="8">
        <v>1</v>
      </c>
      <c r="F1246" s="1">
        <v>5191.0487999999996</v>
      </c>
      <c r="H1246">
        <v>1.21</v>
      </c>
      <c r="I1246">
        <v>0.06</v>
      </c>
      <c r="J1246" s="2">
        <f>+DATAIN_COMPRAS__2[[#This Row],[$/ UN NETO]]*DATAIN_COMPRAS__2[[#This Row],[IVA]]</f>
        <v>6281.1690479999997</v>
      </c>
      <c r="K1246" s="7">
        <f t="shared" si="23"/>
        <v>5904.2989051199993</v>
      </c>
      <c r="L1246" t="s">
        <v>237</v>
      </c>
    </row>
    <row r="1247" spans="1:12" x14ac:dyDescent="0.35">
      <c r="A1247" s="13">
        <v>45894</v>
      </c>
      <c r="B1247" t="s">
        <v>48</v>
      </c>
      <c r="C1247" t="s">
        <v>53</v>
      </c>
      <c r="E1247" s="8">
        <v>2</v>
      </c>
      <c r="F1247" s="1">
        <v>1098.24</v>
      </c>
      <c r="H1247">
        <v>1.21</v>
      </c>
      <c r="J1247" s="2">
        <f>+DATAIN_COMPRAS__2[[#This Row],[$/ UN NETO]]*DATAIN_COMPRAS__2[[#This Row],[IVA]]</f>
        <v>1328.8704</v>
      </c>
      <c r="K1247" s="7">
        <f t="shared" si="23"/>
        <v>2657.7408</v>
      </c>
      <c r="L1247" t="s">
        <v>237</v>
      </c>
    </row>
    <row r="1248" spans="1:12" x14ac:dyDescent="0.35">
      <c r="A1248" s="13">
        <v>45894</v>
      </c>
      <c r="B1248" t="s">
        <v>48</v>
      </c>
      <c r="C1248" t="s">
        <v>833</v>
      </c>
      <c r="E1248" s="8">
        <v>3.5</v>
      </c>
      <c r="F1248" s="1">
        <f>19208.0044/3.5</f>
        <v>5488.0012571428579</v>
      </c>
      <c r="H1248">
        <v>1.21</v>
      </c>
      <c r="I1248">
        <v>0.06</v>
      </c>
      <c r="J1248" s="2">
        <f>+DATAIN_COMPRAS__2[[#This Row],[$/ UN NETO]]*DATAIN_COMPRAS__2[[#This Row],[IVA]]</f>
        <v>6640.4815211428577</v>
      </c>
      <c r="K1248" s="7">
        <f t="shared" si="23"/>
        <v>21847.184204559999</v>
      </c>
      <c r="L1248" t="s">
        <v>237</v>
      </c>
    </row>
    <row r="1249" spans="1:12" x14ac:dyDescent="0.35">
      <c r="A1249" s="13">
        <v>45894</v>
      </c>
      <c r="B1249" t="s">
        <v>48</v>
      </c>
      <c r="C1249" t="s">
        <v>248</v>
      </c>
      <c r="E1249" s="8">
        <v>2</v>
      </c>
      <c r="F1249" s="1">
        <v>824.34</v>
      </c>
      <c r="H1249">
        <v>1.21</v>
      </c>
      <c r="J1249" s="2">
        <f>+DATAIN_COMPRAS__2[[#This Row],[$/ UN NETO]]*DATAIN_COMPRAS__2[[#This Row],[IVA]]</f>
        <v>997.45140000000004</v>
      </c>
      <c r="K1249" s="7">
        <f t="shared" si="23"/>
        <v>1994.9028000000001</v>
      </c>
      <c r="L1249" t="s">
        <v>237</v>
      </c>
    </row>
    <row r="1250" spans="1:12" x14ac:dyDescent="0.35">
      <c r="A1250" s="13">
        <v>45894</v>
      </c>
      <c r="B1250" t="s">
        <v>48</v>
      </c>
      <c r="C1250" t="s">
        <v>54</v>
      </c>
      <c r="E1250" s="8">
        <v>2</v>
      </c>
      <c r="F1250" s="1">
        <v>833.14210000000003</v>
      </c>
      <c r="H1250">
        <v>1.21</v>
      </c>
      <c r="I1250">
        <v>0.06</v>
      </c>
      <c r="J1250" s="2">
        <f>+DATAIN_COMPRAS__2[[#This Row],[$/ UN NETO]]*DATAIN_COMPRAS__2[[#This Row],[IVA]]</f>
        <v>1008.101941</v>
      </c>
      <c r="K1250" s="7">
        <f t="shared" si="23"/>
        <v>1895.2316490799999</v>
      </c>
      <c r="L1250" t="s">
        <v>237</v>
      </c>
    </row>
    <row r="1251" spans="1:12" x14ac:dyDescent="0.35">
      <c r="A1251" s="13">
        <v>45894</v>
      </c>
      <c r="B1251" t="s">
        <v>110</v>
      </c>
      <c r="C1251" t="s">
        <v>112</v>
      </c>
      <c r="E1251" s="8">
        <v>1</v>
      </c>
      <c r="F1251" s="1">
        <f>4200.19*2</f>
        <v>8400.3799999999992</v>
      </c>
      <c r="H1251">
        <v>1.21</v>
      </c>
      <c r="J1251" s="2">
        <f>+DATAIN_COMPRAS__2[[#This Row],[$/ UN NETO]]*DATAIN_COMPRAS__2[[#This Row],[IVA]]</f>
        <v>10164.459799999999</v>
      </c>
      <c r="K1251" s="7">
        <f t="shared" ref="K1251:K1282" si="24">(E1251*F1251)*(1-I1251)*(H1251)</f>
        <v>10164.459799999999</v>
      </c>
      <c r="L1251" t="s">
        <v>158</v>
      </c>
    </row>
    <row r="1252" spans="1:12" x14ac:dyDescent="0.35">
      <c r="A1252" s="13">
        <v>45895</v>
      </c>
      <c r="B1252" t="s">
        <v>124</v>
      </c>
      <c r="C1252" t="s">
        <v>125</v>
      </c>
      <c r="E1252" s="8">
        <v>6</v>
      </c>
      <c r="F1252" s="1">
        <v>41000</v>
      </c>
      <c r="H1252">
        <v>1</v>
      </c>
      <c r="J1252" s="2">
        <f>+DATAIN_COMPRAS__2[[#This Row],[$/ UN NETO]]*DATAIN_COMPRAS__2[[#This Row],[IVA]]</f>
        <v>41000</v>
      </c>
      <c r="K1252" s="7">
        <f t="shared" si="24"/>
        <v>246000</v>
      </c>
      <c r="L1252" t="s">
        <v>237</v>
      </c>
    </row>
    <row r="1253" spans="1:12" x14ac:dyDescent="0.35">
      <c r="A1253" s="13">
        <v>45895</v>
      </c>
      <c r="B1253" t="s">
        <v>124</v>
      </c>
      <c r="C1253" t="s">
        <v>126</v>
      </c>
      <c r="E1253" s="8">
        <v>0.75</v>
      </c>
      <c r="F1253" s="1">
        <f>+(19000*3)/DATAIN_COMPRAS__2[[#This Row],[CANT]]</f>
        <v>76000</v>
      </c>
      <c r="H1253">
        <v>1</v>
      </c>
      <c r="J1253" s="2">
        <f>+DATAIN_COMPRAS__2[[#This Row],[$/ UN NETO]]*DATAIN_COMPRAS__2[[#This Row],[IVA]]</f>
        <v>76000</v>
      </c>
      <c r="K1253" s="7">
        <f t="shared" si="24"/>
        <v>57000</v>
      </c>
      <c r="L1253" t="s">
        <v>237</v>
      </c>
    </row>
    <row r="1254" spans="1:12" x14ac:dyDescent="0.35">
      <c r="A1254" s="13">
        <v>45895</v>
      </c>
      <c r="B1254" t="s">
        <v>80</v>
      </c>
      <c r="C1254" t="s">
        <v>96</v>
      </c>
      <c r="E1254" s="8">
        <v>40</v>
      </c>
      <c r="F1254" s="1">
        <v>90.91</v>
      </c>
      <c r="H1254">
        <v>1.21</v>
      </c>
      <c r="J1254" s="2">
        <f>+DATAIN_COMPRAS__2[[#This Row],[$/ UN NETO]]*DATAIN_COMPRAS__2[[#This Row],[IVA]]</f>
        <v>110.00109999999999</v>
      </c>
      <c r="K1254" s="7">
        <f t="shared" si="24"/>
        <v>4400.0439999999999</v>
      </c>
      <c r="L1254" t="s">
        <v>237</v>
      </c>
    </row>
    <row r="1255" spans="1:12" x14ac:dyDescent="0.35">
      <c r="A1255" s="13">
        <v>45895</v>
      </c>
      <c r="B1255" t="s">
        <v>80</v>
      </c>
      <c r="C1255" t="s">
        <v>86</v>
      </c>
      <c r="E1255" s="8">
        <v>20</v>
      </c>
      <c r="F1255" s="1">
        <v>164.1</v>
      </c>
      <c r="H1255">
        <v>1.21</v>
      </c>
      <c r="J1255" s="2">
        <f>+DATAIN_COMPRAS__2[[#This Row],[$/ UN NETO]]*DATAIN_COMPRAS__2[[#This Row],[IVA]]</f>
        <v>198.56099999999998</v>
      </c>
      <c r="K1255" s="7">
        <f t="shared" si="24"/>
        <v>3971.22</v>
      </c>
      <c r="L1255" t="s">
        <v>237</v>
      </c>
    </row>
    <row r="1256" spans="1:12" x14ac:dyDescent="0.35">
      <c r="A1256" s="13">
        <v>45895</v>
      </c>
      <c r="B1256" t="s">
        <v>80</v>
      </c>
      <c r="C1256" t="s">
        <v>97</v>
      </c>
      <c r="E1256" s="8">
        <v>0</v>
      </c>
      <c r="F1256" s="1"/>
      <c r="H1256">
        <v>1.21</v>
      </c>
      <c r="J1256" s="2">
        <f>+DATAIN_COMPRAS__2[[#This Row],[$/ UN NETO]]*DATAIN_COMPRAS__2[[#This Row],[IVA]]</f>
        <v>0</v>
      </c>
      <c r="K1256" s="7">
        <f t="shared" si="24"/>
        <v>0</v>
      </c>
      <c r="L1256" t="s">
        <v>237</v>
      </c>
    </row>
    <row r="1257" spans="1:12" x14ac:dyDescent="0.35">
      <c r="A1257" s="13">
        <v>45895</v>
      </c>
      <c r="B1257" t="s">
        <v>80</v>
      </c>
      <c r="C1257" t="s">
        <v>89</v>
      </c>
      <c r="E1257" s="8">
        <v>2</v>
      </c>
      <c r="F1257" s="1">
        <v>702.48</v>
      </c>
      <c r="H1257">
        <v>1.21</v>
      </c>
      <c r="J1257" s="2">
        <f>+DATAIN_COMPRAS__2[[#This Row],[$/ UN NETO]]*DATAIN_COMPRAS__2[[#This Row],[IVA]]</f>
        <v>850.00080000000003</v>
      </c>
      <c r="K1257" s="7">
        <f t="shared" si="24"/>
        <v>1700.0016000000001</v>
      </c>
      <c r="L1257" t="s">
        <v>237</v>
      </c>
    </row>
    <row r="1258" spans="1:12" x14ac:dyDescent="0.35">
      <c r="A1258" s="13">
        <v>45895</v>
      </c>
      <c r="B1258" t="s">
        <v>80</v>
      </c>
      <c r="C1258" t="s">
        <v>282</v>
      </c>
      <c r="E1258" s="8">
        <v>40</v>
      </c>
      <c r="F1258" s="1">
        <v>49.59</v>
      </c>
      <c r="H1258">
        <v>1.21</v>
      </c>
      <c r="J1258" s="2">
        <f>+DATAIN_COMPRAS__2[[#This Row],[$/ UN NETO]]*DATAIN_COMPRAS__2[[#This Row],[IVA]]</f>
        <v>60.003900000000002</v>
      </c>
      <c r="K1258" s="7">
        <f t="shared" si="24"/>
        <v>2400.1559999999999</v>
      </c>
      <c r="L1258" t="s">
        <v>237</v>
      </c>
    </row>
    <row r="1259" spans="1:12" x14ac:dyDescent="0.35">
      <c r="A1259" s="13">
        <v>45895</v>
      </c>
      <c r="B1259" t="s">
        <v>80</v>
      </c>
      <c r="C1259" t="s">
        <v>90</v>
      </c>
      <c r="E1259" s="8">
        <v>1</v>
      </c>
      <c r="F1259" s="1">
        <v>8925.6200000000008</v>
      </c>
      <c r="H1259">
        <v>1.21</v>
      </c>
      <c r="J1259" s="2">
        <f>+DATAIN_COMPRAS__2[[#This Row],[$/ UN NETO]]*DATAIN_COMPRAS__2[[#This Row],[IVA]]</f>
        <v>10800.0002</v>
      </c>
      <c r="K1259" s="7">
        <f t="shared" si="24"/>
        <v>10800.0002</v>
      </c>
      <c r="L1259" t="s">
        <v>237</v>
      </c>
    </row>
    <row r="1260" spans="1:12" x14ac:dyDescent="0.35">
      <c r="A1260" s="13">
        <v>45895</v>
      </c>
      <c r="B1260" t="s">
        <v>80</v>
      </c>
      <c r="C1260" t="s">
        <v>98</v>
      </c>
      <c r="E1260" s="8">
        <v>1</v>
      </c>
      <c r="F1260" s="1">
        <v>6859.5</v>
      </c>
      <c r="H1260">
        <v>1.21</v>
      </c>
      <c r="J1260" s="2">
        <f>+DATAIN_COMPRAS__2[[#This Row],[$/ UN NETO]]*DATAIN_COMPRAS__2[[#This Row],[IVA]]</f>
        <v>8299.994999999999</v>
      </c>
      <c r="K1260" s="7">
        <f t="shared" si="24"/>
        <v>8299.994999999999</v>
      </c>
      <c r="L1260" t="s">
        <v>237</v>
      </c>
    </row>
    <row r="1261" spans="1:12" x14ac:dyDescent="0.35">
      <c r="A1261" s="13">
        <v>45895</v>
      </c>
      <c r="B1261" t="s">
        <v>12</v>
      </c>
      <c r="C1261" t="s">
        <v>26</v>
      </c>
      <c r="E1261" s="8">
        <v>3</v>
      </c>
      <c r="F1261" s="1">
        <f>1700/DATAIN_COMPRAS__2[[#This Row],[IVA]]</f>
        <v>1538.4615384615386</v>
      </c>
      <c r="H1261">
        <v>1.105</v>
      </c>
      <c r="J1261" s="2">
        <f>+DATAIN_COMPRAS__2[[#This Row],[$/ UN NETO]]*DATAIN_COMPRAS__2[[#This Row],[IVA]]</f>
        <v>1700</v>
      </c>
      <c r="K1261" s="7">
        <f t="shared" si="24"/>
        <v>5100</v>
      </c>
      <c r="L1261" t="s">
        <v>237</v>
      </c>
    </row>
    <row r="1262" spans="1:12" x14ac:dyDescent="0.35">
      <c r="A1262" s="13">
        <v>45895</v>
      </c>
      <c r="B1262" t="s">
        <v>12</v>
      </c>
      <c r="C1262" t="s">
        <v>41</v>
      </c>
      <c r="E1262" s="8">
        <v>0.56999999999999995</v>
      </c>
      <c r="F1262" s="1">
        <f>1400/DATAIN_COMPRAS__2[[#This Row],[CANT]]</f>
        <v>2456.1403508771932</v>
      </c>
      <c r="H1262">
        <v>1</v>
      </c>
      <c r="J1262" s="2">
        <f>+DATAIN_COMPRAS__2[[#This Row],[$/ UN NETO]]*DATAIN_COMPRAS__2[[#This Row],[IVA]]</f>
        <v>2456.1403508771932</v>
      </c>
      <c r="K1262" s="7">
        <f t="shared" si="24"/>
        <v>1400</v>
      </c>
      <c r="L1262" t="s">
        <v>237</v>
      </c>
    </row>
    <row r="1263" spans="1:12" x14ac:dyDescent="0.35">
      <c r="A1263" s="13">
        <v>45895</v>
      </c>
      <c r="B1263" t="s">
        <v>12</v>
      </c>
      <c r="C1263" t="s">
        <v>332</v>
      </c>
      <c r="E1263" s="8">
        <v>2</v>
      </c>
      <c r="F1263" s="1">
        <v>1800</v>
      </c>
      <c r="H1263">
        <v>1</v>
      </c>
      <c r="J1263" s="2">
        <f>+DATAIN_COMPRAS__2[[#This Row],[$/ UN NETO]]*DATAIN_COMPRAS__2[[#This Row],[IVA]]</f>
        <v>1800</v>
      </c>
      <c r="K1263" s="7">
        <f t="shared" si="24"/>
        <v>3600</v>
      </c>
      <c r="L1263" t="s">
        <v>158</v>
      </c>
    </row>
    <row r="1264" spans="1:12" x14ac:dyDescent="0.35">
      <c r="A1264" s="13">
        <v>45895</v>
      </c>
      <c r="B1264" t="s">
        <v>12</v>
      </c>
      <c r="C1264" t="s">
        <v>28</v>
      </c>
      <c r="E1264" s="8">
        <v>0.27500000000000002</v>
      </c>
      <c r="F1264" s="1">
        <f>3000/DATAIN_COMPRAS__2[[#This Row],[CANT]]</f>
        <v>10909.090909090908</v>
      </c>
      <c r="H1264">
        <v>1</v>
      </c>
      <c r="J1264" s="2">
        <f>+DATAIN_COMPRAS__2[[#This Row],[$/ UN NETO]]*DATAIN_COMPRAS__2[[#This Row],[IVA]]</f>
        <v>10909.090909090908</v>
      </c>
      <c r="K1264" s="7">
        <f t="shared" si="24"/>
        <v>3000</v>
      </c>
      <c r="L1264" t="s">
        <v>237</v>
      </c>
    </row>
    <row r="1265" spans="1:12" x14ac:dyDescent="0.35">
      <c r="A1265" s="13">
        <v>45895</v>
      </c>
      <c r="B1265" t="s">
        <v>158</v>
      </c>
      <c r="C1265" s="14" t="s">
        <v>152</v>
      </c>
      <c r="E1265" s="8">
        <v>1</v>
      </c>
      <c r="F1265" s="1">
        <v>0</v>
      </c>
      <c r="H1265">
        <v>1</v>
      </c>
      <c r="J1265" s="2">
        <f>+DATAIN_COMPRAS__2[[#This Row],[$/ UN NETO]]*DATAIN_COMPRAS__2[[#This Row],[IVA]]</f>
        <v>0</v>
      </c>
      <c r="K1265" s="7">
        <f t="shared" si="24"/>
        <v>0</v>
      </c>
      <c r="L1265" t="s">
        <v>255</v>
      </c>
    </row>
    <row r="1266" spans="1:12" x14ac:dyDescent="0.35">
      <c r="A1266" s="13">
        <v>45895</v>
      </c>
      <c r="B1266" t="s">
        <v>75</v>
      </c>
      <c r="C1266" t="s">
        <v>76</v>
      </c>
      <c r="E1266" s="8">
        <v>96</v>
      </c>
      <c r="F1266" s="1">
        <v>1157.1600000000001</v>
      </c>
      <c r="H1266">
        <v>1.21</v>
      </c>
      <c r="J1266" s="2">
        <f>+DATAIN_COMPRAS__2[[#This Row],[$/ UN NETO]]*DATAIN_COMPRAS__2[[#This Row],[IVA]]</f>
        <v>1400.1636000000001</v>
      </c>
      <c r="K1266" s="7">
        <f t="shared" si="24"/>
        <v>134415.70560000002</v>
      </c>
      <c r="L1266" t="s">
        <v>237</v>
      </c>
    </row>
    <row r="1267" spans="1:12" x14ac:dyDescent="0.35">
      <c r="A1267" s="13">
        <v>45896</v>
      </c>
      <c r="B1267" t="s">
        <v>256</v>
      </c>
      <c r="C1267" t="s">
        <v>258</v>
      </c>
      <c r="E1267" s="8">
        <v>4</v>
      </c>
      <c r="F1267" s="1">
        <v>9269.44</v>
      </c>
      <c r="H1267">
        <v>1.21</v>
      </c>
      <c r="J1267" s="2">
        <f>+DATAIN_COMPRAS__2[[#This Row],[$/ UN NETO]]*DATAIN_COMPRAS__2[[#This Row],[IVA]]</f>
        <v>11216.0224</v>
      </c>
      <c r="K1267" s="7">
        <f t="shared" si="24"/>
        <v>44864.089599999999</v>
      </c>
      <c r="L1267" t="s">
        <v>237</v>
      </c>
    </row>
    <row r="1268" spans="1:12" x14ac:dyDescent="0.35">
      <c r="A1268" s="13">
        <v>45896</v>
      </c>
      <c r="B1268" t="s">
        <v>256</v>
      </c>
      <c r="C1268" t="s">
        <v>259</v>
      </c>
      <c r="E1268" s="8">
        <v>6</v>
      </c>
      <c r="F1268" s="1">
        <v>9581.0159999999996</v>
      </c>
      <c r="H1268">
        <v>1.21</v>
      </c>
      <c r="J1268" s="2">
        <f>+DATAIN_COMPRAS__2[[#This Row],[$/ UN NETO]]*DATAIN_COMPRAS__2[[#This Row],[IVA]]</f>
        <v>11593.029359999999</v>
      </c>
      <c r="K1268" s="7">
        <f t="shared" si="24"/>
        <v>69558.176159999988</v>
      </c>
      <c r="L1268" t="s">
        <v>237</v>
      </c>
    </row>
    <row r="1269" spans="1:12" x14ac:dyDescent="0.35">
      <c r="A1269" s="13">
        <v>45898</v>
      </c>
      <c r="B1269" t="s">
        <v>309</v>
      </c>
      <c r="C1269" t="s">
        <v>103</v>
      </c>
      <c r="E1269" s="8">
        <v>360</v>
      </c>
      <c r="F1269" s="1">
        <f>66000/360</f>
        <v>183.33333333333334</v>
      </c>
      <c r="H1269">
        <v>1</v>
      </c>
      <c r="J1269" s="2">
        <f>+DATAIN_COMPRAS__2[[#This Row],[$/ UN NETO]]*DATAIN_COMPRAS__2[[#This Row],[IVA]]</f>
        <v>183.33333333333334</v>
      </c>
      <c r="K1269" s="7">
        <f t="shared" si="24"/>
        <v>66000</v>
      </c>
      <c r="L1269" t="s">
        <v>237</v>
      </c>
    </row>
    <row r="1270" spans="1:12" x14ac:dyDescent="0.35">
      <c r="A1270" s="13">
        <v>45898</v>
      </c>
      <c r="B1270" t="s">
        <v>309</v>
      </c>
      <c r="C1270" t="s">
        <v>331</v>
      </c>
      <c r="E1270" s="8">
        <v>7</v>
      </c>
      <c r="F1270" s="1">
        <v>928.57142857142856</v>
      </c>
      <c r="H1270">
        <v>1</v>
      </c>
      <c r="J1270" s="2">
        <f>+DATAIN_COMPRAS__2[[#This Row],[$/ UN NETO]]*DATAIN_COMPRAS__2[[#This Row],[IVA]]</f>
        <v>928.57142857142856</v>
      </c>
      <c r="K1270" s="7">
        <f t="shared" si="24"/>
        <v>6500</v>
      </c>
      <c r="L1270" t="s">
        <v>237</v>
      </c>
    </row>
    <row r="1271" spans="1:12" x14ac:dyDescent="0.35">
      <c r="A1271" s="13">
        <v>45898</v>
      </c>
      <c r="B1271" t="s">
        <v>309</v>
      </c>
      <c r="C1271" t="s">
        <v>331</v>
      </c>
      <c r="E1271" s="8">
        <v>7</v>
      </c>
      <c r="F1271" s="1">
        <v>928.57142857142856</v>
      </c>
      <c r="H1271">
        <v>1</v>
      </c>
      <c r="J1271" s="2">
        <f>+DATAIN_COMPRAS__2[[#This Row],[$/ UN NETO]]*DATAIN_COMPRAS__2[[#This Row],[IVA]]</f>
        <v>928.57142857142856</v>
      </c>
      <c r="K1271" s="7">
        <f t="shared" si="24"/>
        <v>6500</v>
      </c>
      <c r="L1271" t="s">
        <v>158</v>
      </c>
    </row>
    <row r="1272" spans="1:12" x14ac:dyDescent="0.35">
      <c r="A1272" s="13">
        <v>45898</v>
      </c>
      <c r="B1272" t="s">
        <v>309</v>
      </c>
      <c r="C1272" t="s">
        <v>32</v>
      </c>
      <c r="E1272" s="8">
        <v>28</v>
      </c>
      <c r="F1272" s="1">
        <v>1000</v>
      </c>
      <c r="H1272">
        <v>1</v>
      </c>
      <c r="J1272" s="2">
        <f>+DATAIN_COMPRAS__2[[#This Row],[$/ UN NETO]]*DATAIN_COMPRAS__2[[#This Row],[IVA]]</f>
        <v>1000</v>
      </c>
      <c r="K1272" s="7">
        <f t="shared" si="24"/>
        <v>28000</v>
      </c>
      <c r="L1272" t="s">
        <v>237</v>
      </c>
    </row>
    <row r="1273" spans="1:12" x14ac:dyDescent="0.35">
      <c r="A1273" s="13">
        <v>45898</v>
      </c>
      <c r="B1273" t="s">
        <v>309</v>
      </c>
      <c r="C1273" t="s">
        <v>19</v>
      </c>
      <c r="E1273" s="8">
        <v>11</v>
      </c>
      <c r="F1273" s="1">
        <f>68000/11</f>
        <v>6181.818181818182</v>
      </c>
      <c r="H1273">
        <v>1</v>
      </c>
      <c r="J1273" s="2">
        <f>+DATAIN_COMPRAS__2[[#This Row],[$/ UN NETO]]*DATAIN_COMPRAS__2[[#This Row],[IVA]]</f>
        <v>6181.818181818182</v>
      </c>
      <c r="K1273" s="7">
        <f t="shared" si="24"/>
        <v>68000</v>
      </c>
      <c r="L1273" t="s">
        <v>237</v>
      </c>
    </row>
    <row r="1274" spans="1:12" x14ac:dyDescent="0.35">
      <c r="A1274" s="13">
        <v>45898</v>
      </c>
      <c r="B1274" t="s">
        <v>309</v>
      </c>
      <c r="C1274" t="s">
        <v>18</v>
      </c>
      <c r="E1274" s="8">
        <v>5</v>
      </c>
      <c r="F1274" s="1">
        <v>4000</v>
      </c>
      <c r="H1274">
        <v>1</v>
      </c>
      <c r="J1274" s="2">
        <f>+DATAIN_COMPRAS__2[[#This Row],[$/ UN NETO]]*DATAIN_COMPRAS__2[[#This Row],[IVA]]</f>
        <v>4000</v>
      </c>
      <c r="K1274" s="7">
        <f t="shared" si="24"/>
        <v>20000</v>
      </c>
      <c r="L1274" t="s">
        <v>237</v>
      </c>
    </row>
    <row r="1275" spans="1:12" x14ac:dyDescent="0.35">
      <c r="A1275" s="13">
        <v>45898</v>
      </c>
      <c r="B1275" t="s">
        <v>104</v>
      </c>
      <c r="C1275" t="s">
        <v>108</v>
      </c>
      <c r="E1275" s="8">
        <v>1</v>
      </c>
      <c r="F1275" s="1">
        <v>8700</v>
      </c>
      <c r="H1275">
        <v>1</v>
      </c>
      <c r="J1275" s="2">
        <f>+DATAIN_COMPRAS__2[[#This Row],[$/ UN NETO]]*DATAIN_COMPRAS__2[[#This Row],[IVA]]</f>
        <v>8700</v>
      </c>
      <c r="K1275" s="7">
        <f t="shared" si="24"/>
        <v>8700</v>
      </c>
      <c r="L1275" t="s">
        <v>158</v>
      </c>
    </row>
    <row r="1276" spans="1:12" x14ac:dyDescent="0.35">
      <c r="A1276" s="13">
        <v>45898</v>
      </c>
      <c r="B1276" t="s">
        <v>104</v>
      </c>
      <c r="C1276" t="s">
        <v>105</v>
      </c>
      <c r="E1276" s="8">
        <v>1</v>
      </c>
      <c r="F1276" s="1">
        <v>10710</v>
      </c>
      <c r="H1276">
        <v>1</v>
      </c>
      <c r="J1276" s="2">
        <f>+DATAIN_COMPRAS__2[[#This Row],[$/ UN NETO]]*DATAIN_COMPRAS__2[[#This Row],[IVA]]</f>
        <v>10710</v>
      </c>
      <c r="K1276" s="7">
        <f t="shared" si="24"/>
        <v>10710</v>
      </c>
      <c r="L1276" t="s">
        <v>158</v>
      </c>
    </row>
    <row r="1277" spans="1:12" x14ac:dyDescent="0.35">
      <c r="A1277" s="13">
        <v>45898</v>
      </c>
      <c r="B1277" t="s">
        <v>12</v>
      </c>
      <c r="C1277" t="s">
        <v>19</v>
      </c>
      <c r="E1277" s="8">
        <v>0.87</v>
      </c>
      <c r="F1277" s="1">
        <f>6600/DATAIN_COMPRAS__2[[#This Row],[IVA]]</f>
        <v>5972.8506787330316</v>
      </c>
      <c r="H1277">
        <v>1.105</v>
      </c>
      <c r="J1277" s="2">
        <f>+DATAIN_COMPRAS__2[[#This Row],[$/ UN NETO]]*DATAIN_COMPRAS__2[[#This Row],[IVA]]</f>
        <v>6600</v>
      </c>
      <c r="K1277" s="7">
        <f t="shared" si="24"/>
        <v>5742</v>
      </c>
      <c r="L1277" t="s">
        <v>237</v>
      </c>
    </row>
    <row r="1278" spans="1:12" x14ac:dyDescent="0.35">
      <c r="A1278" s="13">
        <v>45898</v>
      </c>
      <c r="B1278" t="s">
        <v>12</v>
      </c>
      <c r="C1278" t="s">
        <v>18</v>
      </c>
      <c r="E1278" s="8">
        <v>1</v>
      </c>
      <c r="F1278" s="1">
        <f>5800/DATAIN_COMPRAS__2[[#This Row],[IVA]]</f>
        <v>5248.8687782805428</v>
      </c>
      <c r="H1278">
        <v>1.105</v>
      </c>
      <c r="J1278" s="2">
        <f>+DATAIN_COMPRAS__2[[#This Row],[$/ UN NETO]]*DATAIN_COMPRAS__2[[#This Row],[IVA]]</f>
        <v>5800</v>
      </c>
      <c r="K1278" s="7">
        <f t="shared" si="24"/>
        <v>5800</v>
      </c>
      <c r="L1278" t="s">
        <v>237</v>
      </c>
    </row>
    <row r="1279" spans="1:12" x14ac:dyDescent="0.35">
      <c r="A1279" s="13">
        <v>45899</v>
      </c>
      <c r="B1279" t="s">
        <v>80</v>
      </c>
      <c r="C1279" t="s">
        <v>88</v>
      </c>
      <c r="E1279" s="8">
        <v>100</v>
      </c>
      <c r="F1279" s="1">
        <f>1652.89/100</f>
        <v>16.5289</v>
      </c>
      <c r="H1279">
        <v>1.21</v>
      </c>
      <c r="J1279" s="2">
        <f>+DATAIN_COMPRAS__2[[#This Row],[$/ UN NETO]]*DATAIN_COMPRAS__2[[#This Row],[IVA]]</f>
        <v>19.999969</v>
      </c>
      <c r="K1279" s="7">
        <f t="shared" si="24"/>
        <v>1999.9969000000001</v>
      </c>
      <c r="L1279" t="s">
        <v>237</v>
      </c>
    </row>
    <row r="1280" spans="1:12" x14ac:dyDescent="0.35">
      <c r="A1280" s="13">
        <v>45899</v>
      </c>
      <c r="B1280" t="s">
        <v>80</v>
      </c>
      <c r="C1280" t="s">
        <v>97</v>
      </c>
      <c r="E1280" s="8">
        <v>19</v>
      </c>
      <c r="F1280" s="1">
        <v>330.58</v>
      </c>
      <c r="H1280">
        <v>1.21</v>
      </c>
      <c r="J1280" s="2">
        <f>+DATAIN_COMPRAS__2[[#This Row],[$/ UN NETO]]*DATAIN_COMPRAS__2[[#This Row],[IVA]]</f>
        <v>400.00179999999995</v>
      </c>
      <c r="K1280" s="7">
        <f t="shared" si="24"/>
        <v>7600.0341999999991</v>
      </c>
      <c r="L1280" t="s">
        <v>237</v>
      </c>
    </row>
    <row r="1281" spans="1:12" x14ac:dyDescent="0.35">
      <c r="A1281" s="13">
        <v>45899</v>
      </c>
      <c r="B1281" t="s">
        <v>154</v>
      </c>
      <c r="C1281" t="s">
        <v>157</v>
      </c>
      <c r="E1281" s="8">
        <v>24</v>
      </c>
      <c r="F1281" s="1">
        <v>599.17359999999996</v>
      </c>
      <c r="H1281">
        <v>1.21</v>
      </c>
      <c r="J1281" s="2">
        <f>+DATAIN_COMPRAS__2[[#This Row],[$/ UN NETO]]*DATAIN_COMPRAS__2[[#This Row],[IVA]]</f>
        <v>725.00005599999997</v>
      </c>
      <c r="K1281" s="7">
        <f t="shared" si="24"/>
        <v>17400.001343999997</v>
      </c>
      <c r="L1281" t="s">
        <v>237</v>
      </c>
    </row>
    <row r="1282" spans="1:12" x14ac:dyDescent="0.35">
      <c r="A1282" s="13">
        <v>45899</v>
      </c>
      <c r="B1282" t="s">
        <v>154</v>
      </c>
      <c r="C1282" t="s">
        <v>156</v>
      </c>
      <c r="E1282" s="8">
        <v>24.5</v>
      </c>
      <c r="F1282" s="1">
        <v>544.07439999999997</v>
      </c>
      <c r="H1282">
        <v>1.21</v>
      </c>
      <c r="J1282" s="2">
        <f>+DATAIN_COMPRAS__2[[#This Row],[$/ UN NETO]]*DATAIN_COMPRAS__2[[#This Row],[IVA]]</f>
        <v>658.33002399999998</v>
      </c>
      <c r="K1282" s="7">
        <f t="shared" si="24"/>
        <v>16129.085588</v>
      </c>
      <c r="L1282" t="s">
        <v>237</v>
      </c>
    </row>
    <row r="1283" spans="1:12" x14ac:dyDescent="0.35">
      <c r="A1283" s="13">
        <v>45901</v>
      </c>
      <c r="B1283" t="s">
        <v>796</v>
      </c>
      <c r="C1283" t="s">
        <v>825</v>
      </c>
      <c r="E1283" s="8"/>
      <c r="F1283" s="1"/>
      <c r="J1283" s="2"/>
      <c r="K1283">
        <v>75771.47</v>
      </c>
      <c r="L1283" t="s">
        <v>237</v>
      </c>
    </row>
    <row r="1284" spans="1:12" x14ac:dyDescent="0.35">
      <c r="A1284" s="13">
        <v>45901</v>
      </c>
      <c r="B1284" t="s">
        <v>48</v>
      </c>
      <c r="C1284" t="s">
        <v>261</v>
      </c>
      <c r="E1284" s="8">
        <v>10</v>
      </c>
      <c r="F1284" s="1">
        <f>20930.5785/10</f>
        <v>2093.0578500000001</v>
      </c>
      <c r="H1284">
        <v>1.21</v>
      </c>
      <c r="I1284">
        <v>0.06</v>
      </c>
      <c r="J1284" s="2">
        <f>+DATAIN_COMPRAS__2[[#This Row],[$/ UN NETO]]*DATAIN_COMPRAS__2[[#This Row],[IVA]]</f>
        <v>2532.5999985000003</v>
      </c>
      <c r="K1284" s="7">
        <f t="shared" ref="K1284:K1298" si="25">(E1284*F1284)*(1-I1284)*(H1284)</f>
        <v>23806.4399859</v>
      </c>
      <c r="L1284" t="s">
        <v>237</v>
      </c>
    </row>
    <row r="1285" spans="1:12" x14ac:dyDescent="0.35">
      <c r="A1285" s="13">
        <v>45901</v>
      </c>
      <c r="B1285" t="s">
        <v>48</v>
      </c>
      <c r="C1285" t="s">
        <v>116</v>
      </c>
      <c r="E1285" s="8">
        <v>10</v>
      </c>
      <c r="F1285" s="1">
        <v>677.76859999999999</v>
      </c>
      <c r="H1285">
        <v>1.21</v>
      </c>
      <c r="I1285">
        <v>0.06</v>
      </c>
      <c r="J1285" s="2">
        <f>+DATAIN_COMPRAS__2[[#This Row],[$/ UN NETO]]*DATAIN_COMPRAS__2[[#This Row],[IVA]]</f>
        <v>820.10000600000001</v>
      </c>
      <c r="K1285" s="7">
        <f t="shared" si="25"/>
        <v>7708.9400563999989</v>
      </c>
      <c r="L1285" t="s">
        <v>237</v>
      </c>
    </row>
    <row r="1286" spans="1:12" x14ac:dyDescent="0.35">
      <c r="A1286" s="13">
        <v>45901</v>
      </c>
      <c r="B1286" t="s">
        <v>48</v>
      </c>
      <c r="C1286" t="s">
        <v>61</v>
      </c>
      <c r="E1286" s="8">
        <v>2</v>
      </c>
      <c r="F1286" s="1">
        <v>1123.6482000000001</v>
      </c>
      <c r="H1286">
        <v>1.21</v>
      </c>
      <c r="I1286">
        <v>0.06</v>
      </c>
      <c r="J1286" s="2">
        <f>+DATAIN_COMPRAS__2[[#This Row],[$/ UN NETO]]*DATAIN_COMPRAS__2[[#This Row],[IVA]]</f>
        <v>1359.6143220000001</v>
      </c>
      <c r="K1286" s="7">
        <f t="shared" si="25"/>
        <v>2556.0749253599997</v>
      </c>
      <c r="L1286" t="s">
        <v>237</v>
      </c>
    </row>
    <row r="1287" spans="1:12" x14ac:dyDescent="0.35">
      <c r="A1287" s="13">
        <v>45901</v>
      </c>
      <c r="B1287" t="s">
        <v>48</v>
      </c>
      <c r="C1287" t="s">
        <v>79</v>
      </c>
      <c r="E1287" s="8">
        <v>1</v>
      </c>
      <c r="F1287" s="1">
        <v>5191.0487999999996</v>
      </c>
      <c r="H1287">
        <v>1.21</v>
      </c>
      <c r="I1287">
        <v>0.06</v>
      </c>
      <c r="J1287" s="2">
        <f>+DATAIN_COMPRAS__2[[#This Row],[$/ UN NETO]]*DATAIN_COMPRAS__2[[#This Row],[IVA]]</f>
        <v>6281.1690479999997</v>
      </c>
      <c r="K1287" s="7">
        <f t="shared" si="25"/>
        <v>5904.2989051199993</v>
      </c>
      <c r="L1287" t="s">
        <v>237</v>
      </c>
    </row>
    <row r="1288" spans="1:12" x14ac:dyDescent="0.35">
      <c r="A1288" s="13">
        <v>45901</v>
      </c>
      <c r="B1288" t="s">
        <v>48</v>
      </c>
      <c r="C1288" t="s">
        <v>321</v>
      </c>
      <c r="E1288" s="8">
        <v>2</v>
      </c>
      <c r="F1288" s="1">
        <v>3138.8701000000001</v>
      </c>
      <c r="H1288">
        <v>1.21</v>
      </c>
      <c r="I1288">
        <v>0.06</v>
      </c>
      <c r="J1288" s="2">
        <f>+DATAIN_COMPRAS__2[[#This Row],[$/ UN NETO]]*DATAIN_COMPRAS__2[[#This Row],[IVA]]</f>
        <v>3798.0328209999998</v>
      </c>
      <c r="K1288" s="7">
        <f t="shared" si="25"/>
        <v>7140.3017034799996</v>
      </c>
      <c r="L1288" t="s">
        <v>158</v>
      </c>
    </row>
    <row r="1289" spans="1:12" x14ac:dyDescent="0.35">
      <c r="A1289" s="13">
        <v>45901</v>
      </c>
      <c r="B1289" t="s">
        <v>48</v>
      </c>
      <c r="C1289" t="s">
        <v>53</v>
      </c>
      <c r="E1289" s="8">
        <v>2</v>
      </c>
      <c r="F1289" s="1">
        <v>1098.24</v>
      </c>
      <c r="H1289">
        <v>1.21</v>
      </c>
      <c r="J1289" s="2">
        <f>+DATAIN_COMPRAS__2[[#This Row],[$/ UN NETO]]*DATAIN_COMPRAS__2[[#This Row],[IVA]]</f>
        <v>1328.8704</v>
      </c>
      <c r="K1289" s="7">
        <f t="shared" si="25"/>
        <v>2657.7408</v>
      </c>
      <c r="L1289" t="s">
        <v>237</v>
      </c>
    </row>
    <row r="1290" spans="1:12" x14ac:dyDescent="0.35">
      <c r="A1290" s="13">
        <v>45901</v>
      </c>
      <c r="B1290" t="s">
        <v>48</v>
      </c>
      <c r="C1290" t="s">
        <v>833</v>
      </c>
      <c r="E1290" s="8">
        <v>7</v>
      </c>
      <c r="F1290" s="1">
        <f>19208.0044/3.5</f>
        <v>5488.0012571428579</v>
      </c>
      <c r="H1290">
        <v>1.21</v>
      </c>
      <c r="I1290">
        <v>0.06</v>
      </c>
      <c r="J1290" s="2">
        <f>+DATAIN_COMPRAS__2[[#This Row],[$/ UN NETO]]*DATAIN_COMPRAS__2[[#This Row],[IVA]]</f>
        <v>6640.4815211428577</v>
      </c>
      <c r="K1290" s="7">
        <f t="shared" si="25"/>
        <v>43694.368409119998</v>
      </c>
      <c r="L1290" t="s">
        <v>237</v>
      </c>
    </row>
    <row r="1291" spans="1:12" x14ac:dyDescent="0.35">
      <c r="A1291" s="13">
        <v>45901</v>
      </c>
      <c r="B1291" t="s">
        <v>48</v>
      </c>
      <c r="C1291" t="s">
        <v>56</v>
      </c>
      <c r="E1291" s="8">
        <v>4.22</v>
      </c>
      <c r="F1291" s="1">
        <v>5571.7842000000001</v>
      </c>
      <c r="H1291">
        <v>1.21</v>
      </c>
      <c r="I1291">
        <v>0.06</v>
      </c>
      <c r="J1291" s="2">
        <f>+DATAIN_COMPRAS__2[[#This Row],[$/ UN NETO]]*DATAIN_COMPRAS__2[[#This Row],[IVA]]</f>
        <v>6741.8588819999995</v>
      </c>
      <c r="K1291" s="7">
        <f t="shared" si="25"/>
        <v>26743.605813117596</v>
      </c>
      <c r="L1291" t="s">
        <v>237</v>
      </c>
    </row>
    <row r="1292" spans="1:12" x14ac:dyDescent="0.35">
      <c r="A1292" s="13">
        <v>45901</v>
      </c>
      <c r="B1292" t="s">
        <v>48</v>
      </c>
      <c r="C1292" t="s">
        <v>248</v>
      </c>
      <c r="E1292" s="8">
        <v>2</v>
      </c>
      <c r="F1292" s="1">
        <v>824.34</v>
      </c>
      <c r="H1292">
        <v>1.21</v>
      </c>
      <c r="J1292" s="2">
        <f>+DATAIN_COMPRAS__2[[#This Row],[$/ UN NETO]]*DATAIN_COMPRAS__2[[#This Row],[IVA]]</f>
        <v>997.45140000000004</v>
      </c>
      <c r="K1292" s="7">
        <f t="shared" si="25"/>
        <v>1994.9028000000001</v>
      </c>
      <c r="L1292" t="s">
        <v>237</v>
      </c>
    </row>
    <row r="1293" spans="1:12" x14ac:dyDescent="0.35">
      <c r="A1293" s="13">
        <v>45901</v>
      </c>
      <c r="B1293" t="s">
        <v>12</v>
      </c>
      <c r="C1293" t="s">
        <v>793</v>
      </c>
      <c r="E1293" s="8">
        <v>1</v>
      </c>
      <c r="F1293" s="1">
        <v>0</v>
      </c>
      <c r="H1293">
        <v>1</v>
      </c>
      <c r="J1293" s="2">
        <f>+DATAIN_COMPRAS__2[[#This Row],[$/ UN NETO]]*DATAIN_COMPRAS__2[[#This Row],[IVA]]</f>
        <v>0</v>
      </c>
      <c r="K1293" s="7">
        <f t="shared" si="25"/>
        <v>0</v>
      </c>
      <c r="L1293" t="s">
        <v>255</v>
      </c>
    </row>
    <row r="1294" spans="1:12" x14ac:dyDescent="0.35">
      <c r="A1294" s="13">
        <v>45902</v>
      </c>
      <c r="B1294" t="s">
        <v>359</v>
      </c>
      <c r="C1294" t="s">
        <v>357</v>
      </c>
      <c r="E1294" s="8">
        <v>1</v>
      </c>
      <c r="F1294" s="1">
        <v>3313.88</v>
      </c>
      <c r="H1294">
        <v>1.21</v>
      </c>
      <c r="J1294" s="2">
        <f>+DATAIN_COMPRAS__2[[#This Row],[$/ UN NETO]]*DATAIN_COMPRAS__2[[#This Row],[IVA]]</f>
        <v>4009.7948000000001</v>
      </c>
      <c r="K1294" s="7">
        <f t="shared" si="25"/>
        <v>4009.7948000000001</v>
      </c>
      <c r="L1294" t="s">
        <v>158</v>
      </c>
    </row>
    <row r="1295" spans="1:12" x14ac:dyDescent="0.35">
      <c r="A1295" s="13">
        <v>45902</v>
      </c>
      <c r="B1295" t="s">
        <v>75</v>
      </c>
      <c r="C1295" t="s">
        <v>77</v>
      </c>
      <c r="E1295" s="8">
        <v>12</v>
      </c>
      <c r="F1295" s="1">
        <v>1157.1600000000001</v>
      </c>
      <c r="H1295">
        <v>1.21</v>
      </c>
      <c r="J1295" s="2">
        <f>+DATAIN_COMPRAS__2[[#This Row],[$/ UN NETO]]*DATAIN_COMPRAS__2[[#This Row],[IVA]]</f>
        <v>1400.1636000000001</v>
      </c>
      <c r="K1295" s="7">
        <f t="shared" si="25"/>
        <v>16801.963200000002</v>
      </c>
      <c r="L1295" t="s">
        <v>237</v>
      </c>
    </row>
    <row r="1296" spans="1:12" x14ac:dyDescent="0.35">
      <c r="A1296" s="13">
        <v>45902</v>
      </c>
      <c r="B1296" t="s">
        <v>75</v>
      </c>
      <c r="C1296" t="s">
        <v>78</v>
      </c>
      <c r="E1296" s="8">
        <v>12</v>
      </c>
      <c r="F1296" s="1">
        <v>1285.1600000000001</v>
      </c>
      <c r="H1296">
        <v>1.21</v>
      </c>
      <c r="J1296" s="2">
        <f>+DATAIN_COMPRAS__2[[#This Row],[$/ UN NETO]]*DATAIN_COMPRAS__2[[#This Row],[IVA]]</f>
        <v>1555.0436</v>
      </c>
      <c r="K1296" s="7">
        <f t="shared" si="25"/>
        <v>18660.523200000003</v>
      </c>
      <c r="L1296" t="s">
        <v>237</v>
      </c>
    </row>
    <row r="1297" spans="1:14" x14ac:dyDescent="0.35">
      <c r="A1297" s="13">
        <v>45902</v>
      </c>
      <c r="B1297" t="s">
        <v>75</v>
      </c>
      <c r="C1297" t="s">
        <v>76</v>
      </c>
      <c r="E1297" s="8">
        <v>72</v>
      </c>
      <c r="F1297" s="1">
        <v>1157.1600000000001</v>
      </c>
      <c r="H1297">
        <v>1.21</v>
      </c>
      <c r="J1297" s="2">
        <f>+DATAIN_COMPRAS__2[[#This Row],[$/ UN NETO]]*DATAIN_COMPRAS__2[[#This Row],[IVA]]</f>
        <v>1400.1636000000001</v>
      </c>
      <c r="K1297" s="7">
        <f t="shared" si="25"/>
        <v>100811.7792</v>
      </c>
      <c r="L1297" t="s">
        <v>237</v>
      </c>
    </row>
    <row r="1298" spans="1:14" x14ac:dyDescent="0.35">
      <c r="A1298" s="13">
        <v>45903</v>
      </c>
      <c r="B1298" t="s">
        <v>359</v>
      </c>
      <c r="C1298" t="s">
        <v>144</v>
      </c>
      <c r="E1298" s="8">
        <v>3</v>
      </c>
      <c r="F1298" s="1">
        <f>5062.31/3</f>
        <v>1687.4366666666667</v>
      </c>
      <c r="H1298">
        <v>1.21</v>
      </c>
      <c r="J1298" s="2">
        <f>+DATAIN_COMPRAS__2[[#This Row],[$/ UN NETO]]*DATAIN_COMPRAS__2[[#This Row],[IVA]]</f>
        <v>2041.7983666666667</v>
      </c>
      <c r="K1298" s="7">
        <f t="shared" si="25"/>
        <v>6125.3951000000006</v>
      </c>
      <c r="L1298" t="s">
        <v>158</v>
      </c>
    </row>
    <row r="1299" spans="1:14" x14ac:dyDescent="0.35">
      <c r="A1299" s="13">
        <v>45904</v>
      </c>
      <c r="B1299" t="s">
        <v>796</v>
      </c>
      <c r="C1299" t="s">
        <v>825</v>
      </c>
      <c r="E1299" s="8"/>
      <c r="F1299" s="1"/>
      <c r="J1299" s="2"/>
      <c r="K1299">
        <v>19275.8</v>
      </c>
      <c r="L1299" t="s">
        <v>237</v>
      </c>
    </row>
    <row r="1300" spans="1:14" x14ac:dyDescent="0.35">
      <c r="A1300" s="13">
        <v>45904</v>
      </c>
      <c r="B1300" t="s">
        <v>796</v>
      </c>
      <c r="C1300" t="s">
        <v>825</v>
      </c>
      <c r="E1300" s="8"/>
      <c r="F1300" s="1"/>
      <c r="J1300" s="2"/>
      <c r="K1300">
        <v>35787.89</v>
      </c>
      <c r="L1300" t="s">
        <v>237</v>
      </c>
    </row>
    <row r="1301" spans="1:14" x14ac:dyDescent="0.35">
      <c r="A1301" s="13">
        <v>45904</v>
      </c>
      <c r="B1301" t="s">
        <v>796</v>
      </c>
      <c r="C1301" t="s">
        <v>825</v>
      </c>
      <c r="E1301" s="8"/>
      <c r="F1301" s="1"/>
      <c r="J1301" s="2"/>
      <c r="K1301">
        <v>13921.73</v>
      </c>
      <c r="L1301" t="s">
        <v>237</v>
      </c>
    </row>
    <row r="1302" spans="1:14" x14ac:dyDescent="0.35">
      <c r="A1302" s="13">
        <v>45905</v>
      </c>
      <c r="B1302" t="s">
        <v>185</v>
      </c>
      <c r="C1302" t="s">
        <v>187</v>
      </c>
      <c r="E1302" s="8">
        <v>50</v>
      </c>
      <c r="F1302" s="1">
        <v>1069.1199999999999</v>
      </c>
      <c r="H1302">
        <v>1</v>
      </c>
      <c r="J1302" s="2">
        <f>+DATAIN_COMPRAS__2[[#This Row],[$/ UN NETO]]*DATAIN_COMPRAS__2[[#This Row],[IVA]]</f>
        <v>1069.1199999999999</v>
      </c>
      <c r="K1302" s="7">
        <f>(E1302*F1302)*(1-I1302)*(H1302)</f>
        <v>53455.999999999993</v>
      </c>
      <c r="L1302" t="s">
        <v>158</v>
      </c>
    </row>
    <row r="1303" spans="1:14" x14ac:dyDescent="0.35">
      <c r="A1303" s="13">
        <v>45905</v>
      </c>
      <c r="B1303" t="s">
        <v>185</v>
      </c>
      <c r="C1303" t="s">
        <v>186</v>
      </c>
      <c r="E1303" s="8">
        <v>50</v>
      </c>
      <c r="F1303" s="1">
        <v>1138.1199999999999</v>
      </c>
      <c r="H1303">
        <v>1</v>
      </c>
      <c r="J1303" s="2">
        <f>+DATAIN_COMPRAS__2[[#This Row],[$/ UN NETO]]*DATAIN_COMPRAS__2[[#This Row],[IVA]]</f>
        <v>1138.1199999999999</v>
      </c>
      <c r="K1303" s="7">
        <f>(E1303*F1303)*(1-I1303)*(H1303)</f>
        <v>56905.999999999993</v>
      </c>
      <c r="L1303" t="s">
        <v>158</v>
      </c>
    </row>
    <row r="1304" spans="1:14" x14ac:dyDescent="0.35">
      <c r="A1304" s="13">
        <v>45905</v>
      </c>
      <c r="B1304" t="s">
        <v>124</v>
      </c>
      <c r="C1304" t="s">
        <v>125</v>
      </c>
      <c r="E1304" s="8">
        <v>3</v>
      </c>
      <c r="F1304" s="1">
        <v>41000</v>
      </c>
      <c r="H1304">
        <v>1</v>
      </c>
      <c r="J1304" s="2">
        <f>+DATAIN_COMPRAS__2[[#This Row],[$/ UN NETO]]*DATAIN_COMPRAS__2[[#This Row],[IVA]]</f>
        <v>41000</v>
      </c>
      <c r="K1304" s="7">
        <f>(E1304*F1304)*(1-I1304)*(H1304)</f>
        <v>123000</v>
      </c>
      <c r="L1304" t="s">
        <v>237</v>
      </c>
    </row>
    <row r="1305" spans="1:14" x14ac:dyDescent="0.35">
      <c r="A1305" s="13">
        <v>45905</v>
      </c>
      <c r="B1305" t="s">
        <v>796</v>
      </c>
      <c r="C1305" t="s">
        <v>825</v>
      </c>
      <c r="E1305" s="8"/>
      <c r="F1305" s="1"/>
      <c r="J1305" s="2"/>
      <c r="K1305">
        <v>7526.02</v>
      </c>
      <c r="L1305" t="s">
        <v>237</v>
      </c>
    </row>
    <row r="1306" spans="1:14" x14ac:dyDescent="0.35">
      <c r="A1306" s="13">
        <v>45905</v>
      </c>
      <c r="B1306" t="s">
        <v>796</v>
      </c>
      <c r="C1306" t="s">
        <v>825</v>
      </c>
      <c r="E1306" s="8"/>
      <c r="F1306" s="1"/>
      <c r="J1306" s="2"/>
      <c r="K1306">
        <v>23079.87</v>
      </c>
      <c r="L1306" t="s">
        <v>237</v>
      </c>
    </row>
    <row r="1307" spans="1:14" x14ac:dyDescent="0.35">
      <c r="A1307" s="13">
        <v>45905</v>
      </c>
      <c r="B1307" t="s">
        <v>796</v>
      </c>
      <c r="C1307" t="s">
        <v>825</v>
      </c>
      <c r="E1307" s="8"/>
      <c r="F1307" s="1"/>
      <c r="J1307" s="2"/>
      <c r="K1307">
        <v>1402.69</v>
      </c>
      <c r="L1307" t="s">
        <v>237</v>
      </c>
    </row>
    <row r="1308" spans="1:14" x14ac:dyDescent="0.35">
      <c r="A1308" s="13">
        <v>45905</v>
      </c>
      <c r="B1308" t="s">
        <v>796</v>
      </c>
      <c r="C1308" t="s">
        <v>825</v>
      </c>
      <c r="E1308" s="8"/>
      <c r="F1308" s="1"/>
      <c r="J1308" s="2"/>
      <c r="K1308">
        <v>93052.79</v>
      </c>
      <c r="L1308" t="s">
        <v>237</v>
      </c>
    </row>
    <row r="1309" spans="1:14" x14ac:dyDescent="0.35">
      <c r="A1309" s="13">
        <v>45905</v>
      </c>
      <c r="B1309" t="s">
        <v>309</v>
      </c>
      <c r="C1309" t="s">
        <v>103</v>
      </c>
      <c r="E1309" s="8">
        <v>360</v>
      </c>
      <c r="F1309" s="1">
        <f>66000/DATAIN_COMPRAS__2[[#This Row],[CANT]]</f>
        <v>183.33333333333334</v>
      </c>
      <c r="H1309">
        <v>1</v>
      </c>
      <c r="J1309" s="2">
        <f>+DATAIN_COMPRAS__2[[#This Row],[$/ UN NETO]]*DATAIN_COMPRAS__2[[#This Row],[IVA]]</f>
        <v>183.33333333333334</v>
      </c>
      <c r="K1309" s="7">
        <f t="shared" ref="K1309:K1337" si="26">(E1309*F1309)*(1-I1309)*(H1309)</f>
        <v>66000</v>
      </c>
      <c r="L1309" t="s">
        <v>237</v>
      </c>
      <c r="M1309">
        <v>6500</v>
      </c>
      <c r="N1309" s="3">
        <v>45902</v>
      </c>
    </row>
    <row r="1310" spans="1:14" x14ac:dyDescent="0.35">
      <c r="A1310" s="13">
        <v>45905</v>
      </c>
      <c r="B1310" t="s">
        <v>309</v>
      </c>
      <c r="C1310" t="s">
        <v>103</v>
      </c>
      <c r="E1310" s="8">
        <v>360</v>
      </c>
      <c r="F1310" s="1">
        <f>66000/DATAIN_COMPRAS__2[[#This Row],[CANT]]</f>
        <v>183.33333333333334</v>
      </c>
      <c r="H1310">
        <v>1</v>
      </c>
      <c r="J1310" s="2">
        <f>+DATAIN_COMPRAS__2[[#This Row],[$/ UN NETO]]*DATAIN_COMPRAS__2[[#This Row],[IVA]]</f>
        <v>183.33333333333334</v>
      </c>
      <c r="K1310" s="7">
        <f t="shared" si="26"/>
        <v>66000</v>
      </c>
      <c r="L1310" t="s">
        <v>158</v>
      </c>
      <c r="M1310">
        <v>188500</v>
      </c>
      <c r="N1310" s="3">
        <v>45902</v>
      </c>
    </row>
    <row r="1311" spans="1:14" x14ac:dyDescent="0.35">
      <c r="A1311" s="13">
        <v>45905</v>
      </c>
      <c r="B1311" t="s">
        <v>309</v>
      </c>
      <c r="C1311" t="s">
        <v>331</v>
      </c>
      <c r="E1311" s="8">
        <v>14</v>
      </c>
      <c r="F1311" s="1">
        <f>17000/DATAIN_COMPRAS__2[[#This Row],[CANT]]</f>
        <v>1214.2857142857142</v>
      </c>
      <c r="H1311">
        <v>1</v>
      </c>
      <c r="J1311" s="2">
        <f>+DATAIN_COMPRAS__2[[#This Row],[$/ UN NETO]]*DATAIN_COMPRAS__2[[#This Row],[IVA]]</f>
        <v>1214.2857142857142</v>
      </c>
      <c r="K1311" s="7">
        <f t="shared" si="26"/>
        <v>17000</v>
      </c>
      <c r="L1311" t="s">
        <v>237</v>
      </c>
    </row>
    <row r="1312" spans="1:14" x14ac:dyDescent="0.35">
      <c r="A1312" s="13">
        <v>45905</v>
      </c>
      <c r="B1312" t="s">
        <v>309</v>
      </c>
      <c r="C1312" t="s">
        <v>32</v>
      </c>
      <c r="E1312" s="8">
        <v>28</v>
      </c>
      <c r="F1312" s="1">
        <f>26000/DATAIN_COMPRAS__2[[#This Row],[CANT]]</f>
        <v>928.57142857142856</v>
      </c>
      <c r="H1312">
        <v>1</v>
      </c>
      <c r="J1312" s="2">
        <f>+DATAIN_COMPRAS__2[[#This Row],[$/ UN NETO]]*DATAIN_COMPRAS__2[[#This Row],[IVA]]</f>
        <v>928.57142857142856</v>
      </c>
      <c r="K1312" s="7">
        <f t="shared" si="26"/>
        <v>26000</v>
      </c>
      <c r="L1312" t="s">
        <v>237</v>
      </c>
    </row>
    <row r="1313" spans="1:12" x14ac:dyDescent="0.35">
      <c r="A1313" s="13">
        <v>45905</v>
      </c>
      <c r="B1313" t="s">
        <v>309</v>
      </c>
      <c r="C1313" t="s">
        <v>19</v>
      </c>
      <c r="E1313" s="8">
        <v>11</v>
      </c>
      <c r="F1313" s="1">
        <f>75000/DATAIN_COMPRAS__2[[#This Row],[CANT]]</f>
        <v>6818.181818181818</v>
      </c>
      <c r="H1313">
        <v>1</v>
      </c>
      <c r="J1313" s="2">
        <f>+DATAIN_COMPRAS__2[[#This Row],[$/ UN NETO]]*DATAIN_COMPRAS__2[[#This Row],[IVA]]</f>
        <v>6818.181818181818</v>
      </c>
      <c r="K1313" s="7">
        <f t="shared" si="26"/>
        <v>75000</v>
      </c>
      <c r="L1313" t="s">
        <v>237</v>
      </c>
    </row>
    <row r="1314" spans="1:12" x14ac:dyDescent="0.35">
      <c r="A1314" s="13">
        <v>45905</v>
      </c>
      <c r="B1314" t="s">
        <v>309</v>
      </c>
      <c r="C1314" t="s">
        <v>17</v>
      </c>
      <c r="E1314" s="8">
        <v>28</v>
      </c>
      <c r="F1314" s="1">
        <f>25000/DATAIN_COMPRAS__2[[#This Row],[CANT]]</f>
        <v>892.85714285714289</v>
      </c>
      <c r="H1314">
        <v>1</v>
      </c>
      <c r="J1314" s="2">
        <f>+DATAIN_COMPRAS__2[[#This Row],[$/ UN NETO]]*DATAIN_COMPRAS__2[[#This Row],[IVA]]</f>
        <v>892.85714285714289</v>
      </c>
      <c r="K1314" s="7">
        <f t="shared" si="26"/>
        <v>25000</v>
      </c>
      <c r="L1314" t="s">
        <v>237</v>
      </c>
    </row>
    <row r="1315" spans="1:12" x14ac:dyDescent="0.35">
      <c r="A1315" s="13">
        <v>45905</v>
      </c>
      <c r="B1315" t="s">
        <v>309</v>
      </c>
      <c r="C1315" t="s">
        <v>18</v>
      </c>
      <c r="E1315" s="8">
        <v>5</v>
      </c>
      <c r="F1315" s="1">
        <f>30000/DATAIN_COMPRAS__2[[#This Row],[CANT]]</f>
        <v>6000</v>
      </c>
      <c r="H1315">
        <v>1</v>
      </c>
      <c r="J1315" s="2">
        <f>+DATAIN_COMPRAS__2[[#This Row],[$/ UN NETO]]*DATAIN_COMPRAS__2[[#This Row],[IVA]]</f>
        <v>6000</v>
      </c>
      <c r="K1315" s="7">
        <f t="shared" si="26"/>
        <v>30000</v>
      </c>
      <c r="L1315" t="s">
        <v>237</v>
      </c>
    </row>
    <row r="1316" spans="1:12" x14ac:dyDescent="0.35">
      <c r="A1316" s="13">
        <v>45905</v>
      </c>
      <c r="B1316" t="s">
        <v>80</v>
      </c>
      <c r="C1316" t="s">
        <v>100</v>
      </c>
      <c r="E1316" s="8">
        <v>20</v>
      </c>
      <c r="F1316" s="1">
        <v>454.55</v>
      </c>
      <c r="H1316">
        <v>1.21</v>
      </c>
      <c r="J1316" s="2">
        <f>+DATAIN_COMPRAS__2[[#This Row],[$/ UN NETO]]*DATAIN_COMPRAS__2[[#This Row],[IVA]]</f>
        <v>550.00549999999998</v>
      </c>
      <c r="K1316" s="7">
        <f t="shared" si="26"/>
        <v>11000.11</v>
      </c>
      <c r="L1316" t="s">
        <v>237</v>
      </c>
    </row>
    <row r="1317" spans="1:12" x14ac:dyDescent="0.35">
      <c r="A1317" s="13">
        <v>45905</v>
      </c>
      <c r="B1317" t="s">
        <v>80</v>
      </c>
      <c r="C1317" t="s">
        <v>299</v>
      </c>
      <c r="E1317" s="8">
        <v>1</v>
      </c>
      <c r="F1317" s="1">
        <v>826.45</v>
      </c>
      <c r="H1317">
        <v>1.21</v>
      </c>
      <c r="J1317" s="2">
        <f>+DATAIN_COMPRAS__2[[#This Row],[$/ UN NETO]]*DATAIN_COMPRAS__2[[#This Row],[IVA]]</f>
        <v>1000.0045</v>
      </c>
      <c r="K1317" s="7">
        <f t="shared" si="26"/>
        <v>1000.0045</v>
      </c>
      <c r="L1317" t="s">
        <v>237</v>
      </c>
    </row>
    <row r="1318" spans="1:12" x14ac:dyDescent="0.35">
      <c r="A1318" s="13">
        <v>45905</v>
      </c>
      <c r="B1318" t="s">
        <v>80</v>
      </c>
      <c r="C1318" t="s">
        <v>171</v>
      </c>
      <c r="E1318" s="8">
        <v>1</v>
      </c>
      <c r="F1318" s="1">
        <v>2892.56</v>
      </c>
      <c r="H1318">
        <v>1.21</v>
      </c>
      <c r="J1318" s="2">
        <f>+DATAIN_COMPRAS__2[[#This Row],[$/ UN NETO]]*DATAIN_COMPRAS__2[[#This Row],[IVA]]</f>
        <v>3499.9975999999997</v>
      </c>
      <c r="K1318" s="7">
        <f t="shared" si="26"/>
        <v>3499.9975999999997</v>
      </c>
      <c r="L1318" t="s">
        <v>237</v>
      </c>
    </row>
    <row r="1319" spans="1:12" x14ac:dyDescent="0.35">
      <c r="A1319" s="13">
        <v>45905</v>
      </c>
      <c r="B1319" t="s">
        <v>80</v>
      </c>
      <c r="C1319" t="s">
        <v>87</v>
      </c>
      <c r="E1319" s="8">
        <v>1</v>
      </c>
      <c r="F1319" s="1">
        <v>5537.13</v>
      </c>
      <c r="H1319">
        <v>1.21</v>
      </c>
      <c r="J1319" s="2">
        <f>+DATAIN_COMPRAS__2[[#This Row],[$/ UN NETO]]*DATAIN_COMPRAS__2[[#This Row],[IVA]]</f>
        <v>6699.9273000000003</v>
      </c>
      <c r="K1319" s="7">
        <f t="shared" si="26"/>
        <v>6699.9273000000003</v>
      </c>
      <c r="L1319" t="s">
        <v>237</v>
      </c>
    </row>
    <row r="1320" spans="1:12" x14ac:dyDescent="0.35">
      <c r="A1320" s="13">
        <v>45905</v>
      </c>
      <c r="B1320" t="s">
        <v>80</v>
      </c>
      <c r="C1320" t="s">
        <v>86</v>
      </c>
      <c r="E1320" s="8">
        <v>40</v>
      </c>
      <c r="F1320" s="1">
        <v>164.1</v>
      </c>
      <c r="H1320">
        <v>1.21</v>
      </c>
      <c r="J1320" s="2">
        <f>+DATAIN_COMPRAS__2[[#This Row],[$/ UN NETO]]*DATAIN_COMPRAS__2[[#This Row],[IVA]]</f>
        <v>198.56099999999998</v>
      </c>
      <c r="K1320" s="7">
        <f t="shared" si="26"/>
        <v>7942.44</v>
      </c>
      <c r="L1320" t="s">
        <v>237</v>
      </c>
    </row>
    <row r="1321" spans="1:12" x14ac:dyDescent="0.35">
      <c r="A1321" s="13">
        <v>45905</v>
      </c>
      <c r="B1321" t="s">
        <v>80</v>
      </c>
      <c r="C1321" t="s">
        <v>794</v>
      </c>
      <c r="E1321" s="8">
        <v>40</v>
      </c>
      <c r="F1321" s="1">
        <v>462.81</v>
      </c>
      <c r="H1321">
        <v>1.21</v>
      </c>
      <c r="J1321" s="2">
        <f>+DATAIN_COMPRAS__2[[#This Row],[$/ UN NETO]]*DATAIN_COMPRAS__2[[#This Row],[IVA]]</f>
        <v>560.00009999999997</v>
      </c>
      <c r="K1321" s="7">
        <f t="shared" si="26"/>
        <v>22400.004000000001</v>
      </c>
      <c r="L1321" t="s">
        <v>237</v>
      </c>
    </row>
    <row r="1322" spans="1:12" x14ac:dyDescent="0.35">
      <c r="A1322" s="13">
        <v>45905</v>
      </c>
      <c r="B1322" t="s">
        <v>80</v>
      </c>
      <c r="C1322" t="s">
        <v>207</v>
      </c>
      <c r="E1322" s="8">
        <v>40</v>
      </c>
      <c r="F1322" s="1">
        <v>99.17</v>
      </c>
      <c r="H1322">
        <v>1.21</v>
      </c>
      <c r="J1322" s="2">
        <f>+DATAIN_COMPRAS__2[[#This Row],[$/ UN NETO]]*DATAIN_COMPRAS__2[[#This Row],[IVA]]</f>
        <v>119.9957</v>
      </c>
      <c r="K1322" s="7">
        <f t="shared" si="26"/>
        <v>4799.8280000000004</v>
      </c>
      <c r="L1322" t="s">
        <v>237</v>
      </c>
    </row>
    <row r="1323" spans="1:12" x14ac:dyDescent="0.35">
      <c r="A1323" s="13">
        <v>45905</v>
      </c>
      <c r="B1323" t="s">
        <v>80</v>
      </c>
      <c r="C1323" t="s">
        <v>94</v>
      </c>
      <c r="E1323" s="8">
        <v>5</v>
      </c>
      <c r="F1323" s="1">
        <v>1074.3800000000001</v>
      </c>
      <c r="H1323">
        <v>1.21</v>
      </c>
      <c r="J1323" s="2">
        <f>+DATAIN_COMPRAS__2[[#This Row],[$/ UN NETO]]*DATAIN_COMPRAS__2[[#This Row],[IVA]]</f>
        <v>1299.9998000000001</v>
      </c>
      <c r="K1323" s="7">
        <f t="shared" si="26"/>
        <v>6499.9990000000007</v>
      </c>
      <c r="L1323" t="s">
        <v>237</v>
      </c>
    </row>
    <row r="1324" spans="1:12" x14ac:dyDescent="0.35">
      <c r="A1324" s="13">
        <v>45905</v>
      </c>
      <c r="B1324" t="s">
        <v>104</v>
      </c>
      <c r="C1324" t="s">
        <v>105</v>
      </c>
      <c r="E1324" s="8">
        <v>1</v>
      </c>
      <c r="F1324" s="1">
        <v>10710</v>
      </c>
      <c r="H1324">
        <v>1</v>
      </c>
      <c r="J1324" s="2">
        <f>+DATAIN_COMPRAS__2[[#This Row],[$/ UN NETO]]*DATAIN_COMPRAS__2[[#This Row],[IVA]]</f>
        <v>10710</v>
      </c>
      <c r="K1324" s="7">
        <f t="shared" si="26"/>
        <v>10710</v>
      </c>
      <c r="L1324" t="s">
        <v>158</v>
      </c>
    </row>
    <row r="1325" spans="1:12" x14ac:dyDescent="0.35">
      <c r="A1325" s="13">
        <v>45905</v>
      </c>
      <c r="B1325" t="s">
        <v>256</v>
      </c>
      <c r="C1325" t="s">
        <v>792</v>
      </c>
      <c r="E1325" s="8">
        <v>5</v>
      </c>
      <c r="F1325" s="1">
        <f>36253.2/5</f>
        <v>7250.6399999999994</v>
      </c>
      <c r="H1325">
        <v>1.21</v>
      </c>
      <c r="I1325">
        <v>-2.4792999999999999E-2</v>
      </c>
      <c r="J1325" s="2">
        <f>+DATAIN_COMPRAS__2[[#This Row],[$/ UN NETO]]*DATAIN_COMPRAS__2[[#This Row],[IVA]]</f>
        <v>8773.2743999999984</v>
      </c>
      <c r="K1325" s="7">
        <f t="shared" si="26"/>
        <v>44953.950960996001</v>
      </c>
      <c r="L1325" t="s">
        <v>158</v>
      </c>
    </row>
    <row r="1326" spans="1:12" x14ac:dyDescent="0.35">
      <c r="A1326" s="13">
        <v>45905</v>
      </c>
      <c r="B1326" t="s">
        <v>256</v>
      </c>
      <c r="C1326" t="s">
        <v>776</v>
      </c>
      <c r="D1326" t="s">
        <v>368</v>
      </c>
      <c r="E1326" s="8">
        <v>25</v>
      </c>
      <c r="F1326" s="1">
        <f>268282.42/25</f>
        <v>10731.2968</v>
      </c>
      <c r="H1326">
        <v>1.21</v>
      </c>
      <c r="I1326">
        <v>-2.4792999999999999E-2</v>
      </c>
      <c r="J1326" s="2">
        <f>+DATAIN_COMPRAS__2[[#This Row],[$/ UN NETO]]*DATAIN_COMPRAS__2[[#This Row],[IVA]]</f>
        <v>12984.869128</v>
      </c>
      <c r="K1326" s="7">
        <f t="shared" si="26"/>
        <v>332670.07470726263</v>
      </c>
      <c r="L1326" t="s">
        <v>158</v>
      </c>
    </row>
    <row r="1327" spans="1:12" x14ac:dyDescent="0.35">
      <c r="A1327" s="13">
        <v>45905</v>
      </c>
      <c r="B1327" t="s">
        <v>256</v>
      </c>
      <c r="C1327" t="s">
        <v>254</v>
      </c>
      <c r="E1327" s="8">
        <v>3.05</v>
      </c>
      <c r="F1327" s="1">
        <v>8625.0350999999991</v>
      </c>
      <c r="H1327">
        <v>1.21</v>
      </c>
      <c r="I1327">
        <v>-2.4792999999999999E-2</v>
      </c>
      <c r="J1327" s="2">
        <f>+DATAIN_COMPRAS__2[[#This Row],[$/ UN NETO]]*DATAIN_COMPRAS__2[[#This Row],[IVA]]</f>
        <v>10436.292470999999</v>
      </c>
      <c r="K1327" s="7">
        <f t="shared" si="26"/>
        <v>32619.870384212179</v>
      </c>
      <c r="L1327" t="s">
        <v>158</v>
      </c>
    </row>
    <row r="1328" spans="1:12" x14ac:dyDescent="0.35">
      <c r="A1328" s="13">
        <v>45905</v>
      </c>
      <c r="B1328" t="s">
        <v>256</v>
      </c>
      <c r="C1328" t="s">
        <v>259</v>
      </c>
      <c r="E1328" s="8">
        <v>6</v>
      </c>
      <c r="F1328" s="1">
        <v>9269.44</v>
      </c>
      <c r="H1328">
        <v>1.21</v>
      </c>
      <c r="J1328" s="2">
        <f>+DATAIN_COMPRAS__2[[#This Row],[$/ UN NETO]]*DATAIN_COMPRAS__2[[#This Row],[IVA]]</f>
        <v>11216.0224</v>
      </c>
      <c r="K1328" s="7">
        <f t="shared" si="26"/>
        <v>67296.134399999995</v>
      </c>
      <c r="L1328" t="s">
        <v>237</v>
      </c>
    </row>
    <row r="1329" spans="1:12" x14ac:dyDescent="0.35">
      <c r="A1329" s="13">
        <v>45905</v>
      </c>
      <c r="B1329" t="s">
        <v>110</v>
      </c>
      <c r="C1329" t="s">
        <v>163</v>
      </c>
      <c r="E1329" s="8">
        <v>5</v>
      </c>
      <c r="F1329" s="1">
        <v>1948.8</v>
      </c>
      <c r="H1329">
        <v>1.21</v>
      </c>
      <c r="J1329" s="2">
        <f>+DATAIN_COMPRAS__2[[#This Row],[$/ UN NETO]]*DATAIN_COMPRAS__2[[#This Row],[IVA]]</f>
        <v>2358.0479999999998</v>
      </c>
      <c r="K1329" s="7">
        <f t="shared" si="26"/>
        <v>11790.24</v>
      </c>
      <c r="L1329" t="s">
        <v>158</v>
      </c>
    </row>
    <row r="1330" spans="1:12" x14ac:dyDescent="0.35">
      <c r="A1330" s="13">
        <v>45905</v>
      </c>
      <c r="B1330" t="s">
        <v>12</v>
      </c>
      <c r="C1330" t="s">
        <v>26</v>
      </c>
      <c r="E1330" s="8">
        <f>7799.7/2599.9</f>
        <v>3</v>
      </c>
      <c r="F1330" s="1">
        <v>2599.9</v>
      </c>
      <c r="H1330">
        <v>1</v>
      </c>
      <c r="J1330" s="2">
        <f>+DATAIN_COMPRAS__2[[#This Row],[$/ UN NETO]]*DATAIN_COMPRAS__2[[#This Row],[IVA]]</f>
        <v>2599.9</v>
      </c>
      <c r="K1330" s="7">
        <f t="shared" si="26"/>
        <v>7799.7000000000007</v>
      </c>
      <c r="L1330" t="s">
        <v>237</v>
      </c>
    </row>
    <row r="1331" spans="1:12" x14ac:dyDescent="0.35">
      <c r="A1331" s="13">
        <v>45905</v>
      </c>
      <c r="B1331" t="s">
        <v>12</v>
      </c>
      <c r="C1331" t="s">
        <v>41</v>
      </c>
      <c r="E1331" s="8">
        <v>1</v>
      </c>
      <c r="F1331" s="1">
        <f>1499.9*2</f>
        <v>2999.8</v>
      </c>
      <c r="H1331">
        <v>1</v>
      </c>
      <c r="J1331" s="2">
        <f>+DATAIN_COMPRAS__2[[#This Row],[$/ UN NETO]]*DATAIN_COMPRAS__2[[#This Row],[IVA]]</f>
        <v>2999.8</v>
      </c>
      <c r="K1331" s="7">
        <f t="shared" si="26"/>
        <v>2999.8</v>
      </c>
      <c r="L1331" t="s">
        <v>237</v>
      </c>
    </row>
    <row r="1332" spans="1:12" x14ac:dyDescent="0.35">
      <c r="A1332" s="13">
        <v>45905</v>
      </c>
      <c r="B1332" t="s">
        <v>12</v>
      </c>
      <c r="C1332" t="s">
        <v>25</v>
      </c>
      <c r="E1332" s="8">
        <v>1</v>
      </c>
      <c r="F1332" s="1">
        <v>7499.9</v>
      </c>
      <c r="H1332">
        <v>1</v>
      </c>
      <c r="J1332" s="2">
        <f>+DATAIN_COMPRAS__2[[#This Row],[$/ UN NETO]]*DATAIN_COMPRAS__2[[#This Row],[IVA]]</f>
        <v>7499.9</v>
      </c>
      <c r="K1332" s="7">
        <f t="shared" si="26"/>
        <v>7499.9</v>
      </c>
      <c r="L1332" t="s">
        <v>237</v>
      </c>
    </row>
    <row r="1333" spans="1:12" x14ac:dyDescent="0.35">
      <c r="A1333" s="13">
        <v>45905</v>
      </c>
      <c r="B1333" t="s">
        <v>12</v>
      </c>
      <c r="C1333" t="s">
        <v>39</v>
      </c>
      <c r="E1333" s="8">
        <f>1399.95/2799.9</f>
        <v>0.5</v>
      </c>
      <c r="F1333" s="1">
        <v>2799.9</v>
      </c>
      <c r="H1333">
        <v>1</v>
      </c>
      <c r="J1333" s="2">
        <f>+DATAIN_COMPRAS__2[[#This Row],[$/ UN NETO]]*DATAIN_COMPRAS__2[[#This Row],[IVA]]</f>
        <v>2799.9</v>
      </c>
      <c r="K1333" s="7">
        <f t="shared" si="26"/>
        <v>1399.95</v>
      </c>
      <c r="L1333" t="s">
        <v>237</v>
      </c>
    </row>
    <row r="1334" spans="1:12" x14ac:dyDescent="0.35">
      <c r="A1334" s="13">
        <v>45905</v>
      </c>
      <c r="B1334" t="s">
        <v>12</v>
      </c>
      <c r="C1334" t="s">
        <v>28</v>
      </c>
      <c r="E1334" s="8">
        <v>0.27500000000000002</v>
      </c>
      <c r="F1334" s="1">
        <f>3000/DATAIN_COMPRAS__2[[#This Row],[CANT]]</f>
        <v>10909.090909090908</v>
      </c>
      <c r="H1334">
        <v>1</v>
      </c>
      <c r="J1334" s="2">
        <f>+DATAIN_COMPRAS__2[[#This Row],[$/ UN NETO]]*DATAIN_COMPRAS__2[[#This Row],[IVA]]</f>
        <v>10909.090909090908</v>
      </c>
      <c r="K1334" s="7">
        <f t="shared" si="26"/>
        <v>3000</v>
      </c>
      <c r="L1334" t="s">
        <v>237</v>
      </c>
    </row>
    <row r="1335" spans="1:12" x14ac:dyDescent="0.35">
      <c r="A1335" s="13">
        <v>45905</v>
      </c>
      <c r="B1335" t="s">
        <v>12</v>
      </c>
      <c r="C1335" t="s">
        <v>20</v>
      </c>
      <c r="E1335" s="8">
        <v>2</v>
      </c>
      <c r="F1335" s="1">
        <v>2999.9</v>
      </c>
      <c r="H1335">
        <v>1</v>
      </c>
      <c r="J1335" s="2">
        <f>+DATAIN_COMPRAS__2[[#This Row],[$/ UN NETO]]*DATAIN_COMPRAS__2[[#This Row],[IVA]]</f>
        <v>2999.9</v>
      </c>
      <c r="K1335" s="7">
        <f t="shared" si="26"/>
        <v>5999.8</v>
      </c>
      <c r="L1335" t="s">
        <v>237</v>
      </c>
    </row>
    <row r="1336" spans="1:12" x14ac:dyDescent="0.35">
      <c r="A1336" s="13">
        <v>45905</v>
      </c>
      <c r="B1336" t="s">
        <v>12</v>
      </c>
      <c r="C1336" t="s">
        <v>30</v>
      </c>
      <c r="E1336" s="8">
        <f>3899.7/1299.9</f>
        <v>2.9999999999999996</v>
      </c>
      <c r="F1336" s="1">
        <v>1299.9000000000001</v>
      </c>
      <c r="H1336">
        <v>1</v>
      </c>
      <c r="J1336" s="2">
        <f>+DATAIN_COMPRAS__2[[#This Row],[$/ UN NETO]]*DATAIN_COMPRAS__2[[#This Row],[IVA]]</f>
        <v>1299.9000000000001</v>
      </c>
      <c r="K1336" s="7">
        <f t="shared" si="26"/>
        <v>3899.7</v>
      </c>
      <c r="L1336" t="s">
        <v>237</v>
      </c>
    </row>
    <row r="1337" spans="1:12" x14ac:dyDescent="0.35">
      <c r="A1337" s="13">
        <v>45905</v>
      </c>
      <c r="B1337" t="s">
        <v>75</v>
      </c>
      <c r="C1337" t="s">
        <v>76</v>
      </c>
      <c r="E1337" s="8">
        <v>24</v>
      </c>
      <c r="F1337" s="1">
        <v>1157.1600000000001</v>
      </c>
      <c r="H1337">
        <v>1.21</v>
      </c>
      <c r="J1337" s="2">
        <f>+DATAIN_COMPRAS__2[[#This Row],[$/ UN NETO]]*DATAIN_COMPRAS__2[[#This Row],[IVA]]</f>
        <v>1400.1636000000001</v>
      </c>
      <c r="K1337" s="7">
        <f t="shared" si="26"/>
        <v>33603.926400000004</v>
      </c>
      <c r="L1337" t="s">
        <v>158</v>
      </c>
    </row>
    <row r="1338" spans="1:12" x14ac:dyDescent="0.35">
      <c r="A1338" s="13">
        <v>45906</v>
      </c>
      <c r="B1338" t="s">
        <v>796</v>
      </c>
      <c r="C1338" t="s">
        <v>825</v>
      </c>
      <c r="E1338" s="8"/>
      <c r="F1338" s="1"/>
      <c r="J1338" s="2"/>
      <c r="K1338">
        <v>87988.18</v>
      </c>
      <c r="L1338" t="s">
        <v>237</v>
      </c>
    </row>
    <row r="1339" spans="1:12" x14ac:dyDescent="0.35">
      <c r="A1339" s="13">
        <v>45906</v>
      </c>
      <c r="B1339" t="s">
        <v>174</v>
      </c>
      <c r="C1339" t="s">
        <v>176</v>
      </c>
      <c r="E1339" s="8">
        <v>6</v>
      </c>
      <c r="F1339" s="1">
        <v>9743.7999999999993</v>
      </c>
      <c r="H1339">
        <v>1.21</v>
      </c>
      <c r="J1339" s="2">
        <f>+DATAIN_COMPRAS__2[[#This Row],[$/ UN NETO]]*DATAIN_COMPRAS__2[[#This Row],[IVA]]</f>
        <v>11789.998</v>
      </c>
      <c r="K1339" s="7">
        <f>(E1339*F1339)*(1-I1339)*(H1339)</f>
        <v>70739.987999999998</v>
      </c>
      <c r="L1339" t="s">
        <v>158</v>
      </c>
    </row>
    <row r="1340" spans="1:12" x14ac:dyDescent="0.35">
      <c r="A1340" s="13">
        <v>45906</v>
      </c>
      <c r="B1340" t="s">
        <v>174</v>
      </c>
      <c r="C1340" t="s">
        <v>177</v>
      </c>
      <c r="E1340" s="8">
        <v>1</v>
      </c>
      <c r="F1340" s="1">
        <v>1287.5999999999999</v>
      </c>
      <c r="H1340">
        <v>1.21</v>
      </c>
      <c r="J1340" s="2">
        <f>+DATAIN_COMPRAS__2[[#This Row],[$/ UN NETO]]*DATAIN_COMPRAS__2[[#This Row],[IVA]]</f>
        <v>1557.9959999999999</v>
      </c>
      <c r="K1340" s="7">
        <f>(E1340*F1340)*(1-I1340)*(H1340)</f>
        <v>1557.9959999999999</v>
      </c>
      <c r="L1340" t="s">
        <v>237</v>
      </c>
    </row>
    <row r="1341" spans="1:12" x14ac:dyDescent="0.35">
      <c r="A1341" s="13">
        <v>45906</v>
      </c>
      <c r="B1341" t="s">
        <v>71</v>
      </c>
      <c r="C1341" s="14" t="s">
        <v>224</v>
      </c>
      <c r="E1341" s="8">
        <v>2</v>
      </c>
      <c r="F1341" s="1">
        <v>4173.55</v>
      </c>
      <c r="H1341">
        <v>1.21</v>
      </c>
      <c r="J1341" s="2">
        <f>+DATAIN_COMPRAS__2[[#This Row],[$/ UN NETO]]*DATAIN_COMPRAS__2[[#This Row],[IVA]]</f>
        <v>5049.9955</v>
      </c>
      <c r="K1341" s="7">
        <f>(E1341*F1341)*(1-I1341)*(H1341)</f>
        <v>10099.991</v>
      </c>
      <c r="L1341" t="s">
        <v>237</v>
      </c>
    </row>
    <row r="1342" spans="1:12" x14ac:dyDescent="0.35">
      <c r="A1342" s="13">
        <v>45906</v>
      </c>
      <c r="B1342" t="s">
        <v>71</v>
      </c>
      <c r="C1342" t="s">
        <v>73</v>
      </c>
      <c r="E1342" s="8">
        <v>3.62</v>
      </c>
      <c r="F1342" s="1">
        <v>13326.44</v>
      </c>
      <c r="H1342">
        <v>1.21</v>
      </c>
      <c r="J1342" s="2">
        <f>+DATAIN_COMPRAS__2[[#This Row],[$/ UN NETO]]*DATAIN_COMPRAS__2[[#This Row],[IVA]]</f>
        <v>16124.992400000001</v>
      </c>
      <c r="K1342" s="7">
        <f>(E1342*F1342)*(1-I1342)*(H1342)</f>
        <v>58372.472487999999</v>
      </c>
      <c r="L1342" t="s">
        <v>237</v>
      </c>
    </row>
    <row r="1343" spans="1:12" x14ac:dyDescent="0.35">
      <c r="A1343" s="13">
        <v>45907</v>
      </c>
      <c r="B1343" t="s">
        <v>796</v>
      </c>
      <c r="C1343" t="s">
        <v>825</v>
      </c>
      <c r="E1343" s="8"/>
      <c r="F1343" s="1"/>
      <c r="J1343" s="2"/>
      <c r="K1343">
        <v>100603.98</v>
      </c>
      <c r="L1343" t="s">
        <v>237</v>
      </c>
    </row>
    <row r="1344" spans="1:12" x14ac:dyDescent="0.35">
      <c r="A1344" s="13">
        <v>45907</v>
      </c>
      <c r="B1344" t="s">
        <v>796</v>
      </c>
      <c r="C1344" t="s">
        <v>825</v>
      </c>
      <c r="E1344" s="8"/>
      <c r="F1344" s="1"/>
      <c r="J1344" s="2"/>
      <c r="K1344">
        <v>28800</v>
      </c>
      <c r="L1344" t="s">
        <v>237</v>
      </c>
    </row>
    <row r="1345" spans="1:12" x14ac:dyDescent="0.35">
      <c r="A1345" s="13">
        <v>45907</v>
      </c>
      <c r="B1345" t="s">
        <v>48</v>
      </c>
      <c r="C1345" s="14" t="s">
        <v>192</v>
      </c>
      <c r="E1345" s="8">
        <v>1</v>
      </c>
      <c r="F1345" s="1">
        <v>11807.33</v>
      </c>
      <c r="H1345">
        <v>1</v>
      </c>
      <c r="J1345" s="2">
        <f>+DATAIN_COMPRAS__2[[#This Row],[$/ UN NETO]]*DATAIN_COMPRAS__2[[#This Row],[IVA]]</f>
        <v>11807.33</v>
      </c>
      <c r="K1345" s="7">
        <f>(E1345*F1345)*(1-I1345)*(H1345)</f>
        <v>11807.33</v>
      </c>
      <c r="L1345" t="s">
        <v>255</v>
      </c>
    </row>
    <row r="1346" spans="1:12" x14ac:dyDescent="0.35">
      <c r="A1346" s="13">
        <v>45907</v>
      </c>
      <c r="B1346" t="s">
        <v>110</v>
      </c>
      <c r="C1346" t="s">
        <v>795</v>
      </c>
      <c r="E1346" s="8">
        <v>10</v>
      </c>
      <c r="F1346" s="16">
        <v>710.7</v>
      </c>
      <c r="H1346">
        <v>1</v>
      </c>
      <c r="J1346" s="2">
        <f>+DATAIN_COMPRAS__2[[#This Row],[$/ UN NETO]]*DATAIN_COMPRAS__2[[#This Row],[IVA]]</f>
        <v>710.7</v>
      </c>
      <c r="K1346" s="7">
        <f>(E1346*F1346)*(1-I1346)*(H1346)</f>
        <v>7107</v>
      </c>
      <c r="L1346" t="s">
        <v>255</v>
      </c>
    </row>
    <row r="1347" spans="1:12" x14ac:dyDescent="0.35">
      <c r="A1347" s="13">
        <v>45907</v>
      </c>
      <c r="B1347" t="s">
        <v>199</v>
      </c>
      <c r="C1347" t="s">
        <v>145</v>
      </c>
      <c r="E1347" s="8">
        <v>1</v>
      </c>
      <c r="F1347" s="1">
        <v>15800</v>
      </c>
      <c r="H1347">
        <v>1</v>
      </c>
      <c r="J1347" s="2">
        <f>+DATAIN_COMPRAS__2[[#This Row],[$/ UN NETO]]*DATAIN_COMPRAS__2[[#This Row],[IVA]]</f>
        <v>15800</v>
      </c>
      <c r="K1347" s="7">
        <f>(E1347*F1347)*(1-I1347)*(H1347)</f>
        <v>15800</v>
      </c>
      <c r="L1347" t="s">
        <v>255</v>
      </c>
    </row>
    <row r="1348" spans="1:12" x14ac:dyDescent="0.35">
      <c r="A1348" s="13">
        <v>45908</v>
      </c>
      <c r="B1348" t="s">
        <v>124</v>
      </c>
      <c r="C1348" t="s">
        <v>125</v>
      </c>
      <c r="E1348" s="8">
        <v>9</v>
      </c>
      <c r="F1348" s="1">
        <v>41000</v>
      </c>
      <c r="H1348">
        <v>1</v>
      </c>
      <c r="J1348" s="2">
        <f>+DATAIN_COMPRAS__2[[#This Row],[$/ UN NETO]]*DATAIN_COMPRAS__2[[#This Row],[IVA]]</f>
        <v>41000</v>
      </c>
      <c r="K1348" s="7">
        <f>(E1348*F1348)*(1-I1348)*(H1348)</f>
        <v>369000</v>
      </c>
      <c r="L1348" t="s">
        <v>237</v>
      </c>
    </row>
    <row r="1349" spans="1:12" x14ac:dyDescent="0.35">
      <c r="A1349" s="13">
        <v>45908</v>
      </c>
      <c r="B1349" t="s">
        <v>796</v>
      </c>
      <c r="C1349" t="s">
        <v>825</v>
      </c>
      <c r="E1349" s="8"/>
      <c r="F1349" s="1"/>
      <c r="J1349" s="2"/>
      <c r="K1349">
        <v>36994.75</v>
      </c>
      <c r="L1349" t="s">
        <v>237</v>
      </c>
    </row>
    <row r="1350" spans="1:12" x14ac:dyDescent="0.35">
      <c r="A1350" s="13">
        <v>45908</v>
      </c>
      <c r="B1350" t="s">
        <v>48</v>
      </c>
      <c r="C1350" t="s">
        <v>57</v>
      </c>
      <c r="E1350" s="8">
        <v>1</v>
      </c>
      <c r="F1350" s="1">
        <v>1167.5310999999999</v>
      </c>
      <c r="H1350">
        <v>1.21</v>
      </c>
      <c r="I1350">
        <v>0.06</v>
      </c>
      <c r="J1350" s="2">
        <f>+DATAIN_COMPRAS__2[[#This Row],[$/ UN NETO]]*DATAIN_COMPRAS__2[[#This Row],[IVA]]</f>
        <v>1412.7126309999999</v>
      </c>
      <c r="K1350" s="7">
        <f t="shared" ref="K1350:K1370" si="27">(E1350*F1350)*(1-I1350)*(H1350)</f>
        <v>1327.9498731399999</v>
      </c>
      <c r="L1350" t="s">
        <v>237</v>
      </c>
    </row>
    <row r="1351" spans="1:12" x14ac:dyDescent="0.35">
      <c r="A1351" s="13">
        <v>45908</v>
      </c>
      <c r="B1351" t="s">
        <v>48</v>
      </c>
      <c r="C1351" t="s">
        <v>61</v>
      </c>
      <c r="E1351" s="8">
        <v>0.6</v>
      </c>
      <c r="F1351" s="1">
        <f>1016.596/0.3</f>
        <v>3388.6533333333336</v>
      </c>
      <c r="H1351">
        <v>1.21</v>
      </c>
      <c r="I1351">
        <v>0.06</v>
      </c>
      <c r="J1351" s="2">
        <f>+DATAIN_COMPRAS__2[[#This Row],[$/ UN NETO]]*DATAIN_COMPRAS__2[[#This Row],[IVA]]</f>
        <v>4100.2705333333333</v>
      </c>
      <c r="K1351" s="7">
        <f t="shared" si="27"/>
        <v>2312.5525807999998</v>
      </c>
      <c r="L1351" t="s">
        <v>237</v>
      </c>
    </row>
    <row r="1352" spans="1:12" x14ac:dyDescent="0.35">
      <c r="A1352" s="13">
        <v>45908</v>
      </c>
      <c r="B1352" t="s">
        <v>48</v>
      </c>
      <c r="C1352" t="s">
        <v>51</v>
      </c>
      <c r="E1352" s="8">
        <v>3.5</v>
      </c>
      <c r="F1352" s="1">
        <v>9360.7752999999993</v>
      </c>
      <c r="H1352">
        <v>1.21</v>
      </c>
      <c r="I1352">
        <v>0.06</v>
      </c>
      <c r="J1352" s="2">
        <f>+DATAIN_COMPRAS__2[[#This Row],[$/ UN NETO]]*DATAIN_COMPRAS__2[[#This Row],[IVA]]</f>
        <v>11326.538112999999</v>
      </c>
      <c r="K1352" s="7">
        <f t="shared" si="27"/>
        <v>37264.310391769992</v>
      </c>
      <c r="L1352" t="s">
        <v>237</v>
      </c>
    </row>
    <row r="1353" spans="1:12" x14ac:dyDescent="0.35">
      <c r="A1353" s="13">
        <v>45908</v>
      </c>
      <c r="B1353" t="s">
        <v>48</v>
      </c>
      <c r="C1353" t="s">
        <v>69</v>
      </c>
      <c r="E1353" s="8">
        <v>1.6</v>
      </c>
      <c r="F1353" s="1">
        <f>6795.0705/0.8</f>
        <v>8493.8381249999984</v>
      </c>
      <c r="H1353">
        <v>1.21</v>
      </c>
      <c r="I1353">
        <v>0.06</v>
      </c>
      <c r="J1353" s="2">
        <f>+DATAIN_COMPRAS__2[[#This Row],[$/ UN NETO]]*DATAIN_COMPRAS__2[[#This Row],[IVA]]</f>
        <v>10277.544131249997</v>
      </c>
      <c r="K1353" s="7">
        <f t="shared" si="27"/>
        <v>15457.426373399996</v>
      </c>
      <c r="L1353" t="s">
        <v>237</v>
      </c>
    </row>
    <row r="1354" spans="1:12" x14ac:dyDescent="0.35">
      <c r="A1354" s="13">
        <v>45908</v>
      </c>
      <c r="B1354" t="s">
        <v>48</v>
      </c>
      <c r="C1354" t="s">
        <v>58</v>
      </c>
      <c r="E1354" s="8">
        <v>6</v>
      </c>
      <c r="F1354" s="1">
        <v>3660.3333333333335</v>
      </c>
      <c r="H1354">
        <v>1.21</v>
      </c>
      <c r="I1354">
        <v>0.06</v>
      </c>
      <c r="J1354" s="2">
        <f>+DATAIN_COMPRAS__2[[#This Row],[$/ UN NETO]]*DATAIN_COMPRAS__2[[#This Row],[IVA]]</f>
        <v>4429.0033333333331</v>
      </c>
      <c r="K1354" s="7">
        <f t="shared" si="27"/>
        <v>24979.578799999999</v>
      </c>
      <c r="L1354" t="s">
        <v>237</v>
      </c>
    </row>
    <row r="1355" spans="1:12" x14ac:dyDescent="0.35">
      <c r="A1355" s="13">
        <v>45908</v>
      </c>
      <c r="B1355" t="s">
        <v>48</v>
      </c>
      <c r="C1355" t="s">
        <v>58</v>
      </c>
      <c r="E1355" s="8">
        <v>6</v>
      </c>
      <c r="F1355" s="1">
        <v>3660.3333333333335</v>
      </c>
      <c r="H1355">
        <v>1.21</v>
      </c>
      <c r="I1355">
        <v>0.06</v>
      </c>
      <c r="J1355" s="2">
        <f>+DATAIN_COMPRAS__2[[#This Row],[$/ UN NETO]]*DATAIN_COMPRAS__2[[#This Row],[IVA]]</f>
        <v>4429.0033333333331</v>
      </c>
      <c r="K1355" s="7">
        <f t="shared" si="27"/>
        <v>24979.578799999999</v>
      </c>
      <c r="L1355" t="s">
        <v>158</v>
      </c>
    </row>
    <row r="1356" spans="1:12" x14ac:dyDescent="0.35">
      <c r="A1356" s="13">
        <v>45908</v>
      </c>
      <c r="B1356" t="s">
        <v>48</v>
      </c>
      <c r="C1356" t="s">
        <v>53</v>
      </c>
      <c r="E1356" s="8">
        <v>2</v>
      </c>
      <c r="F1356" s="1">
        <v>1098.24</v>
      </c>
      <c r="H1356">
        <v>1.21</v>
      </c>
      <c r="J1356" s="2">
        <f>+DATAIN_COMPRAS__2[[#This Row],[$/ UN NETO]]*DATAIN_COMPRAS__2[[#This Row],[IVA]]</f>
        <v>1328.8704</v>
      </c>
      <c r="K1356" s="7">
        <f t="shared" si="27"/>
        <v>2657.7408</v>
      </c>
      <c r="L1356" t="s">
        <v>237</v>
      </c>
    </row>
    <row r="1357" spans="1:12" x14ac:dyDescent="0.35">
      <c r="A1357" s="13">
        <v>45908</v>
      </c>
      <c r="B1357" t="s">
        <v>48</v>
      </c>
      <c r="C1357" t="s">
        <v>52</v>
      </c>
      <c r="E1357" s="8">
        <v>3.61</v>
      </c>
      <c r="F1357" s="1">
        <v>7041.4740000000002</v>
      </c>
      <c r="H1357">
        <v>1.21</v>
      </c>
      <c r="J1357" s="2">
        <f>+DATAIN_COMPRAS__2[[#This Row],[$/ UN NETO]]*DATAIN_COMPRAS__2[[#This Row],[IVA]]</f>
        <v>8520.18354</v>
      </c>
      <c r="K1357" s="7">
        <f t="shared" si="27"/>
        <v>30757.8625794</v>
      </c>
      <c r="L1357" t="s">
        <v>237</v>
      </c>
    </row>
    <row r="1358" spans="1:12" x14ac:dyDescent="0.35">
      <c r="A1358" s="13">
        <v>45908</v>
      </c>
      <c r="B1358" t="s">
        <v>48</v>
      </c>
      <c r="C1358" t="s">
        <v>833</v>
      </c>
      <c r="E1358" s="8">
        <v>4</v>
      </c>
      <c r="F1358" s="1">
        <f>19208.0044/4</f>
        <v>4802.0011000000004</v>
      </c>
      <c r="H1358">
        <v>1.21</v>
      </c>
      <c r="I1358">
        <v>0.06</v>
      </c>
      <c r="J1358" s="2">
        <f>+DATAIN_COMPRAS__2[[#This Row],[$/ UN NETO]]*DATAIN_COMPRAS__2[[#This Row],[IVA]]</f>
        <v>5810.4213310000005</v>
      </c>
      <c r="K1358" s="7">
        <f t="shared" si="27"/>
        <v>21847.184204559999</v>
      </c>
      <c r="L1358" t="s">
        <v>237</v>
      </c>
    </row>
    <row r="1359" spans="1:12" x14ac:dyDescent="0.35">
      <c r="A1359" s="13">
        <v>45908</v>
      </c>
      <c r="B1359" t="s">
        <v>48</v>
      </c>
      <c r="C1359" t="s">
        <v>54</v>
      </c>
      <c r="E1359" s="8">
        <v>0.8</v>
      </c>
      <c r="F1359" s="1">
        <f>833.1421/0.4</f>
        <v>2082.8552500000001</v>
      </c>
      <c r="H1359">
        <v>1.21</v>
      </c>
      <c r="I1359">
        <v>0.06</v>
      </c>
      <c r="J1359" s="2">
        <f>+DATAIN_COMPRAS__2[[#This Row],[$/ UN NETO]]*DATAIN_COMPRAS__2[[#This Row],[IVA]]</f>
        <v>2520.2548525000002</v>
      </c>
      <c r="K1359" s="7">
        <f t="shared" si="27"/>
        <v>1895.2316490799999</v>
      </c>
      <c r="L1359" t="s">
        <v>237</v>
      </c>
    </row>
    <row r="1360" spans="1:12" x14ac:dyDescent="0.35">
      <c r="A1360" s="13">
        <v>45908</v>
      </c>
      <c r="B1360" t="s">
        <v>359</v>
      </c>
      <c r="C1360" t="s">
        <v>111</v>
      </c>
      <c r="E1360" s="8">
        <v>3</v>
      </c>
      <c r="F1360" s="1">
        <f>5393.4/3</f>
        <v>1797.8</v>
      </c>
      <c r="H1360">
        <v>1.21</v>
      </c>
      <c r="J1360" s="2">
        <f>+DATAIN_COMPRAS__2[[#This Row],[$/ UN NETO]]*DATAIN_COMPRAS__2[[#This Row],[IVA]]</f>
        <v>2175.3379999999997</v>
      </c>
      <c r="K1360" s="7">
        <f t="shared" si="27"/>
        <v>6526.0139999999992</v>
      </c>
      <c r="L1360" t="s">
        <v>237</v>
      </c>
    </row>
    <row r="1361" spans="1:12" x14ac:dyDescent="0.35">
      <c r="A1361" s="13">
        <v>45908</v>
      </c>
      <c r="B1361" t="s">
        <v>12</v>
      </c>
      <c r="C1361" t="s">
        <v>41</v>
      </c>
      <c r="E1361" s="8">
        <v>1</v>
      </c>
      <c r="F1361" s="1">
        <v>2800</v>
      </c>
      <c r="H1361">
        <v>1</v>
      </c>
      <c r="J1361" s="2">
        <f>+DATAIN_COMPRAS__2[[#This Row],[$/ UN NETO]]*DATAIN_COMPRAS__2[[#This Row],[IVA]]</f>
        <v>2800</v>
      </c>
      <c r="K1361" s="7">
        <f t="shared" si="27"/>
        <v>2800</v>
      </c>
      <c r="L1361" t="s">
        <v>158</v>
      </c>
    </row>
    <row r="1362" spans="1:12" x14ac:dyDescent="0.35">
      <c r="A1362" s="13">
        <v>45908</v>
      </c>
      <c r="B1362" t="s">
        <v>12</v>
      </c>
      <c r="C1362" s="14" t="s">
        <v>109</v>
      </c>
      <c r="E1362" s="8">
        <v>0.5</v>
      </c>
      <c r="F1362" s="1">
        <v>8200</v>
      </c>
      <c r="H1362">
        <v>1</v>
      </c>
      <c r="J1362" s="2">
        <f>+DATAIN_COMPRAS__2[[#This Row],[$/ UN NETO]]*DATAIN_COMPRAS__2[[#This Row],[IVA]]</f>
        <v>8200</v>
      </c>
      <c r="K1362" s="7">
        <f t="shared" si="27"/>
        <v>4100</v>
      </c>
      <c r="L1362" t="s">
        <v>158</v>
      </c>
    </row>
    <row r="1363" spans="1:12" x14ac:dyDescent="0.35">
      <c r="A1363" s="13">
        <v>45908</v>
      </c>
      <c r="B1363" t="s">
        <v>12</v>
      </c>
      <c r="C1363" t="s">
        <v>39</v>
      </c>
      <c r="E1363" s="8">
        <v>0.34</v>
      </c>
      <c r="F1363" s="1">
        <v>2600</v>
      </c>
      <c r="H1363">
        <v>1</v>
      </c>
      <c r="J1363" s="2">
        <f>+DATAIN_COMPRAS__2[[#This Row],[$/ UN NETO]]*DATAIN_COMPRAS__2[[#This Row],[IVA]]</f>
        <v>2600</v>
      </c>
      <c r="K1363" s="7">
        <f t="shared" si="27"/>
        <v>884.00000000000011</v>
      </c>
      <c r="L1363" t="s">
        <v>158</v>
      </c>
    </row>
    <row r="1364" spans="1:12" x14ac:dyDescent="0.35">
      <c r="A1364" s="13">
        <v>45908</v>
      </c>
      <c r="B1364" t="s">
        <v>12</v>
      </c>
      <c r="C1364" t="s">
        <v>28</v>
      </c>
      <c r="E1364" s="8">
        <v>0.27500000000000002</v>
      </c>
      <c r="F1364" s="1">
        <f>3000/DATAIN_COMPRAS__2[[#This Row],[CANT]]</f>
        <v>10909.090909090908</v>
      </c>
      <c r="H1364">
        <v>1</v>
      </c>
      <c r="J1364" s="2">
        <f>+DATAIN_COMPRAS__2[[#This Row],[$/ UN NETO]]*DATAIN_COMPRAS__2[[#This Row],[IVA]]</f>
        <v>10909.090909090908</v>
      </c>
      <c r="K1364" s="7">
        <f t="shared" si="27"/>
        <v>3000</v>
      </c>
      <c r="L1364" t="s">
        <v>237</v>
      </c>
    </row>
    <row r="1365" spans="1:12" x14ac:dyDescent="0.35">
      <c r="A1365" s="13">
        <v>45908</v>
      </c>
      <c r="B1365" t="s">
        <v>12</v>
      </c>
      <c r="C1365" t="s">
        <v>20</v>
      </c>
      <c r="E1365" s="8">
        <v>2</v>
      </c>
      <c r="F1365" s="1">
        <v>1800</v>
      </c>
      <c r="H1365">
        <v>1</v>
      </c>
      <c r="J1365" s="2">
        <f>+DATAIN_COMPRAS__2[[#This Row],[$/ UN NETO]]*DATAIN_COMPRAS__2[[#This Row],[IVA]]</f>
        <v>1800</v>
      </c>
      <c r="K1365" s="7">
        <f t="shared" si="27"/>
        <v>3600</v>
      </c>
      <c r="L1365" t="s">
        <v>158</v>
      </c>
    </row>
    <row r="1366" spans="1:12" x14ac:dyDescent="0.35">
      <c r="A1366" s="13">
        <v>45908</v>
      </c>
      <c r="B1366" t="s">
        <v>12</v>
      </c>
      <c r="C1366" t="s">
        <v>30</v>
      </c>
      <c r="E1366" s="8">
        <v>3</v>
      </c>
      <c r="F1366" s="1">
        <v>1200</v>
      </c>
      <c r="H1366">
        <v>1</v>
      </c>
      <c r="J1366" s="2">
        <f>+DATAIN_COMPRAS__2[[#This Row],[$/ UN NETO]]*DATAIN_COMPRAS__2[[#This Row],[IVA]]</f>
        <v>1200</v>
      </c>
      <c r="K1366" s="7">
        <f t="shared" si="27"/>
        <v>3600</v>
      </c>
      <c r="L1366" t="s">
        <v>158</v>
      </c>
    </row>
    <row r="1367" spans="1:12" x14ac:dyDescent="0.35">
      <c r="A1367" s="13">
        <v>45909</v>
      </c>
      <c r="B1367" t="s">
        <v>104</v>
      </c>
      <c r="C1367" t="s">
        <v>105</v>
      </c>
      <c r="E1367" s="8">
        <v>1</v>
      </c>
      <c r="F1367" s="1">
        <v>10510</v>
      </c>
      <c r="H1367">
        <v>1</v>
      </c>
      <c r="J1367" s="2">
        <f>+DATAIN_COMPRAS__2[[#This Row],[$/ UN NETO]]*DATAIN_COMPRAS__2[[#This Row],[IVA]]</f>
        <v>10510</v>
      </c>
      <c r="K1367" s="7">
        <f t="shared" si="27"/>
        <v>10510</v>
      </c>
      <c r="L1367" t="s">
        <v>158</v>
      </c>
    </row>
    <row r="1368" spans="1:12" x14ac:dyDescent="0.35">
      <c r="A1368" s="13">
        <v>45909</v>
      </c>
      <c r="B1368" t="s">
        <v>800</v>
      </c>
      <c r="C1368" t="s">
        <v>801</v>
      </c>
      <c r="E1368" s="8">
        <v>1</v>
      </c>
      <c r="F1368" s="1">
        <v>6250</v>
      </c>
      <c r="H1368">
        <v>1</v>
      </c>
      <c r="J1368" s="2">
        <f>+DATAIN_COMPRAS__2[[#This Row],[$/ UN NETO]]*DATAIN_COMPRAS__2[[#This Row],[IVA]]</f>
        <v>6250</v>
      </c>
      <c r="K1368" s="7">
        <f t="shared" si="27"/>
        <v>6250</v>
      </c>
      <c r="L1368" t="s">
        <v>237</v>
      </c>
    </row>
    <row r="1369" spans="1:12" x14ac:dyDescent="0.35">
      <c r="A1369" s="13">
        <v>45909</v>
      </c>
      <c r="B1369" t="s">
        <v>800</v>
      </c>
      <c r="C1369" t="s">
        <v>801</v>
      </c>
      <c r="E1369" s="8">
        <v>1</v>
      </c>
      <c r="F1369" s="1">
        <v>6250</v>
      </c>
      <c r="H1369">
        <v>1</v>
      </c>
      <c r="J1369" s="2">
        <f>+DATAIN_COMPRAS__2[[#This Row],[$/ UN NETO]]*DATAIN_COMPRAS__2[[#This Row],[IVA]]</f>
        <v>6250</v>
      </c>
      <c r="K1369" s="7">
        <f t="shared" si="27"/>
        <v>6250</v>
      </c>
      <c r="L1369" t="s">
        <v>237</v>
      </c>
    </row>
    <row r="1370" spans="1:12" x14ac:dyDescent="0.35">
      <c r="A1370" s="13">
        <v>45909</v>
      </c>
      <c r="B1370" t="s">
        <v>75</v>
      </c>
      <c r="C1370" t="s">
        <v>76</v>
      </c>
      <c r="E1370" s="8">
        <v>60</v>
      </c>
      <c r="F1370" s="1">
        <v>1157.1600000000001</v>
      </c>
      <c r="H1370">
        <v>1.21</v>
      </c>
      <c r="J1370" s="2">
        <f>+DATAIN_COMPRAS__2[[#This Row],[$/ UN NETO]]*DATAIN_COMPRAS__2[[#This Row],[IVA]]</f>
        <v>1400.1636000000001</v>
      </c>
      <c r="K1370" s="7">
        <f t="shared" si="27"/>
        <v>84009.816000000006</v>
      </c>
      <c r="L1370" t="s">
        <v>237</v>
      </c>
    </row>
    <row r="1371" spans="1:12" x14ac:dyDescent="0.35">
      <c r="A1371" s="13">
        <v>45910</v>
      </c>
      <c r="B1371" t="s">
        <v>796</v>
      </c>
      <c r="C1371" t="s">
        <v>825</v>
      </c>
      <c r="E1371" s="8"/>
      <c r="F1371" s="1"/>
      <c r="J1371" s="2"/>
      <c r="K1371">
        <v>21096</v>
      </c>
      <c r="L1371" t="s">
        <v>237</v>
      </c>
    </row>
    <row r="1372" spans="1:12" x14ac:dyDescent="0.35">
      <c r="A1372" s="13">
        <v>45910</v>
      </c>
      <c r="B1372" t="s">
        <v>256</v>
      </c>
      <c r="C1372" t="s">
        <v>258</v>
      </c>
      <c r="E1372" s="8">
        <v>5</v>
      </c>
      <c r="F1372" s="1">
        <v>9581.0159999999996</v>
      </c>
      <c r="H1372">
        <v>1.21</v>
      </c>
      <c r="J1372" s="2">
        <f>+DATAIN_COMPRAS__2[[#This Row],[$/ UN NETO]]*DATAIN_COMPRAS__2[[#This Row],[IVA]]</f>
        <v>11593.029359999999</v>
      </c>
      <c r="K1372" s="7">
        <f t="shared" ref="K1372:K1377" si="28">(E1372*F1372)*(1-I1372)*(H1372)</f>
        <v>57965.146800000002</v>
      </c>
      <c r="L1372" t="s">
        <v>237</v>
      </c>
    </row>
    <row r="1373" spans="1:12" x14ac:dyDescent="0.35">
      <c r="A1373" s="13">
        <v>45910</v>
      </c>
      <c r="B1373" t="s">
        <v>256</v>
      </c>
      <c r="C1373" t="s">
        <v>254</v>
      </c>
      <c r="E1373" s="8">
        <v>2.85</v>
      </c>
      <c r="F1373" s="1">
        <v>8625.0350999999991</v>
      </c>
      <c r="H1373">
        <v>1.21</v>
      </c>
      <c r="J1373" s="2">
        <f>+DATAIN_COMPRAS__2[[#This Row],[$/ UN NETO]]*DATAIN_COMPRAS__2[[#This Row],[IVA]]</f>
        <v>10436.292470999999</v>
      </c>
      <c r="K1373" s="7">
        <f t="shared" si="28"/>
        <v>29743.433542349998</v>
      </c>
      <c r="L1373" t="s">
        <v>158</v>
      </c>
    </row>
    <row r="1374" spans="1:12" x14ac:dyDescent="0.35">
      <c r="A1374" s="13">
        <v>45910</v>
      </c>
      <c r="B1374" t="s">
        <v>256</v>
      </c>
      <c r="C1374" t="s">
        <v>259</v>
      </c>
      <c r="E1374" s="8">
        <v>5</v>
      </c>
      <c r="F1374" s="1">
        <v>9269.44</v>
      </c>
      <c r="H1374">
        <v>1.21</v>
      </c>
      <c r="J1374" s="2">
        <f>+DATAIN_COMPRAS__2[[#This Row],[$/ UN NETO]]*DATAIN_COMPRAS__2[[#This Row],[IVA]]</f>
        <v>11216.0224</v>
      </c>
      <c r="K1374" s="7">
        <f t="shared" si="28"/>
        <v>56080.112000000001</v>
      </c>
      <c r="L1374" t="s">
        <v>237</v>
      </c>
    </row>
    <row r="1375" spans="1:12" x14ac:dyDescent="0.35">
      <c r="A1375" s="13">
        <v>45911</v>
      </c>
      <c r="B1375" t="s">
        <v>242</v>
      </c>
      <c r="C1375" s="14" t="s">
        <v>851</v>
      </c>
      <c r="E1375" s="8">
        <v>1</v>
      </c>
      <c r="F1375" s="1">
        <v>18500</v>
      </c>
      <c r="H1375">
        <v>1</v>
      </c>
      <c r="J1375" s="2">
        <f>+DATAIN_COMPRAS__2[[#This Row],[$/ UN NETO]]*DATAIN_COMPRAS__2[[#This Row],[IVA]]</f>
        <v>18500</v>
      </c>
      <c r="K1375" s="7">
        <f t="shared" si="28"/>
        <v>18500</v>
      </c>
      <c r="L1375" t="s">
        <v>255</v>
      </c>
    </row>
    <row r="1376" spans="1:12" x14ac:dyDescent="0.35">
      <c r="A1376" s="13">
        <v>45911</v>
      </c>
      <c r="B1376" t="s">
        <v>242</v>
      </c>
      <c r="C1376" t="s">
        <v>849</v>
      </c>
      <c r="E1376" s="8">
        <v>1</v>
      </c>
      <c r="F1376" s="1">
        <v>18500</v>
      </c>
      <c r="H1376">
        <v>1</v>
      </c>
      <c r="J1376" s="2">
        <f>+DATAIN_COMPRAS__2[[#This Row],[$/ UN NETO]]*DATAIN_COMPRAS__2[[#This Row],[IVA]]</f>
        <v>18500</v>
      </c>
      <c r="K1376" s="7">
        <f t="shared" si="28"/>
        <v>18500</v>
      </c>
      <c r="L1376" t="s">
        <v>237</v>
      </c>
    </row>
    <row r="1377" spans="1:12" x14ac:dyDescent="0.35">
      <c r="A1377" s="13">
        <v>45911</v>
      </c>
      <c r="B1377" t="s">
        <v>242</v>
      </c>
      <c r="C1377" t="s">
        <v>850</v>
      </c>
      <c r="E1377" s="8">
        <v>1</v>
      </c>
      <c r="F1377" s="1">
        <v>18500</v>
      </c>
      <c r="H1377">
        <v>1</v>
      </c>
      <c r="J1377" s="2">
        <f>+DATAIN_COMPRAS__2[[#This Row],[$/ UN NETO]]*DATAIN_COMPRAS__2[[#This Row],[IVA]]</f>
        <v>18500</v>
      </c>
      <c r="K1377" s="7">
        <f t="shared" si="28"/>
        <v>18500</v>
      </c>
      <c r="L1377" t="s">
        <v>237</v>
      </c>
    </row>
    <row r="1378" spans="1:12" x14ac:dyDescent="0.35">
      <c r="A1378" s="13">
        <v>45911</v>
      </c>
      <c r="B1378" t="s">
        <v>796</v>
      </c>
      <c r="C1378" t="s">
        <v>825</v>
      </c>
      <c r="E1378" s="8"/>
      <c r="F1378" s="1"/>
      <c r="J1378" s="7"/>
      <c r="K1378" s="7">
        <v>44180.4</v>
      </c>
      <c r="L1378" t="s">
        <v>237</v>
      </c>
    </row>
    <row r="1379" spans="1:12" x14ac:dyDescent="0.35">
      <c r="A1379" s="13">
        <v>45911</v>
      </c>
      <c r="B1379" t="s">
        <v>110</v>
      </c>
      <c r="C1379" t="s">
        <v>116</v>
      </c>
      <c r="E1379" s="8">
        <v>10</v>
      </c>
      <c r="F1379" s="1">
        <f>5374.59/10</f>
        <v>537.45900000000006</v>
      </c>
      <c r="H1379">
        <v>1.21</v>
      </c>
      <c r="J1379" s="2">
        <f>+DATAIN_COMPRAS__2[[#This Row],[$/ UN NETO]]*DATAIN_COMPRAS__2[[#This Row],[IVA]]</f>
        <v>650.32539000000008</v>
      </c>
      <c r="K1379" s="7">
        <f>(E1379*F1379)*(1-I1379)*(H1379)</f>
        <v>6503.2538999999997</v>
      </c>
      <c r="L1379" t="s">
        <v>158</v>
      </c>
    </row>
    <row r="1380" spans="1:12" x14ac:dyDescent="0.35">
      <c r="A1380" s="13">
        <v>45911</v>
      </c>
      <c r="B1380" t="s">
        <v>110</v>
      </c>
      <c r="C1380" t="s">
        <v>195</v>
      </c>
      <c r="E1380" s="8">
        <v>9.1999999999999993</v>
      </c>
      <c r="F1380" s="1">
        <f>28306.2/DATAIN_COMPRAS__2[[#This Row],[CANT]]</f>
        <v>3076.7608695652175</v>
      </c>
      <c r="H1380">
        <v>1.21</v>
      </c>
      <c r="J1380" s="2">
        <f>+DATAIN_COMPRAS__2[[#This Row],[$/ UN NETO]]*DATAIN_COMPRAS__2[[#This Row],[IVA]]</f>
        <v>3722.8806521739129</v>
      </c>
      <c r="K1380" s="7">
        <f>(E1380*F1380)*(1-I1380)*(H1380)</f>
        <v>34250.501999999993</v>
      </c>
      <c r="L1380" t="s">
        <v>237</v>
      </c>
    </row>
    <row r="1381" spans="1:12" x14ac:dyDescent="0.35">
      <c r="A1381" s="13">
        <v>45911</v>
      </c>
      <c r="B1381" t="s">
        <v>797</v>
      </c>
      <c r="C1381" t="s">
        <v>193</v>
      </c>
      <c r="E1381" s="8">
        <v>1</v>
      </c>
      <c r="F1381" s="1">
        <v>30200</v>
      </c>
      <c r="H1381">
        <v>1</v>
      </c>
      <c r="J1381" s="2">
        <f>+DATAIN_COMPRAS__2[[#This Row],[$/ UN NETO]]*DATAIN_COMPRAS__2[[#This Row],[IVA]]</f>
        <v>30200</v>
      </c>
      <c r="K1381" s="7">
        <f>(E1381*F1381)*(1-I1381)*(H1381)</f>
        <v>30200</v>
      </c>
      <c r="L1381" t="s">
        <v>158</v>
      </c>
    </row>
    <row r="1382" spans="1:12" x14ac:dyDescent="0.35">
      <c r="A1382" s="13">
        <v>45912</v>
      </c>
      <c r="B1382" t="s">
        <v>796</v>
      </c>
      <c r="C1382" t="s">
        <v>825</v>
      </c>
      <c r="E1382" s="8"/>
      <c r="F1382" s="1"/>
      <c r="J1382" s="2"/>
      <c r="K1382" s="7">
        <v>57276</v>
      </c>
      <c r="L1382" t="s">
        <v>237</v>
      </c>
    </row>
    <row r="1383" spans="1:12" x14ac:dyDescent="0.35">
      <c r="A1383" s="13">
        <v>45912</v>
      </c>
      <c r="B1383" t="s">
        <v>12</v>
      </c>
      <c r="C1383" t="s">
        <v>28</v>
      </c>
      <c r="E1383" s="8">
        <v>0.27500000000000002</v>
      </c>
      <c r="F1383" s="1">
        <f>3000/DATAIN_COMPRAS__2[[#This Row],[CANT]]</f>
        <v>10909.090909090908</v>
      </c>
      <c r="H1383">
        <v>1</v>
      </c>
      <c r="J1383" s="2">
        <f>+DATAIN_COMPRAS__2[[#This Row],[$/ UN NETO]]*DATAIN_COMPRAS__2[[#This Row],[IVA]]</f>
        <v>10909.090909090908</v>
      </c>
      <c r="K1383" s="7">
        <f>(E1383*F1383)*(1-I1383)*(H1383)</f>
        <v>3000</v>
      </c>
      <c r="L1383" t="s">
        <v>237</v>
      </c>
    </row>
    <row r="1384" spans="1:12" x14ac:dyDescent="0.35">
      <c r="A1384" s="13">
        <v>45913</v>
      </c>
      <c r="B1384" t="s">
        <v>796</v>
      </c>
      <c r="C1384" t="s">
        <v>825</v>
      </c>
      <c r="E1384" s="8"/>
      <c r="F1384" s="1"/>
      <c r="J1384" s="2"/>
      <c r="K1384" s="7">
        <v>91340.4</v>
      </c>
      <c r="L1384" t="s">
        <v>237</v>
      </c>
    </row>
    <row r="1385" spans="1:12" x14ac:dyDescent="0.35">
      <c r="A1385" s="13">
        <v>45913</v>
      </c>
      <c r="B1385" t="s">
        <v>80</v>
      </c>
      <c r="C1385" t="s">
        <v>315</v>
      </c>
      <c r="E1385" s="8">
        <v>1</v>
      </c>
      <c r="F1385" s="1">
        <v>826.45</v>
      </c>
      <c r="H1385">
        <v>1.21</v>
      </c>
      <c r="J1385" s="2">
        <f>+DATAIN_COMPRAS__2[[#This Row],[$/ UN NETO]]*DATAIN_COMPRAS__2[[#This Row],[IVA]]</f>
        <v>1000.0045</v>
      </c>
      <c r="K1385" s="7">
        <f t="shared" ref="K1385:K1392" si="29">(E1385*F1385)*(1-I1385)*(H1385)</f>
        <v>1000.0045</v>
      </c>
      <c r="L1385" t="s">
        <v>237</v>
      </c>
    </row>
    <row r="1386" spans="1:12" x14ac:dyDescent="0.35">
      <c r="A1386" s="13">
        <v>45913</v>
      </c>
      <c r="B1386" t="s">
        <v>80</v>
      </c>
      <c r="C1386" s="14" t="s">
        <v>96</v>
      </c>
      <c r="E1386" s="8">
        <v>30</v>
      </c>
      <c r="F1386" s="1">
        <v>99.17</v>
      </c>
      <c r="H1386">
        <v>1.21</v>
      </c>
      <c r="J1386" s="2">
        <f>+DATAIN_COMPRAS__2[[#This Row],[$/ UN NETO]]*DATAIN_COMPRAS__2[[#This Row],[IVA]]</f>
        <v>119.9957</v>
      </c>
      <c r="K1386" s="7">
        <f t="shared" si="29"/>
        <v>3599.8709999999996</v>
      </c>
      <c r="L1386" t="s">
        <v>237</v>
      </c>
    </row>
    <row r="1387" spans="1:12" x14ac:dyDescent="0.35">
      <c r="A1387" s="13">
        <v>45913</v>
      </c>
      <c r="B1387" t="s">
        <v>80</v>
      </c>
      <c r="C1387" s="14" t="s">
        <v>88</v>
      </c>
      <c r="E1387" s="8">
        <v>30</v>
      </c>
      <c r="F1387" s="1">
        <v>123.97</v>
      </c>
      <c r="H1387">
        <v>1.21</v>
      </c>
      <c r="J1387" s="2">
        <f>+DATAIN_COMPRAS__2[[#This Row],[$/ UN NETO]]*DATAIN_COMPRAS__2[[#This Row],[IVA]]</f>
        <v>150.00369999999998</v>
      </c>
      <c r="K1387" s="7">
        <f t="shared" si="29"/>
        <v>4500.1109999999999</v>
      </c>
      <c r="L1387" t="s">
        <v>237</v>
      </c>
    </row>
    <row r="1388" spans="1:12" x14ac:dyDescent="0.35">
      <c r="A1388" s="13">
        <v>45913</v>
      </c>
      <c r="B1388" t="s">
        <v>80</v>
      </c>
      <c r="C1388" s="14" t="s">
        <v>86</v>
      </c>
      <c r="E1388" s="8">
        <v>30</v>
      </c>
      <c r="F1388" s="8">
        <v>173.95</v>
      </c>
      <c r="H1388">
        <v>1.21</v>
      </c>
      <c r="J1388" s="2">
        <f>+DATAIN_COMPRAS__2[[#This Row],[$/ UN NETO]]*DATAIN_COMPRAS__2[[#This Row],[IVA]]</f>
        <v>210.47949999999997</v>
      </c>
      <c r="K1388" s="7">
        <f t="shared" si="29"/>
        <v>6314.3850000000002</v>
      </c>
      <c r="L1388" t="s">
        <v>237</v>
      </c>
    </row>
    <row r="1389" spans="1:12" x14ac:dyDescent="0.35">
      <c r="A1389" s="13">
        <v>45913</v>
      </c>
      <c r="B1389" t="s">
        <v>80</v>
      </c>
      <c r="C1389" s="14" t="s">
        <v>282</v>
      </c>
      <c r="E1389" s="8">
        <v>50</v>
      </c>
      <c r="F1389" s="1">
        <v>30.71</v>
      </c>
      <c r="H1389">
        <v>1.21</v>
      </c>
      <c r="J1389" s="2">
        <f>+DATAIN_COMPRAS__2[[#This Row],[$/ UN NETO]]*DATAIN_COMPRAS__2[[#This Row],[IVA]]</f>
        <v>37.159100000000002</v>
      </c>
      <c r="K1389" s="7">
        <f t="shared" si="29"/>
        <v>1857.9549999999999</v>
      </c>
      <c r="L1389" t="s">
        <v>237</v>
      </c>
    </row>
    <row r="1390" spans="1:12" x14ac:dyDescent="0.35">
      <c r="A1390" s="13">
        <v>45913</v>
      </c>
      <c r="B1390" t="s">
        <v>80</v>
      </c>
      <c r="C1390" s="14" t="s">
        <v>280</v>
      </c>
      <c r="E1390" s="8">
        <v>50</v>
      </c>
      <c r="F1390" s="1">
        <f>826.45/DATAIN_COMPRAS__2[[#This Row],[CANT]]</f>
        <v>16.529</v>
      </c>
      <c r="H1390">
        <v>1.21</v>
      </c>
      <c r="J1390" s="2">
        <f>+DATAIN_COMPRAS__2[[#This Row],[$/ UN NETO]]*DATAIN_COMPRAS__2[[#This Row],[IVA]]</f>
        <v>20.00009</v>
      </c>
      <c r="K1390" s="7">
        <f t="shared" si="29"/>
        <v>1000.0045</v>
      </c>
      <c r="L1390" t="s">
        <v>237</v>
      </c>
    </row>
    <row r="1391" spans="1:12" x14ac:dyDescent="0.35">
      <c r="A1391" s="13">
        <v>45913</v>
      </c>
      <c r="B1391" t="s">
        <v>80</v>
      </c>
      <c r="C1391" s="14" t="s">
        <v>787</v>
      </c>
      <c r="E1391" s="8">
        <v>30</v>
      </c>
      <c r="F1391" s="1">
        <f>(82.64+206.61)</f>
        <v>289.25</v>
      </c>
      <c r="H1391">
        <v>1.21</v>
      </c>
      <c r="J1391" s="2">
        <f>+DATAIN_COMPRAS__2[[#This Row],[$/ UN NETO]]*DATAIN_COMPRAS__2[[#This Row],[IVA]]</f>
        <v>349.99250000000001</v>
      </c>
      <c r="K1391" s="7">
        <f t="shared" si="29"/>
        <v>10499.775</v>
      </c>
      <c r="L1391" t="s">
        <v>237</v>
      </c>
    </row>
    <row r="1392" spans="1:12" x14ac:dyDescent="0.35">
      <c r="A1392" s="13">
        <v>45914</v>
      </c>
      <c r="B1392" t="s">
        <v>798</v>
      </c>
      <c r="C1392" t="s">
        <v>799</v>
      </c>
      <c r="E1392" s="8">
        <v>0.3</v>
      </c>
      <c r="F1392" s="1">
        <f>2290/DATAIN_COMPRAS__2[[#This Row],[CANT]]</f>
        <v>7633.3333333333339</v>
      </c>
      <c r="H1392">
        <v>1</v>
      </c>
      <c r="J1392" s="2">
        <f>+DATAIN_COMPRAS__2[[#This Row],[$/ UN NETO]]*DATAIN_COMPRAS__2[[#This Row],[IVA]]</f>
        <v>7633.3333333333339</v>
      </c>
      <c r="K1392" s="7">
        <f t="shared" si="29"/>
        <v>2290</v>
      </c>
      <c r="L1392" t="s">
        <v>237</v>
      </c>
    </row>
    <row r="1393" spans="1:12" x14ac:dyDescent="0.35">
      <c r="A1393" s="13">
        <v>45914</v>
      </c>
      <c r="B1393" t="s">
        <v>796</v>
      </c>
      <c r="C1393" t="s">
        <v>825</v>
      </c>
      <c r="E1393" s="8"/>
      <c r="F1393" s="1"/>
      <c r="J1393" s="2"/>
      <c r="K1393" s="7">
        <v>66021.33</v>
      </c>
      <c r="L1393" t="s">
        <v>237</v>
      </c>
    </row>
    <row r="1394" spans="1:12" x14ac:dyDescent="0.35">
      <c r="A1394" s="13">
        <v>45914</v>
      </c>
      <c r="B1394" t="s">
        <v>80</v>
      </c>
      <c r="C1394" t="s">
        <v>802</v>
      </c>
      <c r="E1394" s="8">
        <v>1000</v>
      </c>
      <c r="F1394" s="1">
        <v>5.6</v>
      </c>
      <c r="H1394">
        <v>1</v>
      </c>
      <c r="J1394" s="2">
        <f>+DATAIN_COMPRAS__2[[#This Row],[$/ UN NETO]]*DATAIN_COMPRAS__2[[#This Row],[IVA]]</f>
        <v>5.6</v>
      </c>
      <c r="K1394" s="7">
        <f>(E1394*F1394)*(1-I1394)*(H1394)</f>
        <v>5600</v>
      </c>
      <c r="L1394" t="s">
        <v>255</v>
      </c>
    </row>
    <row r="1395" spans="1:12" x14ac:dyDescent="0.35">
      <c r="A1395" s="13">
        <v>45915</v>
      </c>
      <c r="B1395" t="s">
        <v>796</v>
      </c>
      <c r="C1395" t="s">
        <v>825</v>
      </c>
      <c r="E1395" s="8"/>
      <c r="F1395" s="1"/>
      <c r="J1395" s="2"/>
      <c r="K1395" s="7">
        <v>54675.26</v>
      </c>
      <c r="L1395" t="s">
        <v>237</v>
      </c>
    </row>
    <row r="1396" spans="1:12" x14ac:dyDescent="0.35">
      <c r="A1396" s="13">
        <v>45915</v>
      </c>
      <c r="B1396" t="s">
        <v>48</v>
      </c>
      <c r="C1396" t="s">
        <v>53</v>
      </c>
      <c r="E1396" s="8">
        <v>4</v>
      </c>
      <c r="F1396" s="1">
        <f>1098.24/2</f>
        <v>549.12</v>
      </c>
      <c r="H1396">
        <v>1.21</v>
      </c>
      <c r="J1396" s="2">
        <f>+DATAIN_COMPRAS__2[[#This Row],[$/ UN NETO]]*DATAIN_COMPRAS__2[[#This Row],[IVA]]</f>
        <v>664.43520000000001</v>
      </c>
      <c r="K1396" s="7">
        <f>(E1396*F1396)*(1-I1396)*(H1396)</f>
        <v>2657.7408</v>
      </c>
      <c r="L1396" t="s">
        <v>237</v>
      </c>
    </row>
    <row r="1397" spans="1:12" x14ac:dyDescent="0.35">
      <c r="A1397" s="13">
        <v>45915</v>
      </c>
      <c r="B1397" t="s">
        <v>48</v>
      </c>
      <c r="C1397" t="s">
        <v>833</v>
      </c>
      <c r="E1397" s="8">
        <v>4</v>
      </c>
      <c r="F1397" s="1">
        <f>19344/4</f>
        <v>4836</v>
      </c>
      <c r="H1397">
        <v>1.21</v>
      </c>
      <c r="I1397">
        <v>0.06</v>
      </c>
      <c r="J1397" s="2">
        <f>+DATAIN_COMPRAS__2[[#This Row],[$/ UN NETO]]*DATAIN_COMPRAS__2[[#This Row],[IVA]]</f>
        <v>5851.5599999999995</v>
      </c>
      <c r="K1397" s="7">
        <f>(E1397*F1397)*(1-I1397)*(H1397)</f>
        <v>22001.865600000001</v>
      </c>
      <c r="L1397" t="s">
        <v>237</v>
      </c>
    </row>
    <row r="1398" spans="1:12" x14ac:dyDescent="0.35">
      <c r="A1398" s="13">
        <v>45915</v>
      </c>
      <c r="B1398" t="s">
        <v>48</v>
      </c>
      <c r="C1398" t="s">
        <v>54</v>
      </c>
      <c r="E1398" s="8">
        <v>0.8</v>
      </c>
      <c r="F1398" s="1">
        <f>+(833.1421*2)/DATAIN_COMPRAS__2[[#This Row],[CANT]]</f>
        <v>2082.8552500000001</v>
      </c>
      <c r="H1398">
        <v>1.21</v>
      </c>
      <c r="I1398">
        <v>0.06</v>
      </c>
      <c r="J1398" s="2">
        <f>+DATAIN_COMPRAS__2[[#This Row],[$/ UN NETO]]*DATAIN_COMPRAS__2[[#This Row],[IVA]]</f>
        <v>2520.2548525000002</v>
      </c>
      <c r="K1398" s="7">
        <f>(E1398*F1398)*(1-I1398)*(H1398)</f>
        <v>1895.2316490799999</v>
      </c>
      <c r="L1398" t="s">
        <v>237</v>
      </c>
    </row>
    <row r="1399" spans="1:12" x14ac:dyDescent="0.35">
      <c r="A1399" s="13">
        <v>45915</v>
      </c>
      <c r="B1399" t="s">
        <v>179</v>
      </c>
      <c r="C1399" t="s">
        <v>180</v>
      </c>
      <c r="E1399" s="8">
        <v>10</v>
      </c>
      <c r="F1399" s="1">
        <f>32622.48/10</f>
        <v>3262.248</v>
      </c>
      <c r="H1399">
        <v>1.21</v>
      </c>
      <c r="I1399">
        <v>0.05</v>
      </c>
      <c r="J1399" s="2">
        <f>+DATAIN_COMPRAS__2[[#This Row],[$/ UN NETO]]*DATAIN_COMPRAS__2[[#This Row],[IVA]]</f>
        <v>3947.32008</v>
      </c>
      <c r="K1399" s="7">
        <f>(E1399*F1399)*(1-I1399)*(H1399)</f>
        <v>37499.540759999996</v>
      </c>
      <c r="L1399" t="s">
        <v>158</v>
      </c>
    </row>
    <row r="1400" spans="1:12" x14ac:dyDescent="0.35">
      <c r="A1400" s="13">
        <v>45916</v>
      </c>
      <c r="B1400" t="s">
        <v>75</v>
      </c>
      <c r="C1400" t="s">
        <v>76</v>
      </c>
      <c r="E1400" s="8">
        <v>60</v>
      </c>
      <c r="F1400" s="1">
        <v>1157.1600000000001</v>
      </c>
      <c r="H1400">
        <v>1.21</v>
      </c>
      <c r="J1400" s="2">
        <f>+DATAIN_COMPRAS__2[[#This Row],[$/ UN NETO]]*DATAIN_COMPRAS__2[[#This Row],[IVA]]</f>
        <v>1400.1636000000001</v>
      </c>
      <c r="K1400" s="7">
        <f>(E1400*F1400)*(1-I1400)*(H1400)</f>
        <v>84009.816000000006</v>
      </c>
      <c r="L1400" t="s">
        <v>237</v>
      </c>
    </row>
    <row r="1401" spans="1:12" x14ac:dyDescent="0.35">
      <c r="A1401" s="13">
        <v>45917</v>
      </c>
      <c r="B1401" t="s">
        <v>796</v>
      </c>
      <c r="C1401" t="s">
        <v>825</v>
      </c>
      <c r="E1401" s="8"/>
      <c r="F1401" s="1"/>
      <c r="J1401" s="2"/>
      <c r="K1401" s="7">
        <v>50202.38</v>
      </c>
      <c r="L1401" t="s">
        <v>237</v>
      </c>
    </row>
    <row r="1402" spans="1:12" x14ac:dyDescent="0.35">
      <c r="A1402" s="13">
        <v>45917</v>
      </c>
      <c r="B1402" t="s">
        <v>104</v>
      </c>
      <c r="C1402" t="s">
        <v>105</v>
      </c>
      <c r="E1402" s="8">
        <v>2</v>
      </c>
      <c r="F1402" s="1">
        <v>11770</v>
      </c>
      <c r="H1402">
        <v>1</v>
      </c>
      <c r="J1402" s="2">
        <f>+DATAIN_COMPRAS__2[[#This Row],[$/ UN NETO]]*DATAIN_COMPRAS__2[[#This Row],[IVA]]</f>
        <v>11770</v>
      </c>
      <c r="K1402" s="7">
        <f>(E1402*F1402)*(1-I1402)*(H1402)</f>
        <v>23540</v>
      </c>
      <c r="L1402" t="s">
        <v>158</v>
      </c>
    </row>
    <row r="1403" spans="1:12" x14ac:dyDescent="0.35">
      <c r="A1403" s="13">
        <v>45918</v>
      </c>
      <c r="B1403" t="s">
        <v>185</v>
      </c>
      <c r="C1403" t="s">
        <v>189</v>
      </c>
      <c r="E1403" s="8">
        <v>25</v>
      </c>
      <c r="F1403" s="1">
        <v>948.12</v>
      </c>
      <c r="H1403">
        <v>1</v>
      </c>
      <c r="J1403" s="2">
        <f>+DATAIN_COMPRAS__2[[#This Row],[$/ UN NETO]]*DATAIN_COMPRAS__2[[#This Row],[IVA]]</f>
        <v>948.12</v>
      </c>
      <c r="K1403" s="7">
        <f>(E1403*F1403)*(1-I1403)*(H1403)</f>
        <v>23703</v>
      </c>
      <c r="L1403" t="s">
        <v>158</v>
      </c>
    </row>
    <row r="1404" spans="1:12" x14ac:dyDescent="0.35">
      <c r="A1404" s="13">
        <v>45918</v>
      </c>
      <c r="B1404" t="s">
        <v>803</v>
      </c>
      <c r="C1404" t="s">
        <v>804</v>
      </c>
      <c r="E1404" s="8"/>
      <c r="F1404" s="1"/>
      <c r="J1404" s="2"/>
      <c r="K1404" s="7">
        <v>11000</v>
      </c>
      <c r="L1404" t="s">
        <v>237</v>
      </c>
    </row>
    <row r="1405" spans="1:12" x14ac:dyDescent="0.35">
      <c r="A1405" s="13">
        <v>45918</v>
      </c>
      <c r="B1405" t="s">
        <v>803</v>
      </c>
      <c r="C1405" t="s">
        <v>805</v>
      </c>
      <c r="E1405" s="8"/>
      <c r="F1405" s="1"/>
      <c r="J1405" s="2"/>
      <c r="K1405" s="7">
        <v>11000</v>
      </c>
      <c r="L1405" t="s">
        <v>237</v>
      </c>
    </row>
    <row r="1406" spans="1:12" x14ac:dyDescent="0.35">
      <c r="A1406" s="13">
        <v>45918</v>
      </c>
      <c r="B1406" t="s">
        <v>124</v>
      </c>
      <c r="C1406" t="s">
        <v>125</v>
      </c>
      <c r="E1406" s="8">
        <v>9</v>
      </c>
      <c r="F1406" s="1">
        <v>41500</v>
      </c>
      <c r="H1406">
        <v>1</v>
      </c>
      <c r="J1406" s="2">
        <f>+DATAIN_COMPRAS__2[[#This Row],[$/ UN NETO]]*DATAIN_COMPRAS__2[[#This Row],[IVA]]</f>
        <v>41500</v>
      </c>
      <c r="K1406" s="7">
        <f>(E1406*F1406)*(1-I1406)*(H1406)</f>
        <v>373500</v>
      </c>
      <c r="L1406" t="s">
        <v>237</v>
      </c>
    </row>
    <row r="1407" spans="1:12" x14ac:dyDescent="0.35">
      <c r="A1407" s="13">
        <v>45918</v>
      </c>
      <c r="B1407" t="s">
        <v>124</v>
      </c>
      <c r="C1407" t="s">
        <v>126</v>
      </c>
      <c r="E1407" s="8">
        <v>0.5</v>
      </c>
      <c r="F1407" s="1">
        <f>(19000+16500)/DATAIN_COMPRAS__2[[#This Row],[CANT]]</f>
        <v>71000</v>
      </c>
      <c r="H1407">
        <v>1</v>
      </c>
      <c r="J1407" s="2">
        <f>+DATAIN_COMPRAS__2[[#This Row],[$/ UN NETO]]*DATAIN_COMPRAS__2[[#This Row],[IVA]]</f>
        <v>71000</v>
      </c>
      <c r="K1407" s="7">
        <f>(E1407*F1407)*(1-I1407)*(H1407)</f>
        <v>35500</v>
      </c>
      <c r="L1407" t="s">
        <v>237</v>
      </c>
    </row>
    <row r="1408" spans="1:12" x14ac:dyDescent="0.35">
      <c r="A1408" s="13">
        <v>45918</v>
      </c>
      <c r="B1408" t="s">
        <v>796</v>
      </c>
      <c r="C1408" t="s">
        <v>825</v>
      </c>
      <c r="E1408" s="8"/>
      <c r="F1408" s="1"/>
      <c r="J1408" s="2"/>
      <c r="K1408" s="7">
        <v>56324.86</v>
      </c>
      <c r="L1408" t="s">
        <v>237</v>
      </c>
    </row>
    <row r="1409" spans="1:12" x14ac:dyDescent="0.35">
      <c r="A1409" s="13">
        <v>45918</v>
      </c>
      <c r="B1409" t="s">
        <v>309</v>
      </c>
      <c r="C1409" t="s">
        <v>103</v>
      </c>
      <c r="E1409" s="8">
        <v>360</v>
      </c>
      <c r="F1409" s="1">
        <f>66000/360</f>
        <v>183.33333333333334</v>
      </c>
      <c r="H1409">
        <v>1</v>
      </c>
      <c r="J1409" s="2">
        <f>+DATAIN_COMPRAS__2[[#This Row],[$/ UN NETO]]*DATAIN_COMPRAS__2[[#This Row],[IVA]]</f>
        <v>183.33333333333334</v>
      </c>
      <c r="K1409" s="7">
        <f>(E1409*F1409)*(1-I1409)*(H1409)</f>
        <v>66000</v>
      </c>
      <c r="L1409" t="s">
        <v>237</v>
      </c>
    </row>
    <row r="1410" spans="1:12" x14ac:dyDescent="0.35">
      <c r="A1410" s="13">
        <v>45918</v>
      </c>
      <c r="B1410" t="s">
        <v>309</v>
      </c>
      <c r="C1410" t="s">
        <v>19</v>
      </c>
      <c r="E1410" s="8">
        <v>11</v>
      </c>
      <c r="F1410" s="1">
        <f>75000/11</f>
        <v>6818.181818181818</v>
      </c>
      <c r="H1410">
        <v>1</v>
      </c>
      <c r="J1410" s="2">
        <f>+DATAIN_COMPRAS__2[[#This Row],[$/ UN NETO]]*DATAIN_COMPRAS__2[[#This Row],[IVA]]</f>
        <v>6818.181818181818</v>
      </c>
      <c r="K1410" s="7">
        <f>(E1410*F1410)*(1-I1410)*(H1410)</f>
        <v>75000</v>
      </c>
      <c r="L1410" t="s">
        <v>237</v>
      </c>
    </row>
    <row r="1411" spans="1:12" x14ac:dyDescent="0.35">
      <c r="A1411" s="13">
        <v>45918</v>
      </c>
      <c r="B1411" t="s">
        <v>256</v>
      </c>
      <c r="C1411" t="str">
        <f>+UPPER("Crema Balde x 5Lt 44% MILKAUT")</f>
        <v>CREMA BALDE X 5LT 44% MILKAUT</v>
      </c>
      <c r="E1411" s="8">
        <v>5</v>
      </c>
      <c r="F1411" s="1">
        <f>36253.2/5</f>
        <v>7250.6399999999994</v>
      </c>
      <c r="H1411">
        <v>1.21</v>
      </c>
      <c r="J1411" s="2">
        <f>+DATAIN_COMPRAS__2[[#This Row],[$/ UN NETO]]*DATAIN_COMPRAS__2[[#This Row],[IVA]]</f>
        <v>8773.2743999999984</v>
      </c>
      <c r="K1411" s="7">
        <f>(E1411*F1411)*(1-I1411)*(H1411)</f>
        <v>43866.371999999996</v>
      </c>
      <c r="L1411" t="s">
        <v>158</v>
      </c>
    </row>
    <row r="1412" spans="1:12" x14ac:dyDescent="0.35">
      <c r="A1412" s="13">
        <v>45919</v>
      </c>
      <c r="B1412" t="s">
        <v>242</v>
      </c>
      <c r="C1412" t="s">
        <v>245</v>
      </c>
      <c r="E1412" s="8">
        <v>1</v>
      </c>
      <c r="F1412" s="1">
        <v>18500</v>
      </c>
      <c r="H1412">
        <v>1</v>
      </c>
      <c r="J1412" s="2">
        <f>+DATAIN_COMPRAS__2[[#This Row],[$/ UN NETO]]*DATAIN_COMPRAS__2[[#This Row],[IVA]]</f>
        <v>18500</v>
      </c>
      <c r="K1412" s="7">
        <f>(E1412*F1412)*(1-I1412)*(H1412)</f>
        <v>18500</v>
      </c>
      <c r="L1412" t="s">
        <v>237</v>
      </c>
    </row>
    <row r="1413" spans="1:12" x14ac:dyDescent="0.35">
      <c r="A1413" s="13">
        <v>45919</v>
      </c>
      <c r="B1413" t="s">
        <v>796</v>
      </c>
      <c r="C1413" t="s">
        <v>825</v>
      </c>
      <c r="E1413" s="8"/>
      <c r="F1413" s="1"/>
      <c r="J1413" s="2"/>
      <c r="K1413" s="7">
        <v>66824</v>
      </c>
      <c r="L1413" t="s">
        <v>237</v>
      </c>
    </row>
    <row r="1414" spans="1:12" x14ac:dyDescent="0.35">
      <c r="A1414" s="13">
        <v>45919</v>
      </c>
      <c r="B1414" t="s">
        <v>174</v>
      </c>
      <c r="C1414" t="s">
        <v>175</v>
      </c>
      <c r="E1414" s="8">
        <v>2</v>
      </c>
      <c r="F1414" s="1">
        <v>9743.7999999999993</v>
      </c>
      <c r="H1414">
        <v>1.21</v>
      </c>
      <c r="J1414" s="2">
        <f>+DATAIN_COMPRAS__2[[#This Row],[$/ UN NETO]]*DATAIN_COMPRAS__2[[#This Row],[IVA]]</f>
        <v>11789.998</v>
      </c>
      <c r="K1414" s="7">
        <f t="shared" ref="K1414:K1426" si="30">(E1414*F1414)*(1-I1414)*(H1414)</f>
        <v>23579.995999999999</v>
      </c>
      <c r="L1414" t="s">
        <v>158</v>
      </c>
    </row>
    <row r="1415" spans="1:12" x14ac:dyDescent="0.35">
      <c r="A1415" s="13">
        <v>45919</v>
      </c>
      <c r="B1415" t="s">
        <v>80</v>
      </c>
      <c r="C1415" t="s">
        <v>351</v>
      </c>
      <c r="E1415" s="8">
        <v>1</v>
      </c>
      <c r="F1415" s="1">
        <v>1652.89</v>
      </c>
      <c r="H1415">
        <v>1.21</v>
      </c>
      <c r="J1415" s="2">
        <f>+DATAIN_COMPRAS__2[[#This Row],[$/ UN NETO]]*DATAIN_COMPRAS__2[[#This Row],[IVA]]</f>
        <v>1999.9969000000001</v>
      </c>
      <c r="K1415" s="7">
        <f t="shared" si="30"/>
        <v>1999.9969000000001</v>
      </c>
      <c r="L1415" t="s">
        <v>237</v>
      </c>
    </row>
    <row r="1416" spans="1:12" x14ac:dyDescent="0.35">
      <c r="A1416" s="13">
        <v>45919</v>
      </c>
      <c r="B1416" t="s">
        <v>80</v>
      </c>
      <c r="C1416" t="s">
        <v>87</v>
      </c>
      <c r="E1416" s="8">
        <v>1</v>
      </c>
      <c r="F1416" s="1">
        <v>5537.19</v>
      </c>
      <c r="H1416">
        <v>1.21</v>
      </c>
      <c r="J1416" s="2">
        <f>+DATAIN_COMPRAS__2[[#This Row],[$/ UN NETO]]*DATAIN_COMPRAS__2[[#This Row],[IVA]]</f>
        <v>6699.9998999999989</v>
      </c>
      <c r="K1416" s="7">
        <f t="shared" si="30"/>
        <v>6699.9998999999989</v>
      </c>
      <c r="L1416" t="s">
        <v>237</v>
      </c>
    </row>
    <row r="1417" spans="1:12" x14ac:dyDescent="0.35">
      <c r="A1417" s="13">
        <v>45919</v>
      </c>
      <c r="B1417" t="s">
        <v>80</v>
      </c>
      <c r="C1417" t="s">
        <v>340</v>
      </c>
      <c r="E1417" s="8">
        <v>1</v>
      </c>
      <c r="F1417" s="1">
        <v>2396.69</v>
      </c>
      <c r="H1417">
        <v>1.21</v>
      </c>
      <c r="J1417" s="2">
        <f>+DATAIN_COMPRAS__2[[#This Row],[$/ UN NETO]]*DATAIN_COMPRAS__2[[#This Row],[IVA]]</f>
        <v>2899.9949000000001</v>
      </c>
      <c r="K1417" s="7">
        <f t="shared" si="30"/>
        <v>2899.9949000000001</v>
      </c>
      <c r="L1417" t="s">
        <v>237</v>
      </c>
    </row>
    <row r="1418" spans="1:12" x14ac:dyDescent="0.35">
      <c r="A1418" s="13">
        <v>45919</v>
      </c>
      <c r="B1418" t="s">
        <v>80</v>
      </c>
      <c r="C1418" t="s">
        <v>89</v>
      </c>
      <c r="E1418" s="8">
        <v>2</v>
      </c>
      <c r="F1418" s="1">
        <v>743.8</v>
      </c>
      <c r="H1418">
        <v>1.21</v>
      </c>
      <c r="J1418" s="2">
        <f>+DATAIN_COMPRAS__2[[#This Row],[$/ UN NETO]]*DATAIN_COMPRAS__2[[#This Row],[IVA]]</f>
        <v>899.99799999999993</v>
      </c>
      <c r="K1418" s="7">
        <f t="shared" si="30"/>
        <v>1799.9959999999999</v>
      </c>
      <c r="L1418" t="s">
        <v>237</v>
      </c>
    </row>
    <row r="1419" spans="1:12" x14ac:dyDescent="0.35">
      <c r="A1419" s="13">
        <v>45919</v>
      </c>
      <c r="B1419" t="s">
        <v>80</v>
      </c>
      <c r="C1419" t="s">
        <v>94</v>
      </c>
      <c r="E1419" s="8">
        <v>2</v>
      </c>
      <c r="F1419" s="1">
        <v>1074.3800000000001</v>
      </c>
      <c r="H1419">
        <v>1.21</v>
      </c>
      <c r="J1419" s="2">
        <f>+DATAIN_COMPRAS__2[[#This Row],[$/ UN NETO]]*DATAIN_COMPRAS__2[[#This Row],[IVA]]</f>
        <v>1299.9998000000001</v>
      </c>
      <c r="K1419" s="7">
        <f t="shared" si="30"/>
        <v>2599.9996000000001</v>
      </c>
      <c r="L1419" t="s">
        <v>237</v>
      </c>
    </row>
    <row r="1420" spans="1:12" x14ac:dyDescent="0.35">
      <c r="A1420" s="13">
        <v>45919</v>
      </c>
      <c r="B1420" t="s">
        <v>80</v>
      </c>
      <c r="C1420" t="s">
        <v>802</v>
      </c>
      <c r="E1420" s="8">
        <v>1</v>
      </c>
      <c r="F1420" s="1">
        <v>4628.1000000000004</v>
      </c>
      <c r="H1420">
        <v>1.21</v>
      </c>
      <c r="J1420" s="2">
        <f>+DATAIN_COMPRAS__2[[#This Row],[$/ UN NETO]]*DATAIN_COMPRAS__2[[#This Row],[IVA]]</f>
        <v>5600.0010000000002</v>
      </c>
      <c r="K1420" s="7">
        <f t="shared" si="30"/>
        <v>5600.0010000000002</v>
      </c>
      <c r="L1420" t="s">
        <v>237</v>
      </c>
    </row>
    <row r="1421" spans="1:12" x14ac:dyDescent="0.35">
      <c r="A1421" s="13">
        <v>45919</v>
      </c>
      <c r="B1421" t="s">
        <v>132</v>
      </c>
      <c r="C1421" t="s">
        <v>838</v>
      </c>
      <c r="E1421" s="8">
        <v>0.04</v>
      </c>
      <c r="F1421" s="1">
        <f>6000/DATAIN_COMPRAS__2[[#This Row],[CANT]]</f>
        <v>150000</v>
      </c>
      <c r="H1421">
        <v>1</v>
      </c>
      <c r="J1421" s="2">
        <f>+DATAIN_COMPRAS__2[[#This Row],[$/ UN NETO]]*DATAIN_COMPRAS__2[[#This Row],[IVA]]</f>
        <v>150000</v>
      </c>
      <c r="K1421" s="7">
        <f t="shared" si="30"/>
        <v>6000</v>
      </c>
      <c r="L1421" t="s">
        <v>237</v>
      </c>
    </row>
    <row r="1422" spans="1:12" x14ac:dyDescent="0.35">
      <c r="A1422" s="13">
        <v>45919</v>
      </c>
      <c r="B1422" t="s">
        <v>132</v>
      </c>
      <c r="C1422" t="s">
        <v>133</v>
      </c>
      <c r="E1422" s="8">
        <v>7.0000000000000007E-2</v>
      </c>
      <c r="F1422" s="1">
        <f>4000/DATAIN_COMPRAS__2[[#This Row],[CANT]]</f>
        <v>57142.857142857138</v>
      </c>
      <c r="H1422">
        <v>1</v>
      </c>
      <c r="J1422" s="2">
        <f>+DATAIN_COMPRAS__2[[#This Row],[$/ UN NETO]]*DATAIN_COMPRAS__2[[#This Row],[IVA]]</f>
        <v>57142.857142857138</v>
      </c>
      <c r="K1422" s="7">
        <f t="shared" si="30"/>
        <v>4000</v>
      </c>
      <c r="L1422" t="s">
        <v>237</v>
      </c>
    </row>
    <row r="1423" spans="1:12" x14ac:dyDescent="0.35">
      <c r="A1423" s="13">
        <v>45919</v>
      </c>
      <c r="B1423" t="s">
        <v>12</v>
      </c>
      <c r="C1423" t="s">
        <v>26</v>
      </c>
      <c r="E1423" s="8">
        <v>2</v>
      </c>
      <c r="F1423" s="1">
        <v>1800</v>
      </c>
      <c r="H1423">
        <v>1</v>
      </c>
      <c r="J1423" s="2">
        <f>+DATAIN_COMPRAS__2[[#This Row],[$/ UN NETO]]*DATAIN_COMPRAS__2[[#This Row],[IVA]]</f>
        <v>1800</v>
      </c>
      <c r="K1423" s="7">
        <f t="shared" si="30"/>
        <v>3600</v>
      </c>
      <c r="L1423" t="s">
        <v>237</v>
      </c>
    </row>
    <row r="1424" spans="1:12" x14ac:dyDescent="0.35">
      <c r="A1424" s="13">
        <v>45919</v>
      </c>
      <c r="B1424" t="s">
        <v>12</v>
      </c>
      <c r="C1424" t="s">
        <v>109</v>
      </c>
      <c r="E1424" s="8">
        <v>0.5</v>
      </c>
      <c r="F1424" s="1">
        <v>5800</v>
      </c>
      <c r="H1424">
        <v>1</v>
      </c>
      <c r="J1424" s="2">
        <f>+DATAIN_COMPRAS__2[[#This Row],[$/ UN NETO]]*DATAIN_COMPRAS__2[[#This Row],[IVA]]</f>
        <v>5800</v>
      </c>
      <c r="K1424" s="7">
        <f t="shared" si="30"/>
        <v>2900</v>
      </c>
      <c r="L1424" t="s">
        <v>237</v>
      </c>
    </row>
    <row r="1425" spans="1:12" x14ac:dyDescent="0.35">
      <c r="A1425" s="13">
        <v>45919</v>
      </c>
      <c r="B1425" t="s">
        <v>12</v>
      </c>
      <c r="C1425" t="s">
        <v>17</v>
      </c>
      <c r="E1425" s="8">
        <v>1</v>
      </c>
      <c r="F1425" s="1">
        <v>1900</v>
      </c>
      <c r="H1425">
        <v>1</v>
      </c>
      <c r="J1425" s="2">
        <f>+DATAIN_COMPRAS__2[[#This Row],[$/ UN NETO]]*DATAIN_COMPRAS__2[[#This Row],[IVA]]</f>
        <v>1900</v>
      </c>
      <c r="K1425" s="7">
        <f t="shared" si="30"/>
        <v>1900</v>
      </c>
      <c r="L1425" t="s">
        <v>158</v>
      </c>
    </row>
    <row r="1426" spans="1:12" x14ac:dyDescent="0.35">
      <c r="A1426" s="13">
        <v>45919</v>
      </c>
      <c r="B1426" t="s">
        <v>12</v>
      </c>
      <c r="C1426" t="s">
        <v>28</v>
      </c>
      <c r="E1426" s="8">
        <v>0.27500000000000002</v>
      </c>
      <c r="F1426" s="1">
        <f>3000/DATAIN_COMPRAS__2[[#This Row],[CANT]]</f>
        <v>10909.090909090908</v>
      </c>
      <c r="H1426">
        <v>1</v>
      </c>
      <c r="J1426" s="2">
        <f>+DATAIN_COMPRAS__2[[#This Row],[$/ UN NETO]]*DATAIN_COMPRAS__2[[#This Row],[IVA]]</f>
        <v>10909.090909090908</v>
      </c>
      <c r="K1426" s="7">
        <f t="shared" si="30"/>
        <v>3000</v>
      </c>
      <c r="L1426" t="s">
        <v>237</v>
      </c>
    </row>
    <row r="1427" spans="1:12" x14ac:dyDescent="0.35">
      <c r="A1427" s="13">
        <v>45920</v>
      </c>
      <c r="B1427" t="s">
        <v>796</v>
      </c>
      <c r="C1427" t="s">
        <v>825</v>
      </c>
      <c r="E1427" s="8"/>
      <c r="F1427" s="1"/>
      <c r="J1427" s="2"/>
      <c r="K1427" s="7">
        <v>70244.22</v>
      </c>
      <c r="L1427" t="s">
        <v>237</v>
      </c>
    </row>
    <row r="1428" spans="1:12" x14ac:dyDescent="0.35">
      <c r="A1428" s="13">
        <v>45921</v>
      </c>
      <c r="B1428" t="s">
        <v>806</v>
      </c>
      <c r="C1428" t="s">
        <v>192</v>
      </c>
      <c r="E1428" s="8">
        <v>1</v>
      </c>
      <c r="F1428" s="1">
        <v>16050</v>
      </c>
      <c r="H1428">
        <v>1</v>
      </c>
      <c r="J1428" s="2">
        <f>+DATAIN_COMPRAS__2[[#This Row],[$/ UN NETO]]*DATAIN_COMPRAS__2[[#This Row],[IVA]]</f>
        <v>16050</v>
      </c>
      <c r="K1428" s="7">
        <f>(E1428*F1428)*(1-I1428)*(H1428)</f>
        <v>16050</v>
      </c>
      <c r="L1428" t="s">
        <v>255</v>
      </c>
    </row>
    <row r="1429" spans="1:12" x14ac:dyDescent="0.35">
      <c r="A1429" s="13">
        <v>45921</v>
      </c>
      <c r="B1429" t="s">
        <v>796</v>
      </c>
      <c r="C1429" t="s">
        <v>825</v>
      </c>
      <c r="E1429" s="8"/>
      <c r="F1429" s="1"/>
      <c r="J1429" s="2"/>
      <c r="K1429" s="7">
        <v>49239</v>
      </c>
      <c r="L1429" t="s">
        <v>237</v>
      </c>
    </row>
    <row r="1430" spans="1:12" x14ac:dyDescent="0.35">
      <c r="A1430" s="13">
        <v>45921</v>
      </c>
      <c r="B1430" t="s">
        <v>48</v>
      </c>
      <c r="C1430" s="14" t="s">
        <v>65</v>
      </c>
      <c r="E1430" s="8">
        <v>50</v>
      </c>
      <c r="F1430" s="1">
        <f>1629.8/50</f>
        <v>32.595999999999997</v>
      </c>
      <c r="H1430">
        <v>1</v>
      </c>
      <c r="J1430" s="2">
        <f>+DATAIN_COMPRAS__2[[#This Row],[$/ UN NETO]]*DATAIN_COMPRAS__2[[#This Row],[IVA]]</f>
        <v>32.595999999999997</v>
      </c>
      <c r="K1430" s="7">
        <f>(E1430*F1430)*(1-I1430)*(H1430)</f>
        <v>1629.7999999999997</v>
      </c>
      <c r="L1430" t="s">
        <v>255</v>
      </c>
    </row>
    <row r="1431" spans="1:12" x14ac:dyDescent="0.35">
      <c r="A1431" s="13">
        <v>45922</v>
      </c>
      <c r="B1431" t="s">
        <v>796</v>
      </c>
      <c r="C1431" t="s">
        <v>825</v>
      </c>
      <c r="E1431" s="8"/>
      <c r="F1431" s="1"/>
      <c r="J1431" s="2"/>
      <c r="K1431" s="7">
        <v>44312.91</v>
      </c>
      <c r="L1431" t="s">
        <v>237</v>
      </c>
    </row>
    <row r="1432" spans="1:12" x14ac:dyDescent="0.35">
      <c r="A1432" s="13">
        <v>45922</v>
      </c>
      <c r="B1432" t="s">
        <v>12</v>
      </c>
      <c r="C1432" t="s">
        <v>41</v>
      </c>
      <c r="E1432" s="8">
        <v>0.5</v>
      </c>
      <c r="F1432" s="1">
        <f>1400/DATAIN_COMPRAS__2[[#This Row],[CANT]]</f>
        <v>2800</v>
      </c>
      <c r="H1432">
        <v>1</v>
      </c>
      <c r="J1432" s="2">
        <f>+DATAIN_COMPRAS__2[[#This Row],[$/ UN NETO]]*DATAIN_COMPRAS__2[[#This Row],[IVA]]</f>
        <v>2800</v>
      </c>
      <c r="K1432" s="7">
        <f>(E1432*F1432)*(1-I1432)*(H1432)</f>
        <v>1400</v>
      </c>
      <c r="L1432" t="s">
        <v>237</v>
      </c>
    </row>
    <row r="1433" spans="1:12" x14ac:dyDescent="0.35">
      <c r="A1433" s="13">
        <v>45922</v>
      </c>
      <c r="B1433" t="s">
        <v>12</v>
      </c>
      <c r="C1433" t="s">
        <v>109</v>
      </c>
      <c r="E1433" s="8">
        <v>0.5</v>
      </c>
      <c r="F1433" s="1">
        <v>5800</v>
      </c>
      <c r="H1433">
        <v>1</v>
      </c>
      <c r="J1433" s="2">
        <f>+DATAIN_COMPRAS__2[[#This Row],[$/ UN NETO]]*DATAIN_COMPRAS__2[[#This Row],[IVA]]</f>
        <v>5800</v>
      </c>
      <c r="K1433" s="7">
        <f>(E1433*F1433)*(1-I1433)*(H1433)</f>
        <v>2900</v>
      </c>
      <c r="L1433" t="s">
        <v>237</v>
      </c>
    </row>
    <row r="1434" spans="1:12" x14ac:dyDescent="0.35">
      <c r="A1434" s="13">
        <v>45922</v>
      </c>
      <c r="B1434" t="s">
        <v>12</v>
      </c>
      <c r="C1434" t="s">
        <v>25</v>
      </c>
      <c r="E1434" s="8">
        <v>0.5</v>
      </c>
      <c r="F1434" s="1">
        <v>7300</v>
      </c>
      <c r="H1434">
        <v>1</v>
      </c>
      <c r="J1434" s="2">
        <f>+DATAIN_COMPRAS__2[[#This Row],[$/ UN NETO]]*DATAIN_COMPRAS__2[[#This Row],[IVA]]</f>
        <v>7300</v>
      </c>
      <c r="K1434" s="7">
        <f>(E1434*F1434)*(1-I1434)*(H1434)</f>
        <v>3650</v>
      </c>
      <c r="L1434" t="s">
        <v>237</v>
      </c>
    </row>
    <row r="1435" spans="1:12" x14ac:dyDescent="0.35">
      <c r="A1435" s="13">
        <v>45922</v>
      </c>
      <c r="B1435" t="s">
        <v>12</v>
      </c>
      <c r="C1435" t="s">
        <v>39</v>
      </c>
      <c r="E1435" s="8">
        <v>0.45</v>
      </c>
      <c r="F1435" s="1">
        <v>2000</v>
      </c>
      <c r="H1435">
        <v>1</v>
      </c>
      <c r="J1435" s="2">
        <f>+DATAIN_COMPRAS__2[[#This Row],[$/ UN NETO]]*DATAIN_COMPRAS__2[[#This Row],[IVA]]</f>
        <v>2000</v>
      </c>
      <c r="K1435" s="7">
        <f>(E1435*F1435)*(1-I1435)*(H1435)</f>
        <v>900</v>
      </c>
      <c r="L1435" t="s">
        <v>237</v>
      </c>
    </row>
    <row r="1436" spans="1:12" x14ac:dyDescent="0.35">
      <c r="A1436" s="13">
        <v>45923</v>
      </c>
      <c r="B1436" t="s">
        <v>796</v>
      </c>
      <c r="C1436" t="s">
        <v>825</v>
      </c>
      <c r="E1436" s="8"/>
      <c r="F1436" s="1"/>
      <c r="J1436" s="2"/>
      <c r="K1436" s="7">
        <v>6280</v>
      </c>
      <c r="L1436" t="s">
        <v>237</v>
      </c>
    </row>
    <row r="1437" spans="1:12" x14ac:dyDescent="0.35">
      <c r="A1437" s="13">
        <v>45923</v>
      </c>
      <c r="B1437" t="s">
        <v>48</v>
      </c>
      <c r="C1437" t="s">
        <v>79</v>
      </c>
      <c r="E1437" s="8">
        <v>0.25</v>
      </c>
      <c r="F1437" s="1">
        <f>5191.0488/DATAIN_COMPRAS__2[[#This Row],[CANT]]</f>
        <v>20764.195199999998</v>
      </c>
      <c r="H1437">
        <v>1.21</v>
      </c>
      <c r="I1437">
        <v>0.06</v>
      </c>
      <c r="J1437" s="2">
        <f>+DATAIN_COMPRAS__2[[#This Row],[$/ UN NETO]]*DATAIN_COMPRAS__2[[#This Row],[IVA]]</f>
        <v>25124.676191999999</v>
      </c>
      <c r="K1437" s="7">
        <f t="shared" ref="K1437:K1451" si="31">(E1437*F1437)*(1-I1437)*(H1437)</f>
        <v>5904.2989051199993</v>
      </c>
      <c r="L1437" t="s">
        <v>237</v>
      </c>
    </row>
    <row r="1438" spans="1:12" x14ac:dyDescent="0.35">
      <c r="A1438" s="13">
        <v>45923</v>
      </c>
      <c r="B1438" t="s">
        <v>48</v>
      </c>
      <c r="C1438" t="s">
        <v>51</v>
      </c>
      <c r="E1438" s="8">
        <v>3.53</v>
      </c>
      <c r="F1438" s="1">
        <v>9360.7752999999993</v>
      </c>
      <c r="H1438">
        <v>1.21</v>
      </c>
      <c r="I1438">
        <v>0.06</v>
      </c>
      <c r="J1438" s="2">
        <f>+DATAIN_COMPRAS__2[[#This Row],[$/ UN NETO]]*DATAIN_COMPRAS__2[[#This Row],[IVA]]</f>
        <v>11326.538112999999</v>
      </c>
      <c r="K1438" s="7">
        <f t="shared" si="31"/>
        <v>37583.718766556594</v>
      </c>
      <c r="L1438" t="s">
        <v>237</v>
      </c>
    </row>
    <row r="1439" spans="1:12" x14ac:dyDescent="0.35">
      <c r="A1439" s="13">
        <v>45923</v>
      </c>
      <c r="B1439" t="s">
        <v>48</v>
      </c>
      <c r="C1439" t="s">
        <v>65</v>
      </c>
      <c r="E1439" s="8">
        <v>50</v>
      </c>
      <c r="F1439" s="1">
        <f>1347.007/50</f>
        <v>26.94014</v>
      </c>
      <c r="H1439">
        <v>1.21</v>
      </c>
      <c r="I1439">
        <v>0.06</v>
      </c>
      <c r="J1439" s="2">
        <f>+DATAIN_COMPRAS__2[[#This Row],[$/ UN NETO]]*DATAIN_COMPRAS__2[[#This Row],[IVA]]</f>
        <v>32.597569399999998</v>
      </c>
      <c r="K1439" s="7">
        <f t="shared" si="31"/>
        <v>1532.0857618</v>
      </c>
      <c r="L1439" t="s">
        <v>237</v>
      </c>
    </row>
    <row r="1440" spans="1:12" x14ac:dyDescent="0.35">
      <c r="A1440" s="13">
        <v>45923</v>
      </c>
      <c r="B1440" t="s">
        <v>48</v>
      </c>
      <c r="C1440" t="s">
        <v>52</v>
      </c>
      <c r="E1440" s="8">
        <v>3.45</v>
      </c>
      <c r="F1440" s="1">
        <v>7041.4740000000002</v>
      </c>
      <c r="H1440">
        <v>1.21</v>
      </c>
      <c r="J1440" s="2">
        <f>+DATAIN_COMPRAS__2[[#This Row],[$/ UN NETO]]*DATAIN_COMPRAS__2[[#This Row],[IVA]]</f>
        <v>8520.18354</v>
      </c>
      <c r="K1440" s="7">
        <f t="shared" si="31"/>
        <v>29394.633213000001</v>
      </c>
      <c r="L1440" t="s">
        <v>237</v>
      </c>
    </row>
    <row r="1441" spans="1:14" x14ac:dyDescent="0.35">
      <c r="A1441" s="13">
        <v>45923</v>
      </c>
      <c r="B1441" t="s">
        <v>48</v>
      </c>
      <c r="C1441" t="s">
        <v>833</v>
      </c>
      <c r="E1441" s="8">
        <v>4</v>
      </c>
      <c r="F1441" s="1">
        <f>19208.0028/4</f>
        <v>4802.0006999999996</v>
      </c>
      <c r="H1441">
        <v>1.21</v>
      </c>
      <c r="I1441">
        <v>0.06</v>
      </c>
      <c r="J1441" s="2">
        <f>+DATAIN_COMPRAS__2[[#This Row],[$/ UN NETO]]*DATAIN_COMPRAS__2[[#This Row],[IVA]]</f>
        <v>5810.4208469999994</v>
      </c>
      <c r="K1441" s="7">
        <f t="shared" si="31"/>
        <v>21847.182384719996</v>
      </c>
      <c r="L1441" t="s">
        <v>237</v>
      </c>
    </row>
    <row r="1442" spans="1:14" x14ac:dyDescent="0.35">
      <c r="A1442" s="13">
        <v>45923</v>
      </c>
      <c r="B1442" t="s">
        <v>48</v>
      </c>
      <c r="C1442" t="s">
        <v>54</v>
      </c>
      <c r="E1442" s="8">
        <v>0.8</v>
      </c>
      <c r="F1442" s="1">
        <f>875.7/0.4</f>
        <v>2189.25</v>
      </c>
      <c r="H1442">
        <v>1.21</v>
      </c>
      <c r="I1442">
        <v>0.06</v>
      </c>
      <c r="J1442" s="2">
        <f>+DATAIN_COMPRAS__2[[#This Row],[$/ UN NETO]]*DATAIN_COMPRAS__2[[#This Row],[IVA]]</f>
        <v>2648.9924999999998</v>
      </c>
      <c r="K1442" s="7">
        <f t="shared" si="31"/>
        <v>1992.0423599999999</v>
      </c>
      <c r="L1442" t="s">
        <v>237</v>
      </c>
    </row>
    <row r="1443" spans="1:14" x14ac:dyDescent="0.35">
      <c r="A1443" s="13">
        <v>45923</v>
      </c>
      <c r="B1443" t="s">
        <v>309</v>
      </c>
      <c r="C1443" t="s">
        <v>103</v>
      </c>
      <c r="E1443" s="8">
        <v>360</v>
      </c>
      <c r="F1443" s="1">
        <f>68000/360</f>
        <v>188.88888888888889</v>
      </c>
      <c r="H1443">
        <v>1</v>
      </c>
      <c r="J1443" s="2">
        <f>+DATAIN_COMPRAS__2[[#This Row],[$/ UN NETO]]*DATAIN_COMPRAS__2[[#This Row],[IVA]]</f>
        <v>188.88888888888889</v>
      </c>
      <c r="K1443" s="7">
        <f t="shared" si="31"/>
        <v>68000</v>
      </c>
      <c r="L1443" t="s">
        <v>237</v>
      </c>
      <c r="M1443">
        <v>141000</v>
      </c>
      <c r="N1443" s="3">
        <v>45922</v>
      </c>
    </row>
    <row r="1444" spans="1:14" x14ac:dyDescent="0.35">
      <c r="A1444" s="13">
        <v>45923</v>
      </c>
      <c r="B1444" t="s">
        <v>309</v>
      </c>
      <c r="C1444" t="s">
        <v>14</v>
      </c>
      <c r="E1444" s="8">
        <v>7</v>
      </c>
      <c r="F1444" s="1">
        <f>19000/14</f>
        <v>1357.1428571428571</v>
      </c>
      <c r="H1444">
        <v>1</v>
      </c>
      <c r="J1444" s="2">
        <f>+DATAIN_COMPRAS__2[[#This Row],[$/ UN NETO]]*DATAIN_COMPRAS__2[[#This Row],[IVA]]</f>
        <v>1357.1428571428571</v>
      </c>
      <c r="K1444" s="7">
        <f t="shared" si="31"/>
        <v>9500</v>
      </c>
      <c r="L1444" t="s">
        <v>237</v>
      </c>
    </row>
    <row r="1445" spans="1:14" x14ac:dyDescent="0.35">
      <c r="A1445" s="13">
        <v>45923</v>
      </c>
      <c r="B1445" t="s">
        <v>309</v>
      </c>
      <c r="C1445" t="s">
        <v>14</v>
      </c>
      <c r="E1445" s="8">
        <v>7</v>
      </c>
      <c r="F1445" s="1">
        <f>19000/14</f>
        <v>1357.1428571428571</v>
      </c>
      <c r="H1445">
        <v>1</v>
      </c>
      <c r="J1445" s="2">
        <f>+DATAIN_COMPRAS__2[[#This Row],[$/ UN NETO]]*DATAIN_COMPRAS__2[[#This Row],[IVA]]</f>
        <v>1357.1428571428571</v>
      </c>
      <c r="K1445" s="7">
        <f t="shared" si="31"/>
        <v>9500</v>
      </c>
      <c r="L1445" t="s">
        <v>158</v>
      </c>
      <c r="M1445">
        <v>9500</v>
      </c>
      <c r="N1445" s="3">
        <v>45929</v>
      </c>
    </row>
    <row r="1446" spans="1:14" x14ac:dyDescent="0.35">
      <c r="A1446" s="13">
        <v>45923</v>
      </c>
      <c r="B1446" t="s">
        <v>309</v>
      </c>
      <c r="C1446" t="s">
        <v>13</v>
      </c>
      <c r="E1446" s="8">
        <v>14</v>
      </c>
      <c r="F1446" s="1">
        <v>1142.8571428571429</v>
      </c>
      <c r="H1446">
        <v>1</v>
      </c>
      <c r="J1446" s="2">
        <f>+DATAIN_COMPRAS__2[[#This Row],[$/ UN NETO]]*DATAIN_COMPRAS__2[[#This Row],[IVA]]</f>
        <v>1142.8571428571429</v>
      </c>
      <c r="K1446" s="7">
        <f t="shared" si="31"/>
        <v>16000</v>
      </c>
      <c r="L1446" t="s">
        <v>237</v>
      </c>
      <c r="M1446">
        <v>123500</v>
      </c>
      <c r="N1446" s="3">
        <v>45929</v>
      </c>
    </row>
    <row r="1447" spans="1:14" x14ac:dyDescent="0.35">
      <c r="A1447" s="13">
        <v>45923</v>
      </c>
      <c r="B1447" t="s">
        <v>104</v>
      </c>
      <c r="C1447" t="s">
        <v>105</v>
      </c>
      <c r="E1447" s="8">
        <v>1</v>
      </c>
      <c r="F1447" s="1">
        <v>11730</v>
      </c>
      <c r="H1447">
        <v>1</v>
      </c>
      <c r="J1447" s="2">
        <f>+DATAIN_COMPRAS__2[[#This Row],[$/ UN NETO]]*DATAIN_COMPRAS__2[[#This Row],[IVA]]</f>
        <v>11730</v>
      </c>
      <c r="K1447" s="7">
        <f t="shared" si="31"/>
        <v>11730</v>
      </c>
      <c r="L1447" t="s">
        <v>237</v>
      </c>
    </row>
    <row r="1448" spans="1:14" x14ac:dyDescent="0.35">
      <c r="A1448" s="13">
        <v>45923</v>
      </c>
      <c r="B1448" t="s">
        <v>71</v>
      </c>
      <c r="C1448" t="s">
        <v>224</v>
      </c>
      <c r="E1448" s="8">
        <v>1</v>
      </c>
      <c r="F1448" s="1">
        <v>5050</v>
      </c>
      <c r="H1448">
        <v>1</v>
      </c>
      <c r="J1448" s="2">
        <f>+DATAIN_COMPRAS__2[[#This Row],[$/ UN NETO]]*DATAIN_COMPRAS__2[[#This Row],[IVA]]</f>
        <v>5050</v>
      </c>
      <c r="K1448" s="7">
        <f t="shared" si="31"/>
        <v>5050</v>
      </c>
      <c r="L1448" t="s">
        <v>237</v>
      </c>
    </row>
    <row r="1449" spans="1:14" x14ac:dyDescent="0.35">
      <c r="A1449" s="13">
        <v>45923</v>
      </c>
      <c r="B1449" t="s">
        <v>71</v>
      </c>
      <c r="C1449" s="14" t="s">
        <v>74</v>
      </c>
      <c r="E1449" s="8">
        <v>1</v>
      </c>
      <c r="F1449" s="1">
        <v>9270</v>
      </c>
      <c r="H1449">
        <v>1</v>
      </c>
      <c r="J1449" s="2">
        <f>+DATAIN_COMPRAS__2[[#This Row],[$/ UN NETO]]*DATAIN_COMPRAS__2[[#This Row],[IVA]]</f>
        <v>9270</v>
      </c>
      <c r="K1449" s="7">
        <f t="shared" si="31"/>
        <v>9270</v>
      </c>
      <c r="L1449" t="s">
        <v>237</v>
      </c>
    </row>
    <row r="1450" spans="1:14" x14ac:dyDescent="0.35">
      <c r="A1450" s="13">
        <v>45923</v>
      </c>
      <c r="B1450" t="s">
        <v>179</v>
      </c>
      <c r="C1450" t="s">
        <v>180</v>
      </c>
      <c r="E1450" s="8">
        <v>10</v>
      </c>
      <c r="F1450" s="1">
        <f>32622.48/10</f>
        <v>3262.248</v>
      </c>
      <c r="H1450">
        <v>1.21</v>
      </c>
      <c r="J1450" s="2">
        <f>+DATAIN_COMPRAS__2[[#This Row],[$/ UN NETO]]*DATAIN_COMPRAS__2[[#This Row],[IVA]]</f>
        <v>3947.32008</v>
      </c>
      <c r="K1450" s="7">
        <f t="shared" si="31"/>
        <v>39473.200799999999</v>
      </c>
      <c r="L1450" t="s">
        <v>158</v>
      </c>
    </row>
    <row r="1451" spans="1:14" x14ac:dyDescent="0.35">
      <c r="A1451" s="13">
        <v>45923</v>
      </c>
      <c r="B1451" t="s">
        <v>75</v>
      </c>
      <c r="C1451" t="s">
        <v>76</v>
      </c>
      <c r="E1451" s="8">
        <v>48</v>
      </c>
      <c r="F1451" s="1">
        <v>1157.1600000000001</v>
      </c>
      <c r="H1451">
        <v>1.21</v>
      </c>
      <c r="J1451" s="2">
        <f>+DATAIN_COMPRAS__2[[#This Row],[$/ UN NETO]]*DATAIN_COMPRAS__2[[#This Row],[IVA]]</f>
        <v>1400.1636000000001</v>
      </c>
      <c r="K1451" s="7">
        <f t="shared" si="31"/>
        <v>67207.852800000008</v>
      </c>
      <c r="L1451" t="s">
        <v>237</v>
      </c>
    </row>
    <row r="1452" spans="1:14" x14ac:dyDescent="0.35">
      <c r="A1452" s="13">
        <v>45924</v>
      </c>
      <c r="B1452" t="s">
        <v>796</v>
      </c>
      <c r="C1452" t="s">
        <v>825</v>
      </c>
      <c r="E1452" s="8"/>
      <c r="F1452" s="1"/>
      <c r="J1452" s="2"/>
      <c r="K1452" s="7">
        <v>64471.76</v>
      </c>
      <c r="L1452" t="s">
        <v>237</v>
      </c>
    </row>
    <row r="1453" spans="1:14" x14ac:dyDescent="0.35">
      <c r="A1453" s="13">
        <v>45924</v>
      </c>
      <c r="B1453" t="s">
        <v>48</v>
      </c>
      <c r="C1453" t="s">
        <v>182</v>
      </c>
      <c r="E1453" s="8">
        <v>5</v>
      </c>
      <c r="F1453" s="1">
        <f>63010.5408/5</f>
        <v>12602.10816</v>
      </c>
      <c r="H1453">
        <v>1.21</v>
      </c>
      <c r="I1453">
        <v>0.06</v>
      </c>
      <c r="J1453" s="2">
        <f>+DATAIN_COMPRAS__2[[#This Row],[$/ UN NETO]]*DATAIN_COMPRAS__2[[#This Row],[IVA]]</f>
        <v>15248.550873599999</v>
      </c>
      <c r="K1453" s="7">
        <f t="shared" ref="K1453:K1461" si="32">(E1453*F1453)*(1-I1453)*(H1453)</f>
        <v>71668.189105919999</v>
      </c>
      <c r="L1453" t="s">
        <v>158</v>
      </c>
    </row>
    <row r="1454" spans="1:14" x14ac:dyDescent="0.35">
      <c r="A1454" s="13">
        <v>45924</v>
      </c>
      <c r="B1454" t="s">
        <v>48</v>
      </c>
      <c r="C1454" t="s">
        <v>259</v>
      </c>
      <c r="E1454" s="8">
        <v>3.8</v>
      </c>
      <c r="F1454" s="1">
        <v>7041.4740000000002</v>
      </c>
      <c r="H1454">
        <v>1.21</v>
      </c>
      <c r="J1454" s="2">
        <f>+DATAIN_COMPRAS__2[[#This Row],[$/ UN NETO]]*DATAIN_COMPRAS__2[[#This Row],[IVA]]</f>
        <v>8520.18354</v>
      </c>
      <c r="K1454" s="7">
        <f t="shared" si="32"/>
        <v>32376.697452</v>
      </c>
      <c r="L1454" t="s">
        <v>237</v>
      </c>
    </row>
    <row r="1455" spans="1:14" x14ac:dyDescent="0.35">
      <c r="A1455" s="13">
        <v>45924</v>
      </c>
      <c r="B1455" t="s">
        <v>174</v>
      </c>
      <c r="C1455" t="s">
        <v>176</v>
      </c>
      <c r="E1455" s="8">
        <v>2</v>
      </c>
      <c r="F1455" s="1">
        <v>9743.7999999999993</v>
      </c>
      <c r="H1455">
        <v>1.21</v>
      </c>
      <c r="J1455" s="2">
        <f>+DATAIN_COMPRAS__2[[#This Row],[$/ UN NETO]]*DATAIN_COMPRAS__2[[#This Row],[IVA]]</f>
        <v>11789.998</v>
      </c>
      <c r="K1455" s="7">
        <f t="shared" si="32"/>
        <v>23579.995999999999</v>
      </c>
      <c r="L1455" t="s">
        <v>158</v>
      </c>
    </row>
    <row r="1456" spans="1:14" x14ac:dyDescent="0.35">
      <c r="A1456" s="13">
        <v>45924</v>
      </c>
      <c r="B1456" t="s">
        <v>256</v>
      </c>
      <c r="C1456" t="s">
        <v>776</v>
      </c>
      <c r="D1456" t="s">
        <v>368</v>
      </c>
      <c r="E1456" s="8">
        <v>25</v>
      </c>
      <c r="F1456" s="1">
        <f>268282.41/25</f>
        <v>10731.296399999999</v>
      </c>
      <c r="H1456">
        <v>1.21</v>
      </c>
      <c r="I1456">
        <v>-2.4792999999999999E-2</v>
      </c>
      <c r="J1456" s="2">
        <f>+DATAIN_COMPRAS__2[[#This Row],[$/ UN NETO]]*DATAIN_COMPRAS__2[[#This Row],[IVA]]</f>
        <v>12984.868643999998</v>
      </c>
      <c r="K1456" s="7">
        <f t="shared" si="32"/>
        <v>332670.06230726728</v>
      </c>
      <c r="L1456" t="s">
        <v>158</v>
      </c>
    </row>
    <row r="1457" spans="1:12" x14ac:dyDescent="0.35">
      <c r="A1457" s="13">
        <v>45924</v>
      </c>
      <c r="B1457" t="s">
        <v>256</v>
      </c>
      <c r="C1457" t="s">
        <v>254</v>
      </c>
      <c r="E1457" s="8">
        <v>3</v>
      </c>
      <c r="F1457" s="1">
        <v>8625.0350999999991</v>
      </c>
      <c r="H1457">
        <v>1.21</v>
      </c>
      <c r="I1457">
        <v>-2.4792999999999999E-2</v>
      </c>
      <c r="J1457" s="2">
        <f>+DATAIN_COMPRAS__2[[#This Row],[$/ UN NETO]]*DATAIN_COMPRAS__2[[#This Row],[IVA]]</f>
        <v>10436.292470999999</v>
      </c>
      <c r="K1457" s="7">
        <f t="shared" si="32"/>
        <v>32085.118410700507</v>
      </c>
      <c r="L1457" t="s">
        <v>158</v>
      </c>
    </row>
    <row r="1458" spans="1:12" x14ac:dyDescent="0.35">
      <c r="A1458" s="13">
        <v>45924</v>
      </c>
      <c r="B1458" t="s">
        <v>12</v>
      </c>
      <c r="C1458" t="s">
        <v>14</v>
      </c>
      <c r="E1458" s="8">
        <v>3</v>
      </c>
      <c r="F1458" s="1">
        <v>1600</v>
      </c>
      <c r="H1458">
        <v>1</v>
      </c>
      <c r="J1458" s="2">
        <f>+DATAIN_COMPRAS__2[[#This Row],[$/ UN NETO]]*DATAIN_COMPRAS__2[[#This Row],[IVA]]</f>
        <v>1600</v>
      </c>
      <c r="K1458" s="7">
        <f t="shared" si="32"/>
        <v>4800</v>
      </c>
      <c r="L1458" t="s">
        <v>237</v>
      </c>
    </row>
    <row r="1459" spans="1:12" x14ac:dyDescent="0.35">
      <c r="A1459" s="13">
        <v>45924</v>
      </c>
      <c r="B1459" t="s">
        <v>12</v>
      </c>
      <c r="C1459" t="s">
        <v>28</v>
      </c>
      <c r="E1459" s="8">
        <f>0.275*2</f>
        <v>0.55000000000000004</v>
      </c>
      <c r="F1459" s="1">
        <f>6000/DATAIN_COMPRAS__2[[#This Row],[CANT]]</f>
        <v>10909.090909090908</v>
      </c>
      <c r="H1459">
        <v>1</v>
      </c>
      <c r="J1459" s="2">
        <f>+DATAIN_COMPRAS__2[[#This Row],[$/ UN NETO]]*DATAIN_COMPRAS__2[[#This Row],[IVA]]</f>
        <v>10909.090909090908</v>
      </c>
      <c r="K1459" s="7">
        <f t="shared" si="32"/>
        <v>6000</v>
      </c>
      <c r="L1459" t="s">
        <v>237</v>
      </c>
    </row>
    <row r="1460" spans="1:12" x14ac:dyDescent="0.35">
      <c r="A1460" s="13">
        <v>45924</v>
      </c>
      <c r="B1460" t="s">
        <v>12</v>
      </c>
      <c r="C1460" t="s">
        <v>18</v>
      </c>
      <c r="E1460" s="8">
        <v>2</v>
      </c>
      <c r="F1460" s="1">
        <v>10500</v>
      </c>
      <c r="H1460">
        <v>1</v>
      </c>
      <c r="J1460" s="2">
        <f>+DATAIN_COMPRAS__2[[#This Row],[$/ UN NETO]]*DATAIN_COMPRAS__2[[#This Row],[IVA]]</f>
        <v>10500</v>
      </c>
      <c r="K1460" s="7">
        <f t="shared" si="32"/>
        <v>21000</v>
      </c>
      <c r="L1460" t="s">
        <v>237</v>
      </c>
    </row>
    <row r="1461" spans="1:12" x14ac:dyDescent="0.35">
      <c r="A1461" s="13">
        <v>45924</v>
      </c>
      <c r="B1461" t="s">
        <v>12</v>
      </c>
      <c r="C1461" t="s">
        <v>30</v>
      </c>
      <c r="E1461" s="8">
        <v>3</v>
      </c>
      <c r="F1461" s="1">
        <v>950</v>
      </c>
      <c r="H1461">
        <v>1</v>
      </c>
      <c r="J1461" s="2">
        <f>+DATAIN_COMPRAS__2[[#This Row],[$/ UN NETO]]*DATAIN_COMPRAS__2[[#This Row],[IVA]]</f>
        <v>950</v>
      </c>
      <c r="K1461" s="7">
        <f t="shared" si="32"/>
        <v>2850</v>
      </c>
      <c r="L1461" t="s">
        <v>237</v>
      </c>
    </row>
    <row r="1462" spans="1:12" x14ac:dyDescent="0.35">
      <c r="A1462" s="13">
        <v>45925</v>
      </c>
      <c r="B1462" t="s">
        <v>803</v>
      </c>
      <c r="C1462" t="s">
        <v>826</v>
      </c>
      <c r="E1462" s="8">
        <v>1</v>
      </c>
      <c r="F1462" s="1"/>
      <c r="J1462" s="2"/>
      <c r="K1462" s="7">
        <v>12000</v>
      </c>
      <c r="L1462" t="s">
        <v>237</v>
      </c>
    </row>
    <row r="1463" spans="1:12" x14ac:dyDescent="0.35">
      <c r="A1463" s="13">
        <v>45925</v>
      </c>
      <c r="B1463" t="s">
        <v>124</v>
      </c>
      <c r="C1463" t="s">
        <v>125</v>
      </c>
      <c r="E1463" s="8">
        <v>6</v>
      </c>
      <c r="F1463" s="1">
        <v>42000</v>
      </c>
      <c r="H1463">
        <v>1</v>
      </c>
      <c r="J1463" s="2">
        <v>45000</v>
      </c>
      <c r="K1463" s="7">
        <f>(E1463*F1463)*(1-I1463)*(H1463)</f>
        <v>252000</v>
      </c>
      <c r="L1463" t="s">
        <v>237</v>
      </c>
    </row>
    <row r="1464" spans="1:12" x14ac:dyDescent="0.35">
      <c r="A1464" s="13">
        <v>45925</v>
      </c>
      <c r="B1464" t="s">
        <v>796</v>
      </c>
      <c r="C1464" t="s">
        <v>825</v>
      </c>
      <c r="E1464" s="8"/>
      <c r="F1464" s="1"/>
      <c r="J1464" s="2"/>
      <c r="K1464" s="7">
        <v>48654</v>
      </c>
      <c r="L1464" t="s">
        <v>237</v>
      </c>
    </row>
    <row r="1465" spans="1:12" x14ac:dyDescent="0.35">
      <c r="A1465" s="13">
        <v>45925</v>
      </c>
      <c r="B1465" t="s">
        <v>796</v>
      </c>
      <c r="C1465" t="s">
        <v>825</v>
      </c>
      <c r="E1465" s="8"/>
      <c r="F1465" s="1"/>
      <c r="J1465" s="2"/>
      <c r="K1465" s="7">
        <v>62751</v>
      </c>
      <c r="L1465" t="s">
        <v>237</v>
      </c>
    </row>
    <row r="1466" spans="1:12" x14ac:dyDescent="0.35">
      <c r="A1466" s="13">
        <v>45925</v>
      </c>
      <c r="B1466" t="s">
        <v>309</v>
      </c>
      <c r="C1466" t="s">
        <v>18</v>
      </c>
      <c r="E1466" s="8">
        <v>5</v>
      </c>
      <c r="F1466" s="1">
        <v>6000</v>
      </c>
      <c r="H1466">
        <v>1</v>
      </c>
      <c r="J1466" s="2">
        <f>+DATAIN_COMPRAS__2[[#This Row],[$/ UN NETO]]*DATAIN_COMPRAS__2[[#This Row],[IVA]]</f>
        <v>6000</v>
      </c>
      <c r="K1466" s="7">
        <f>(E1466*F1466)*(1-I1466)*(H1466)</f>
        <v>30000</v>
      </c>
      <c r="L1466" t="s">
        <v>237</v>
      </c>
    </row>
    <row r="1467" spans="1:12" x14ac:dyDescent="0.35">
      <c r="A1467" s="13">
        <v>45926</v>
      </c>
      <c r="B1467" t="s">
        <v>796</v>
      </c>
      <c r="C1467" t="s">
        <v>825</v>
      </c>
      <c r="E1467" s="8"/>
      <c r="F1467" s="1"/>
      <c r="J1467" s="2"/>
      <c r="K1467" s="7">
        <v>72696.91</v>
      </c>
      <c r="L1467" t="s">
        <v>237</v>
      </c>
    </row>
    <row r="1468" spans="1:12" x14ac:dyDescent="0.35">
      <c r="A1468" s="13">
        <v>45926</v>
      </c>
      <c r="B1468" t="s">
        <v>80</v>
      </c>
      <c r="C1468" t="s">
        <v>96</v>
      </c>
      <c r="E1468" s="8">
        <v>50</v>
      </c>
      <c r="F1468" s="1">
        <v>75.739999999999995</v>
      </c>
      <c r="H1468">
        <v>1.21</v>
      </c>
      <c r="J1468" s="2">
        <f>+DATAIN_COMPRAS__2[[#This Row],[$/ UN NETO]]*DATAIN_COMPRAS__2[[#This Row],[IVA]]</f>
        <v>91.645399999999995</v>
      </c>
      <c r="K1468" s="7">
        <f t="shared" ref="K1468:K1474" si="33">(E1468*F1468)*(1-I1468)*(H1468)</f>
        <v>4582.2699999999995</v>
      </c>
      <c r="L1468" t="s">
        <v>237</v>
      </c>
    </row>
    <row r="1469" spans="1:12" x14ac:dyDescent="0.35">
      <c r="A1469" s="13">
        <v>45926</v>
      </c>
      <c r="B1469" t="s">
        <v>80</v>
      </c>
      <c r="C1469" t="s">
        <v>88</v>
      </c>
      <c r="E1469" s="8">
        <v>100</v>
      </c>
      <c r="F1469" s="1">
        <f>1652.89/100</f>
        <v>16.5289</v>
      </c>
      <c r="H1469">
        <v>1.21</v>
      </c>
      <c r="J1469" s="2">
        <f>+DATAIN_COMPRAS__2[[#This Row],[$/ UN NETO]]*DATAIN_COMPRAS__2[[#This Row],[IVA]]</f>
        <v>19.999969</v>
      </c>
      <c r="K1469" s="7">
        <f t="shared" si="33"/>
        <v>1999.9969000000001</v>
      </c>
      <c r="L1469" t="s">
        <v>237</v>
      </c>
    </row>
    <row r="1470" spans="1:12" x14ac:dyDescent="0.35">
      <c r="A1470" s="13">
        <v>45926</v>
      </c>
      <c r="B1470" t="s">
        <v>80</v>
      </c>
      <c r="C1470" t="s">
        <v>86</v>
      </c>
      <c r="E1470" s="8">
        <v>50</v>
      </c>
      <c r="F1470" s="1">
        <v>173.95</v>
      </c>
      <c r="H1470">
        <v>1.21</v>
      </c>
      <c r="J1470" s="2">
        <f>+DATAIN_COMPRAS__2[[#This Row],[$/ UN NETO]]*DATAIN_COMPRAS__2[[#This Row],[IVA]]</f>
        <v>210.47949999999997</v>
      </c>
      <c r="K1470" s="7">
        <f t="shared" si="33"/>
        <v>10523.975</v>
      </c>
      <c r="L1470" t="s">
        <v>237</v>
      </c>
    </row>
    <row r="1471" spans="1:12" x14ac:dyDescent="0.35">
      <c r="A1471" s="13">
        <v>45926</v>
      </c>
      <c r="B1471" t="s">
        <v>80</v>
      </c>
      <c r="C1471" t="s">
        <v>97</v>
      </c>
      <c r="E1471" s="8">
        <v>50</v>
      </c>
      <c r="F1471" s="1">
        <v>300.37</v>
      </c>
      <c r="H1471">
        <v>1.21</v>
      </c>
      <c r="J1471" s="2">
        <f>+DATAIN_COMPRAS__2[[#This Row],[$/ UN NETO]]*DATAIN_COMPRAS__2[[#This Row],[IVA]]</f>
        <v>363.4477</v>
      </c>
      <c r="K1471" s="7">
        <f t="shared" si="33"/>
        <v>18172.384999999998</v>
      </c>
      <c r="L1471" t="s">
        <v>237</v>
      </c>
    </row>
    <row r="1472" spans="1:12" x14ac:dyDescent="0.35">
      <c r="A1472" s="13">
        <v>45926</v>
      </c>
      <c r="B1472" t="s">
        <v>80</v>
      </c>
      <c r="C1472" t="s">
        <v>89</v>
      </c>
      <c r="E1472" s="8">
        <v>2</v>
      </c>
      <c r="F1472" s="1">
        <v>743.8</v>
      </c>
      <c r="H1472">
        <v>1.21</v>
      </c>
      <c r="J1472" s="2">
        <f>+DATAIN_COMPRAS__2[[#This Row],[$/ UN NETO]]*DATAIN_COMPRAS__2[[#This Row],[IVA]]</f>
        <v>899.99799999999993</v>
      </c>
      <c r="K1472" s="7">
        <f t="shared" si="33"/>
        <v>1799.9959999999999</v>
      </c>
      <c r="L1472" t="s">
        <v>237</v>
      </c>
    </row>
    <row r="1473" spans="1:12" x14ac:dyDescent="0.35">
      <c r="A1473" s="13">
        <v>45926</v>
      </c>
      <c r="B1473" t="s">
        <v>80</v>
      </c>
      <c r="C1473" t="s">
        <v>94</v>
      </c>
      <c r="E1473" s="8">
        <v>4</v>
      </c>
      <c r="F1473" s="1">
        <v>1074.3800000000001</v>
      </c>
      <c r="H1473">
        <v>1.21</v>
      </c>
      <c r="J1473" s="2">
        <f>+DATAIN_COMPRAS__2[[#This Row],[$/ UN NETO]]*DATAIN_COMPRAS__2[[#This Row],[IVA]]</f>
        <v>1299.9998000000001</v>
      </c>
      <c r="K1473" s="7">
        <f t="shared" si="33"/>
        <v>5199.9992000000002</v>
      </c>
      <c r="L1473" t="s">
        <v>237</v>
      </c>
    </row>
    <row r="1474" spans="1:12" x14ac:dyDescent="0.35">
      <c r="A1474" s="13">
        <v>45927</v>
      </c>
      <c r="B1474" t="s">
        <v>798</v>
      </c>
      <c r="C1474" t="s">
        <v>799</v>
      </c>
      <c r="E1474" s="8">
        <v>0.3</v>
      </c>
      <c r="F1474" s="1">
        <f>2390/DATAIN_COMPRAS__2[[#This Row],[CANT]]</f>
        <v>7966.666666666667</v>
      </c>
      <c r="H1474">
        <v>1</v>
      </c>
      <c r="J1474" s="2">
        <f>+DATAIN_COMPRAS__2[[#This Row],[$/ UN NETO]]*DATAIN_COMPRAS__2[[#This Row],[IVA]]</f>
        <v>7966.666666666667</v>
      </c>
      <c r="K1474" s="7">
        <f t="shared" si="33"/>
        <v>2390</v>
      </c>
      <c r="L1474" t="s">
        <v>237</v>
      </c>
    </row>
    <row r="1475" spans="1:12" x14ac:dyDescent="0.35">
      <c r="A1475" s="13">
        <v>45927</v>
      </c>
      <c r="B1475" t="s">
        <v>796</v>
      </c>
      <c r="C1475" t="s">
        <v>825</v>
      </c>
      <c r="E1475" s="8"/>
      <c r="F1475" s="1"/>
      <c r="J1475" s="2"/>
      <c r="K1475" s="7">
        <v>55525</v>
      </c>
      <c r="L1475" t="s">
        <v>237</v>
      </c>
    </row>
    <row r="1476" spans="1:12" x14ac:dyDescent="0.35">
      <c r="A1476" s="13">
        <v>45927</v>
      </c>
      <c r="B1476" t="s">
        <v>132</v>
      </c>
      <c r="C1476" t="s">
        <v>838</v>
      </c>
      <c r="E1476" s="8">
        <v>0.04</v>
      </c>
      <c r="F1476" s="1">
        <f>6000/DATAIN_COMPRAS__2[[#This Row],[CANT]]</f>
        <v>150000</v>
      </c>
      <c r="H1476">
        <v>1</v>
      </c>
      <c r="J1476" s="2">
        <f>+DATAIN_COMPRAS__2[[#This Row],[$/ UN NETO]]*DATAIN_COMPRAS__2[[#This Row],[IVA]]</f>
        <v>150000</v>
      </c>
      <c r="K1476" s="7">
        <f t="shared" ref="K1476:K1481" si="34">(E1476*F1476)*(1-I1476)*(H1476)</f>
        <v>6000</v>
      </c>
      <c r="L1476" t="s">
        <v>237</v>
      </c>
    </row>
    <row r="1477" spans="1:12" x14ac:dyDescent="0.35">
      <c r="A1477" s="13">
        <v>45927</v>
      </c>
      <c r="B1477" t="s">
        <v>132</v>
      </c>
      <c r="C1477" t="s">
        <v>133</v>
      </c>
      <c r="E1477" s="8">
        <v>7.0000000000000007E-2</v>
      </c>
      <c r="F1477" s="1">
        <f>4000/DATAIN_COMPRAS__2[[#This Row],[CANT]]</f>
        <v>57142.857142857138</v>
      </c>
      <c r="H1477">
        <v>1</v>
      </c>
      <c r="J1477" s="2">
        <f>+DATAIN_COMPRAS__2[[#This Row],[$/ UN NETO]]*DATAIN_COMPRAS__2[[#This Row],[IVA]]</f>
        <v>57142.857142857138</v>
      </c>
      <c r="K1477" s="7">
        <f t="shared" si="34"/>
        <v>4000</v>
      </c>
      <c r="L1477" t="s">
        <v>237</v>
      </c>
    </row>
    <row r="1478" spans="1:12" x14ac:dyDescent="0.35">
      <c r="A1478" s="13">
        <v>45927</v>
      </c>
      <c r="B1478" t="s">
        <v>12</v>
      </c>
      <c r="C1478" t="s">
        <v>26</v>
      </c>
      <c r="E1478" s="8">
        <v>1.3149999999999999</v>
      </c>
      <c r="F1478" s="1">
        <v>2000</v>
      </c>
      <c r="H1478">
        <v>1</v>
      </c>
      <c r="J1478" s="2">
        <f>+DATAIN_COMPRAS__2[[#This Row],[$/ UN NETO]]*DATAIN_COMPRAS__2[[#This Row],[IVA]]</f>
        <v>2000</v>
      </c>
      <c r="K1478" s="7">
        <f t="shared" si="34"/>
        <v>2630</v>
      </c>
      <c r="L1478" t="s">
        <v>237</v>
      </c>
    </row>
    <row r="1479" spans="1:12" x14ac:dyDescent="0.35">
      <c r="A1479" s="13">
        <v>45927</v>
      </c>
      <c r="B1479" t="s">
        <v>12</v>
      </c>
      <c r="C1479" t="s">
        <v>109</v>
      </c>
      <c r="E1479" s="8">
        <v>0.47</v>
      </c>
      <c r="F1479" s="1">
        <v>7300</v>
      </c>
      <c r="H1479">
        <v>1</v>
      </c>
      <c r="J1479" s="2">
        <f>+DATAIN_COMPRAS__2[[#This Row],[$/ UN NETO]]*DATAIN_COMPRAS__2[[#This Row],[IVA]]</f>
        <v>7300</v>
      </c>
      <c r="K1479" s="7">
        <f t="shared" si="34"/>
        <v>3431</v>
      </c>
      <c r="L1479" t="s">
        <v>237</v>
      </c>
    </row>
    <row r="1480" spans="1:12" x14ac:dyDescent="0.35">
      <c r="A1480" s="13">
        <v>45927</v>
      </c>
      <c r="B1480" t="s">
        <v>12</v>
      </c>
      <c r="C1480" t="s">
        <v>28</v>
      </c>
      <c r="E1480" s="8">
        <v>0.27500000000000002</v>
      </c>
      <c r="F1480" s="1">
        <f>3000/DATAIN_COMPRAS__2[[#This Row],[CANT]]</f>
        <v>10909.090909090908</v>
      </c>
      <c r="H1480">
        <v>1</v>
      </c>
      <c r="J1480" s="2">
        <f>+DATAIN_COMPRAS__2[[#This Row],[$/ UN NETO]]*DATAIN_COMPRAS__2[[#This Row],[IVA]]</f>
        <v>10909.090909090908</v>
      </c>
      <c r="K1480" s="7">
        <f t="shared" si="34"/>
        <v>3000</v>
      </c>
      <c r="L1480" t="s">
        <v>237</v>
      </c>
    </row>
    <row r="1481" spans="1:12" x14ac:dyDescent="0.35">
      <c r="A1481" s="13">
        <v>45927</v>
      </c>
      <c r="B1481" t="s">
        <v>801</v>
      </c>
      <c r="C1481" t="s">
        <v>807</v>
      </c>
      <c r="E1481" s="8">
        <v>2</v>
      </c>
      <c r="F1481" s="1">
        <v>3500</v>
      </c>
      <c r="H1481">
        <v>1</v>
      </c>
      <c r="J1481" s="2">
        <f>+DATAIN_COMPRAS__2[[#This Row],[$/ UN NETO]]*DATAIN_COMPRAS__2[[#This Row],[IVA]]</f>
        <v>3500</v>
      </c>
      <c r="K1481" s="7">
        <f t="shared" si="34"/>
        <v>7000</v>
      </c>
      <c r="L1481" t="s">
        <v>237</v>
      </c>
    </row>
    <row r="1482" spans="1:12" x14ac:dyDescent="0.35">
      <c r="A1482" s="13">
        <v>45928</v>
      </c>
      <c r="B1482" t="s">
        <v>796</v>
      </c>
      <c r="C1482" t="s">
        <v>825</v>
      </c>
      <c r="E1482" s="8"/>
      <c r="F1482" s="1"/>
      <c r="J1482" s="2"/>
      <c r="K1482" s="7">
        <v>81374.42</v>
      </c>
      <c r="L1482" t="s">
        <v>237</v>
      </c>
    </row>
    <row r="1483" spans="1:12" x14ac:dyDescent="0.35">
      <c r="A1483" s="13">
        <v>45928</v>
      </c>
      <c r="B1483" t="s">
        <v>796</v>
      </c>
      <c r="C1483" t="s">
        <v>825</v>
      </c>
      <c r="E1483" s="8"/>
      <c r="F1483" s="1"/>
      <c r="J1483" s="2"/>
      <c r="K1483">
        <v>3768</v>
      </c>
      <c r="L1483" t="s">
        <v>237</v>
      </c>
    </row>
    <row r="1484" spans="1:12" x14ac:dyDescent="0.35">
      <c r="A1484" s="13">
        <v>45929</v>
      </c>
      <c r="B1484" t="s">
        <v>796</v>
      </c>
      <c r="C1484" t="s">
        <v>825</v>
      </c>
      <c r="E1484" s="8"/>
      <c r="F1484" s="1"/>
      <c r="J1484" s="2"/>
      <c r="K1484" s="7">
        <v>43913</v>
      </c>
      <c r="L1484" t="s">
        <v>237</v>
      </c>
    </row>
    <row r="1485" spans="1:12" x14ac:dyDescent="0.35">
      <c r="A1485" s="13">
        <v>45929</v>
      </c>
      <c r="B1485" t="s">
        <v>48</v>
      </c>
      <c r="C1485" t="s">
        <v>79</v>
      </c>
      <c r="E1485" s="8">
        <v>0.25</v>
      </c>
      <c r="F1485" s="1">
        <f>5191.1421/DATAIN_COMPRAS__2[[#This Row],[CANT]]</f>
        <v>20764.5684</v>
      </c>
      <c r="H1485">
        <v>1.21</v>
      </c>
      <c r="I1485">
        <v>0.06</v>
      </c>
      <c r="J1485" s="2">
        <f>+DATAIN_COMPRAS__2[[#This Row],[$/ UN NETO]]*DATAIN_COMPRAS__2[[#This Row],[IVA]]</f>
        <v>25125.127764000001</v>
      </c>
      <c r="K1485" s="7">
        <f t="shared" ref="K1485:K1503" si="35">(E1485*F1485)*(1-I1485)*(H1485)</f>
        <v>5904.4050245399994</v>
      </c>
      <c r="L1485" t="s">
        <v>237</v>
      </c>
    </row>
    <row r="1486" spans="1:12" x14ac:dyDescent="0.35">
      <c r="A1486" s="13">
        <v>45929</v>
      </c>
      <c r="B1486" t="s">
        <v>48</v>
      </c>
      <c r="C1486" t="s">
        <v>358</v>
      </c>
      <c r="E1486" s="8">
        <v>0.82</v>
      </c>
      <c r="F1486" s="1">
        <f>1712.3688/DATAIN_COMPRAS__2[[#This Row],[CANT]]</f>
        <v>2088.2546341463417</v>
      </c>
      <c r="H1486">
        <v>1.21</v>
      </c>
      <c r="I1486">
        <v>0.06</v>
      </c>
      <c r="J1486" s="2">
        <f>+DATAIN_COMPRAS__2[[#This Row],[$/ UN NETO]]*DATAIN_COMPRAS__2[[#This Row],[IVA]]</f>
        <v>2526.7881073170734</v>
      </c>
      <c r="K1486" s="7">
        <f t="shared" si="35"/>
        <v>1947.6482731200001</v>
      </c>
      <c r="L1486" t="s">
        <v>237</v>
      </c>
    </row>
    <row r="1487" spans="1:12" x14ac:dyDescent="0.35">
      <c r="A1487" s="13">
        <v>45929</v>
      </c>
      <c r="B1487" t="s">
        <v>48</v>
      </c>
      <c r="C1487" t="s">
        <v>55</v>
      </c>
      <c r="E1487" s="8">
        <v>1</v>
      </c>
      <c r="F1487" s="1">
        <f>910.5809*2</f>
        <v>1821.1618000000001</v>
      </c>
      <c r="H1487">
        <v>1.21</v>
      </c>
      <c r="I1487">
        <v>0.06</v>
      </c>
      <c r="J1487" s="2">
        <f>+DATAIN_COMPRAS__2[[#This Row],[$/ UN NETO]]*DATAIN_COMPRAS__2[[#This Row],[IVA]]</f>
        <v>2203.6057780000001</v>
      </c>
      <c r="K1487" s="7">
        <f t="shared" si="35"/>
        <v>2071.3894313199999</v>
      </c>
      <c r="L1487" t="s">
        <v>237</v>
      </c>
    </row>
    <row r="1488" spans="1:12" x14ac:dyDescent="0.35">
      <c r="A1488" s="13">
        <v>45929</v>
      </c>
      <c r="B1488" t="s">
        <v>48</v>
      </c>
      <c r="C1488" t="s">
        <v>51</v>
      </c>
      <c r="E1488" s="8">
        <v>3.52</v>
      </c>
      <c r="F1488" s="1">
        <v>9160.7752999999993</v>
      </c>
      <c r="H1488">
        <v>1.21</v>
      </c>
      <c r="I1488">
        <v>0.06</v>
      </c>
      <c r="J1488" s="2">
        <f>+DATAIN_COMPRAS__2[[#This Row],[$/ UN NETO]]*DATAIN_COMPRAS__2[[#This Row],[IVA]]</f>
        <v>11084.538112999999</v>
      </c>
      <c r="K1488" s="7">
        <f t="shared" si="35"/>
        <v>36676.519708294392</v>
      </c>
      <c r="L1488" t="s">
        <v>237</v>
      </c>
    </row>
    <row r="1489" spans="1:12" x14ac:dyDescent="0.35">
      <c r="A1489" s="13">
        <v>45929</v>
      </c>
      <c r="B1489" t="s">
        <v>48</v>
      </c>
      <c r="C1489" t="s">
        <v>321</v>
      </c>
      <c r="E1489" s="8">
        <v>1</v>
      </c>
      <c r="F1489" s="1">
        <v>3138.8701000000001</v>
      </c>
      <c r="H1489">
        <v>1.21</v>
      </c>
      <c r="J1489" s="2">
        <f>+DATAIN_COMPRAS__2[[#This Row],[$/ UN NETO]]*DATAIN_COMPRAS__2[[#This Row],[IVA]]</f>
        <v>3798.0328209999998</v>
      </c>
      <c r="K1489" s="7">
        <f t="shared" si="35"/>
        <v>3798.0328209999998</v>
      </c>
      <c r="L1489" t="s">
        <v>158</v>
      </c>
    </row>
    <row r="1490" spans="1:12" x14ac:dyDescent="0.35">
      <c r="A1490" s="13">
        <v>45929</v>
      </c>
      <c r="B1490" t="s">
        <v>48</v>
      </c>
      <c r="C1490" t="s">
        <v>76</v>
      </c>
      <c r="E1490" s="8">
        <v>12</v>
      </c>
      <c r="F1490" s="1">
        <f>12644.6281/12</f>
        <v>1053.7190083333332</v>
      </c>
      <c r="H1490">
        <v>1.21</v>
      </c>
      <c r="J1490" s="2">
        <f>+DATAIN_COMPRAS__2[[#This Row],[$/ UN NETO]]*DATAIN_COMPRAS__2[[#This Row],[IVA]]</f>
        <v>1275.0000000833331</v>
      </c>
      <c r="K1490" s="7">
        <f t="shared" si="35"/>
        <v>15300.000000999997</v>
      </c>
      <c r="L1490" t="s">
        <v>237</v>
      </c>
    </row>
    <row r="1491" spans="1:12" x14ac:dyDescent="0.35">
      <c r="A1491" s="13">
        <v>45929</v>
      </c>
      <c r="B1491" t="s">
        <v>48</v>
      </c>
      <c r="C1491" t="s">
        <v>53</v>
      </c>
      <c r="E1491" s="8">
        <v>2</v>
      </c>
      <c r="F1491" s="1">
        <v>1142.46</v>
      </c>
      <c r="H1491">
        <v>1.21</v>
      </c>
      <c r="J1491" s="2">
        <f>+DATAIN_COMPRAS__2[[#This Row],[$/ UN NETO]]*DATAIN_COMPRAS__2[[#This Row],[IVA]]</f>
        <v>1382.3766000000001</v>
      </c>
      <c r="K1491" s="7">
        <f t="shared" si="35"/>
        <v>2764.7532000000001</v>
      </c>
      <c r="L1491" t="s">
        <v>237</v>
      </c>
    </row>
    <row r="1492" spans="1:12" x14ac:dyDescent="0.35">
      <c r="A1492" s="13">
        <v>45929</v>
      </c>
      <c r="B1492" t="s">
        <v>48</v>
      </c>
      <c r="C1492" t="s">
        <v>52</v>
      </c>
      <c r="E1492" s="8">
        <v>7.26</v>
      </c>
      <c r="F1492" s="1">
        <v>7041.4740000000002</v>
      </c>
      <c r="H1492">
        <v>1.21</v>
      </c>
      <c r="J1492" s="2">
        <f>+DATAIN_COMPRAS__2[[#This Row],[$/ UN NETO]]*DATAIN_COMPRAS__2[[#This Row],[IVA]]</f>
        <v>8520.18354</v>
      </c>
      <c r="K1492" s="7">
        <f t="shared" si="35"/>
        <v>61856.532500399997</v>
      </c>
      <c r="L1492" t="s">
        <v>237</v>
      </c>
    </row>
    <row r="1493" spans="1:12" x14ac:dyDescent="0.35">
      <c r="A1493" s="13">
        <v>45929</v>
      </c>
      <c r="B1493" t="s">
        <v>48</v>
      </c>
      <c r="C1493" t="s">
        <v>833</v>
      </c>
      <c r="E1493" s="8">
        <v>3.5</v>
      </c>
      <c r="F1493" s="1">
        <f>19208.0028/DATAIN_COMPRAS__2[[#This Row],[CANT]]</f>
        <v>5488.0007999999998</v>
      </c>
      <c r="H1493">
        <v>1.21</v>
      </c>
      <c r="I1493">
        <v>0.06</v>
      </c>
      <c r="J1493" s="2">
        <f>+DATAIN_COMPRAS__2[[#This Row],[$/ UN NETO]]*DATAIN_COMPRAS__2[[#This Row],[IVA]]</f>
        <v>6640.4809679999998</v>
      </c>
      <c r="K1493" s="7">
        <f t="shared" si="35"/>
        <v>21847.182384719996</v>
      </c>
      <c r="L1493" t="s">
        <v>237</v>
      </c>
    </row>
    <row r="1494" spans="1:12" x14ac:dyDescent="0.35">
      <c r="A1494" s="13">
        <v>45929</v>
      </c>
      <c r="B1494" t="s">
        <v>48</v>
      </c>
      <c r="C1494" t="s">
        <v>248</v>
      </c>
      <c r="E1494" s="8">
        <v>2</v>
      </c>
      <c r="F1494" s="1">
        <v>857.34</v>
      </c>
      <c r="H1494">
        <v>1.21</v>
      </c>
      <c r="J1494" s="2">
        <f>+DATAIN_COMPRAS__2[[#This Row],[$/ UN NETO]]*DATAIN_COMPRAS__2[[#This Row],[IVA]]</f>
        <v>1037.3814</v>
      </c>
      <c r="K1494" s="7">
        <f t="shared" si="35"/>
        <v>2074.7628</v>
      </c>
      <c r="L1494" t="s">
        <v>237</v>
      </c>
    </row>
    <row r="1495" spans="1:12" x14ac:dyDescent="0.35">
      <c r="A1495" s="13">
        <v>45929</v>
      </c>
      <c r="B1495" t="s">
        <v>48</v>
      </c>
      <c r="C1495" t="s">
        <v>54</v>
      </c>
      <c r="E1495" s="8">
        <v>0.8</v>
      </c>
      <c r="F1495" s="1">
        <f>833.1421/0.4</f>
        <v>2082.8552500000001</v>
      </c>
      <c r="H1495">
        <v>1.21</v>
      </c>
      <c r="J1495" s="2">
        <f>+DATAIN_COMPRAS__2[[#This Row],[$/ UN NETO]]*DATAIN_COMPRAS__2[[#This Row],[IVA]]</f>
        <v>2520.2548525000002</v>
      </c>
      <c r="K1495" s="7">
        <f t="shared" si="35"/>
        <v>2016.203882</v>
      </c>
      <c r="L1495" t="s">
        <v>237</v>
      </c>
    </row>
    <row r="1496" spans="1:12" x14ac:dyDescent="0.35">
      <c r="A1496" s="13">
        <v>45929</v>
      </c>
      <c r="B1496" t="s">
        <v>71</v>
      </c>
      <c r="C1496" t="s">
        <v>224</v>
      </c>
      <c r="E1496" s="8">
        <v>1</v>
      </c>
      <c r="F1496" s="1">
        <v>5050</v>
      </c>
      <c r="H1496">
        <v>1</v>
      </c>
      <c r="J1496" s="2">
        <f>+DATAIN_COMPRAS__2[[#This Row],[$/ UN NETO]]*DATAIN_COMPRAS__2[[#This Row],[IVA]]</f>
        <v>5050</v>
      </c>
      <c r="K1496" s="7">
        <f t="shared" si="35"/>
        <v>5050</v>
      </c>
      <c r="L1496" t="s">
        <v>237</v>
      </c>
    </row>
    <row r="1497" spans="1:12" x14ac:dyDescent="0.35">
      <c r="A1497" s="13">
        <v>45929</v>
      </c>
      <c r="B1497" t="s">
        <v>12</v>
      </c>
      <c r="C1497" t="s">
        <v>26</v>
      </c>
      <c r="E1497" s="8">
        <v>3</v>
      </c>
      <c r="F1497" s="1">
        <v>2000</v>
      </c>
      <c r="H1497">
        <v>1</v>
      </c>
      <c r="J1497" s="2">
        <f>+DATAIN_COMPRAS__2[[#This Row],[$/ UN NETO]]*DATAIN_COMPRAS__2[[#This Row],[IVA]]</f>
        <v>2000</v>
      </c>
      <c r="K1497" s="7">
        <f t="shared" si="35"/>
        <v>6000</v>
      </c>
      <c r="L1497" t="s">
        <v>237</v>
      </c>
    </row>
    <row r="1498" spans="1:12" x14ac:dyDescent="0.35">
      <c r="A1498" s="13">
        <v>45929</v>
      </c>
      <c r="B1498" t="s">
        <v>12</v>
      </c>
      <c r="C1498" t="s">
        <v>13</v>
      </c>
      <c r="E1498" s="8">
        <v>14</v>
      </c>
      <c r="F1498" s="1">
        <f>22000/DATAIN_COMPRAS__2[[#This Row],[CANT]]</f>
        <v>1571.4285714285713</v>
      </c>
      <c r="H1498">
        <v>1</v>
      </c>
      <c r="J1498" s="2">
        <f>+DATAIN_COMPRAS__2[[#This Row],[$/ UN NETO]]*DATAIN_COMPRAS__2[[#This Row],[IVA]]</f>
        <v>1571.4285714285713</v>
      </c>
      <c r="K1498" s="7">
        <f t="shared" si="35"/>
        <v>22000</v>
      </c>
      <c r="L1498" t="s">
        <v>237</v>
      </c>
    </row>
    <row r="1499" spans="1:12" x14ac:dyDescent="0.35">
      <c r="A1499" s="13">
        <v>45929</v>
      </c>
      <c r="B1499" t="s">
        <v>12</v>
      </c>
      <c r="C1499" t="s">
        <v>19</v>
      </c>
      <c r="E1499" s="8">
        <v>1.2350000000000001</v>
      </c>
      <c r="F1499" s="1">
        <v>6900</v>
      </c>
      <c r="H1499">
        <v>1</v>
      </c>
      <c r="J1499" s="2">
        <f>+DATAIN_COMPRAS__2[[#This Row],[$/ UN NETO]]*DATAIN_COMPRAS__2[[#This Row],[IVA]]</f>
        <v>6900</v>
      </c>
      <c r="K1499" s="7">
        <f t="shared" si="35"/>
        <v>8521.5</v>
      </c>
      <c r="L1499" t="s">
        <v>237</v>
      </c>
    </row>
    <row r="1500" spans="1:12" x14ac:dyDescent="0.35">
      <c r="A1500" s="13">
        <v>45929</v>
      </c>
      <c r="B1500" t="s">
        <v>12</v>
      </c>
      <c r="C1500" t="s">
        <v>28</v>
      </c>
      <c r="E1500" s="8">
        <v>0.27500000000000002</v>
      </c>
      <c r="F1500" s="1">
        <f>3000/0.275</f>
        <v>10909.090909090908</v>
      </c>
      <c r="H1500">
        <v>1</v>
      </c>
      <c r="J1500" s="2">
        <f>+DATAIN_COMPRAS__2[[#This Row],[$/ UN NETO]]*DATAIN_COMPRAS__2[[#This Row],[IVA]]</f>
        <v>10909.090909090908</v>
      </c>
      <c r="K1500" s="7">
        <f t="shared" si="35"/>
        <v>3000</v>
      </c>
      <c r="L1500" t="s">
        <v>237</v>
      </c>
    </row>
    <row r="1501" spans="1:12" x14ac:dyDescent="0.35">
      <c r="A1501" s="13">
        <v>45930</v>
      </c>
      <c r="B1501" t="s">
        <v>179</v>
      </c>
      <c r="C1501" t="s">
        <v>180</v>
      </c>
      <c r="E1501" s="8">
        <v>10</v>
      </c>
      <c r="F1501" s="1">
        <f>32622.48/DATAIN_COMPRAS__2[[#This Row],[CANT]]</f>
        <v>3262.248</v>
      </c>
      <c r="H1501">
        <v>1.21</v>
      </c>
      <c r="I1501">
        <v>0.05</v>
      </c>
      <c r="J1501" s="2">
        <f>+DATAIN_COMPRAS__2[[#This Row],[$/ UN NETO]]*DATAIN_COMPRAS__2[[#This Row],[IVA]]</f>
        <v>3947.32008</v>
      </c>
      <c r="K1501" s="7">
        <f t="shared" si="35"/>
        <v>37499.540759999996</v>
      </c>
      <c r="L1501" t="s">
        <v>158</v>
      </c>
    </row>
    <row r="1502" spans="1:12" x14ac:dyDescent="0.35">
      <c r="A1502" s="13">
        <v>45930</v>
      </c>
      <c r="B1502" t="s">
        <v>75</v>
      </c>
      <c r="C1502" t="s">
        <v>78</v>
      </c>
      <c r="E1502" s="8">
        <v>12</v>
      </c>
      <c r="F1502" s="1">
        <v>1285.1400000000001</v>
      </c>
      <c r="H1502">
        <v>1.21</v>
      </c>
      <c r="J1502" s="2">
        <f>+DATAIN_COMPRAS__2[[#This Row],[$/ UN NETO]]*DATAIN_COMPRAS__2[[#This Row],[IVA]]</f>
        <v>1555.0194000000001</v>
      </c>
      <c r="K1502" s="7">
        <f t="shared" si="35"/>
        <v>18660.232800000002</v>
      </c>
      <c r="L1502" t="s">
        <v>237</v>
      </c>
    </row>
    <row r="1503" spans="1:12" x14ac:dyDescent="0.35">
      <c r="A1503" s="13">
        <v>45930</v>
      </c>
      <c r="B1503" t="s">
        <v>75</v>
      </c>
      <c r="C1503" t="s">
        <v>76</v>
      </c>
      <c r="E1503" s="8">
        <v>96</v>
      </c>
      <c r="F1503" s="1">
        <v>1157.1600000000001</v>
      </c>
      <c r="H1503">
        <v>1.21</v>
      </c>
      <c r="J1503" s="2">
        <f>+DATAIN_COMPRAS__2[[#This Row],[$/ UN NETO]]*DATAIN_COMPRAS__2[[#This Row],[IVA]]</f>
        <v>1400.1636000000001</v>
      </c>
      <c r="K1503" s="7">
        <f t="shared" si="35"/>
        <v>134415.70560000002</v>
      </c>
      <c r="L1503" t="s">
        <v>237</v>
      </c>
    </row>
    <row r="1504" spans="1:12" x14ac:dyDescent="0.35">
      <c r="A1504" s="13">
        <v>45931</v>
      </c>
      <c r="B1504" t="s">
        <v>796</v>
      </c>
      <c r="C1504" t="s">
        <v>825</v>
      </c>
      <c r="E1504" s="8"/>
      <c r="F1504" s="1"/>
      <c r="J1504" s="2"/>
      <c r="K1504" s="7">
        <v>31789.66</v>
      </c>
      <c r="L1504" t="s">
        <v>237</v>
      </c>
    </row>
    <row r="1505" spans="1:12" x14ac:dyDescent="0.35">
      <c r="A1505" s="13">
        <v>45931</v>
      </c>
      <c r="B1505" t="s">
        <v>796</v>
      </c>
      <c r="C1505" t="s">
        <v>825</v>
      </c>
      <c r="E1505" s="8"/>
      <c r="F1505" s="1"/>
      <c r="J1505" s="2"/>
      <c r="K1505" s="7">
        <v>5652</v>
      </c>
      <c r="L1505" t="s">
        <v>237</v>
      </c>
    </row>
    <row r="1506" spans="1:12" x14ac:dyDescent="0.35">
      <c r="A1506" s="13">
        <v>45931</v>
      </c>
      <c r="B1506" t="s">
        <v>345</v>
      </c>
      <c r="C1506" t="s">
        <v>808</v>
      </c>
      <c r="E1506" s="8">
        <v>10</v>
      </c>
      <c r="F1506" s="1">
        <f>6074.38/5</f>
        <v>1214.876</v>
      </c>
      <c r="H1506">
        <v>1.21</v>
      </c>
      <c r="I1506" s="11">
        <f>1214.88/(DATAIN_COMPRAS__2[[#This Row],[CANT]]*DATAIN_COMPRAS__2[[#This Row],[$/ UN NETO]])</f>
        <v>0.10000032925170965</v>
      </c>
      <c r="J1506" s="2">
        <f>+DATAIN_COMPRAS__2[[#This Row],[$/ UN NETO]]*DATAIN_COMPRAS__2[[#This Row],[IVA]]</f>
        <v>1469.9999599999999</v>
      </c>
      <c r="K1506" s="7">
        <f t="shared" ref="K1506:K1513" si="36">(E1506*F1506)*(1-I1506)*(H1506)</f>
        <v>13229.994799999999</v>
      </c>
      <c r="L1506" t="s">
        <v>237</v>
      </c>
    </row>
    <row r="1507" spans="1:12" x14ac:dyDescent="0.35">
      <c r="A1507" s="13">
        <v>45931</v>
      </c>
      <c r="B1507" t="s">
        <v>345</v>
      </c>
      <c r="C1507" t="s">
        <v>272</v>
      </c>
      <c r="E1507" s="8">
        <v>2</v>
      </c>
      <c r="F1507" s="1">
        <v>690.08</v>
      </c>
      <c r="H1507">
        <v>1.21</v>
      </c>
      <c r="I1507" s="11">
        <f>138.02/(DATAIN_COMPRAS__2[[#This Row],[CANT]]*DATAIN_COMPRAS__2[[#This Row],[$/ UN NETO]])</f>
        <v>0.10000289821469975</v>
      </c>
      <c r="J1507" s="2">
        <f>+DATAIN_COMPRAS__2[[#This Row],[$/ UN NETO]]*DATAIN_COMPRAS__2[[#This Row],[IVA]]</f>
        <v>834.99680000000001</v>
      </c>
      <c r="K1507" s="7">
        <f t="shared" si="36"/>
        <v>1502.9894000000002</v>
      </c>
      <c r="L1507" t="s">
        <v>237</v>
      </c>
    </row>
    <row r="1508" spans="1:12" x14ac:dyDescent="0.35">
      <c r="A1508" s="13">
        <v>45931</v>
      </c>
      <c r="B1508" t="s">
        <v>345</v>
      </c>
      <c r="C1508" t="s">
        <v>349</v>
      </c>
      <c r="E1508" s="8">
        <v>8</v>
      </c>
      <c r="F1508" s="1">
        <v>1685.95</v>
      </c>
      <c r="H1508">
        <v>1.21</v>
      </c>
      <c r="I1508" s="11">
        <f>1346.76/(DATAIN_COMPRAS__2[[#This Row],[$/ UN NETO]]*DATAIN_COMPRAS__2[[#This Row],[CANT]])</f>
        <v>9.9851715649930298E-2</v>
      </c>
      <c r="J1508" s="2">
        <f>+DATAIN_COMPRAS__2[[#This Row],[$/ UN NETO]]*DATAIN_COMPRAS__2[[#This Row],[IVA]]</f>
        <v>2039.9994999999999</v>
      </c>
      <c r="K1508" s="7">
        <f t="shared" si="36"/>
        <v>14690.4164</v>
      </c>
      <c r="L1508" t="s">
        <v>237</v>
      </c>
    </row>
    <row r="1509" spans="1:12" x14ac:dyDescent="0.35">
      <c r="A1509" s="13">
        <v>45931</v>
      </c>
      <c r="B1509" t="s">
        <v>345</v>
      </c>
      <c r="C1509" t="s">
        <v>352</v>
      </c>
      <c r="E1509" s="8">
        <v>8</v>
      </c>
      <c r="F1509" s="1">
        <v>3834.71</v>
      </c>
      <c r="G1509" s="11"/>
      <c r="H1509">
        <v>1.21</v>
      </c>
      <c r="I1509" s="11">
        <f>3067.77/(DATAIN_COMPRAS__2[[#This Row],[$/ UN NETO]]*DATAIN_COMPRAS__2[[#This Row],[CANT]])</f>
        <v>0.10000006519397817</v>
      </c>
      <c r="J1509" s="2">
        <f>+DATAIN_COMPRAS__2[[#This Row],[$/ UN NETO]]*DATAIN_COMPRAS__2[[#This Row],[IVA]]</f>
        <v>4639.9991</v>
      </c>
      <c r="K1509" s="7">
        <f t="shared" si="36"/>
        <v>33407.991099999999</v>
      </c>
      <c r="L1509" t="s">
        <v>237</v>
      </c>
    </row>
    <row r="1510" spans="1:12" x14ac:dyDescent="0.35">
      <c r="A1510" s="13">
        <v>45931</v>
      </c>
      <c r="B1510" t="s">
        <v>104</v>
      </c>
      <c r="C1510" t="s">
        <v>105</v>
      </c>
      <c r="E1510" s="8">
        <v>2</v>
      </c>
      <c r="F1510" s="1">
        <v>11730</v>
      </c>
      <c r="H1510">
        <v>1</v>
      </c>
      <c r="J1510" s="2">
        <f>+DATAIN_COMPRAS__2[[#This Row],[$/ UN NETO]]*DATAIN_COMPRAS__2[[#This Row],[IVA]]</f>
        <v>11730</v>
      </c>
      <c r="K1510" s="7">
        <f t="shared" si="36"/>
        <v>23460</v>
      </c>
      <c r="L1510" t="s">
        <v>158</v>
      </c>
    </row>
    <row r="1511" spans="1:12" x14ac:dyDescent="0.35">
      <c r="A1511" s="13">
        <v>45931</v>
      </c>
      <c r="B1511" t="s">
        <v>104</v>
      </c>
      <c r="C1511" t="s">
        <v>105</v>
      </c>
      <c r="E1511" s="8">
        <v>1</v>
      </c>
      <c r="F1511" s="1">
        <v>11730</v>
      </c>
      <c r="H1511">
        <v>1</v>
      </c>
      <c r="J1511" s="2">
        <f>+DATAIN_COMPRAS__2[[#This Row],[$/ UN NETO]]*DATAIN_COMPRAS__2[[#This Row],[IVA]]</f>
        <v>11730</v>
      </c>
      <c r="K1511" s="7">
        <f t="shared" si="36"/>
        <v>11730</v>
      </c>
      <c r="L1511" t="s">
        <v>237</v>
      </c>
    </row>
    <row r="1512" spans="1:12" x14ac:dyDescent="0.35">
      <c r="A1512" s="13">
        <v>45932</v>
      </c>
      <c r="B1512" t="s">
        <v>124</v>
      </c>
      <c r="C1512" s="14" t="s">
        <v>125</v>
      </c>
      <c r="E1512">
        <v>9</v>
      </c>
      <c r="F1512" s="1">
        <v>41500</v>
      </c>
      <c r="H1512">
        <v>1</v>
      </c>
      <c r="J1512" s="2">
        <f>+DATAIN_COMPRAS__2[[#This Row],[$/ UN NETO]]*DATAIN_COMPRAS__2[[#This Row],[IVA]]</f>
        <v>41500</v>
      </c>
      <c r="K1512" s="7">
        <f t="shared" si="36"/>
        <v>373500</v>
      </c>
      <c r="L1512" t="s">
        <v>237</v>
      </c>
    </row>
    <row r="1513" spans="1:12" x14ac:dyDescent="0.35">
      <c r="A1513" s="13">
        <v>45932</v>
      </c>
      <c r="B1513" t="s">
        <v>124</v>
      </c>
      <c r="C1513" s="14" t="s">
        <v>126</v>
      </c>
      <c r="E1513">
        <v>0.5</v>
      </c>
      <c r="F1513" s="1">
        <f>(20500+20000)/DATAIN_COMPRAS__2[[#This Row],[CANT]]</f>
        <v>81000</v>
      </c>
      <c r="H1513">
        <v>1</v>
      </c>
      <c r="J1513" s="2">
        <f>+DATAIN_COMPRAS__2[[#This Row],[$/ UN NETO]]*DATAIN_COMPRAS__2[[#This Row],[IVA]]</f>
        <v>81000</v>
      </c>
      <c r="K1513" s="7">
        <f t="shared" si="36"/>
        <v>40500</v>
      </c>
      <c r="L1513" t="s">
        <v>237</v>
      </c>
    </row>
    <row r="1514" spans="1:12" x14ac:dyDescent="0.35">
      <c r="A1514" s="13">
        <v>45932</v>
      </c>
      <c r="B1514" t="s">
        <v>796</v>
      </c>
      <c r="C1514" t="s">
        <v>825</v>
      </c>
      <c r="E1514" s="8"/>
      <c r="F1514" s="1"/>
      <c r="J1514" s="2"/>
      <c r="K1514" s="7">
        <v>42682.400000000001</v>
      </c>
      <c r="L1514" t="s">
        <v>237</v>
      </c>
    </row>
    <row r="1515" spans="1:12" x14ac:dyDescent="0.35">
      <c r="A1515" s="13">
        <v>45933</v>
      </c>
      <c r="B1515" t="s">
        <v>796</v>
      </c>
      <c r="C1515" t="s">
        <v>825</v>
      </c>
      <c r="E1515" s="8"/>
      <c r="F1515" s="1"/>
      <c r="J1515" s="2"/>
      <c r="K1515" s="7">
        <v>57519.58</v>
      </c>
      <c r="L1515" t="s">
        <v>237</v>
      </c>
    </row>
    <row r="1516" spans="1:12" x14ac:dyDescent="0.35">
      <c r="A1516" s="13">
        <v>45933</v>
      </c>
      <c r="B1516" t="s">
        <v>309</v>
      </c>
      <c r="C1516" s="14" t="s">
        <v>103</v>
      </c>
      <c r="E1516" s="8">
        <f>18*30</f>
        <v>540</v>
      </c>
      <c r="F1516" s="1">
        <f>105000/DATAIN_COMPRAS__2[[#This Row],[CANT]]</f>
        <v>194.44444444444446</v>
      </c>
      <c r="H1516">
        <v>1</v>
      </c>
      <c r="J1516" s="2">
        <f>+DATAIN_COMPRAS__2[[#This Row],[$/ UN NETO]]*DATAIN_COMPRAS__2[[#This Row],[IVA]]</f>
        <v>194.44444444444446</v>
      </c>
      <c r="K1516" s="7">
        <f>(E1516*F1516)*(1-I1516)*(H1516)</f>
        <v>105000</v>
      </c>
      <c r="L1516" t="s">
        <v>237</v>
      </c>
    </row>
    <row r="1517" spans="1:12" x14ac:dyDescent="0.35">
      <c r="A1517" s="13">
        <v>45933</v>
      </c>
      <c r="B1517" t="s">
        <v>309</v>
      </c>
      <c r="C1517" t="s">
        <v>332</v>
      </c>
      <c r="E1517" s="8">
        <v>14</v>
      </c>
      <c r="F1517" s="1">
        <f>15000/DATAIN_COMPRAS__2[[#This Row],[CANT]]</f>
        <v>1071.4285714285713</v>
      </c>
      <c r="H1517">
        <v>1</v>
      </c>
      <c r="J1517" s="2">
        <f>+DATAIN_COMPRAS__2[[#This Row],[$/ UN NETO]]*DATAIN_COMPRAS__2[[#This Row],[IVA]]</f>
        <v>1071.4285714285713</v>
      </c>
      <c r="K1517" s="7">
        <f>(E1517*F1517)*(1-I1517)*(H1517)</f>
        <v>14999.999999999998</v>
      </c>
      <c r="L1517" t="s">
        <v>237</v>
      </c>
    </row>
    <row r="1518" spans="1:12" x14ac:dyDescent="0.35">
      <c r="A1518" s="13">
        <v>45933</v>
      </c>
      <c r="B1518" t="s">
        <v>309</v>
      </c>
      <c r="C1518" t="s">
        <v>19</v>
      </c>
      <c r="E1518" s="8">
        <v>11</v>
      </c>
      <c r="F1518" s="1">
        <f>75000/DATAIN_COMPRAS__2[[#This Row],[CANT]]</f>
        <v>6818.181818181818</v>
      </c>
      <c r="H1518">
        <v>1</v>
      </c>
      <c r="J1518" s="2">
        <f>+DATAIN_COMPRAS__2[[#This Row],[$/ UN NETO]]*DATAIN_COMPRAS__2[[#This Row],[IVA]]</f>
        <v>6818.181818181818</v>
      </c>
      <c r="K1518" s="7">
        <f>(E1518*F1518)*(1-I1518)*(H1518)</f>
        <v>75000</v>
      </c>
      <c r="L1518" t="s">
        <v>237</v>
      </c>
    </row>
    <row r="1519" spans="1:12" x14ac:dyDescent="0.35">
      <c r="A1519" s="13">
        <v>45934</v>
      </c>
      <c r="B1519" t="s">
        <v>809</v>
      </c>
      <c r="C1519" t="s">
        <v>192</v>
      </c>
      <c r="E1519" s="8">
        <v>1</v>
      </c>
      <c r="F1519" s="1">
        <v>13264</v>
      </c>
      <c r="H1519">
        <v>1.21</v>
      </c>
      <c r="J1519" s="2">
        <f>+DATAIN_COMPRAS__2[[#This Row],[$/ UN NETO]]*DATAIN_COMPRAS__2[[#This Row],[IVA]]</f>
        <v>16049.439999999999</v>
      </c>
      <c r="K1519" s="7">
        <f>(E1519*F1519)*(1-I1519)*(H1519)</f>
        <v>16049.439999999999</v>
      </c>
      <c r="L1519" t="s">
        <v>158</v>
      </c>
    </row>
    <row r="1520" spans="1:12" x14ac:dyDescent="0.35">
      <c r="A1520" s="13">
        <v>45934</v>
      </c>
      <c r="B1520" t="s">
        <v>796</v>
      </c>
      <c r="C1520" t="s">
        <v>825</v>
      </c>
      <c r="E1520" s="8"/>
      <c r="F1520" s="1"/>
      <c r="J1520" s="2"/>
      <c r="K1520" s="7">
        <v>56469</v>
      </c>
      <c r="L1520" t="s">
        <v>237</v>
      </c>
    </row>
    <row r="1521" spans="1:12" x14ac:dyDescent="0.35">
      <c r="A1521" s="13">
        <v>45934</v>
      </c>
      <c r="B1521" t="s">
        <v>796</v>
      </c>
      <c r="C1521" t="s">
        <v>825</v>
      </c>
      <c r="E1521" s="8"/>
      <c r="F1521" s="1"/>
      <c r="J1521" s="2"/>
      <c r="K1521" s="7">
        <f>478*5</f>
        <v>2390</v>
      </c>
      <c r="L1521" t="s">
        <v>237</v>
      </c>
    </row>
    <row r="1522" spans="1:12" x14ac:dyDescent="0.35">
      <c r="A1522" s="13">
        <v>45934</v>
      </c>
      <c r="B1522" t="s">
        <v>796</v>
      </c>
      <c r="C1522" t="s">
        <v>825</v>
      </c>
      <c r="E1522" s="8"/>
      <c r="F1522" s="1"/>
      <c r="J1522" s="2"/>
      <c r="K1522" s="7">
        <f>478*5</f>
        <v>2390</v>
      </c>
      <c r="L1522" t="s">
        <v>237</v>
      </c>
    </row>
    <row r="1523" spans="1:12" x14ac:dyDescent="0.35">
      <c r="A1523" s="13">
        <v>45934</v>
      </c>
      <c r="B1523" t="s">
        <v>359</v>
      </c>
      <c r="C1523" t="s">
        <v>357</v>
      </c>
      <c r="E1523" s="8">
        <v>5</v>
      </c>
      <c r="F1523" s="1">
        <f>12198.35/DATAIN_COMPRAS__2[[#This Row],[CANT]]</f>
        <v>2439.67</v>
      </c>
      <c r="H1523">
        <v>1.21</v>
      </c>
      <c r="J1523" s="2">
        <f>+DATAIN_COMPRAS__2[[#This Row],[$/ UN NETO]]*DATAIN_COMPRAS__2[[#This Row],[IVA]]</f>
        <v>2952.0007000000001</v>
      </c>
      <c r="K1523" s="7">
        <f t="shared" ref="K1523:K1532" si="37">(E1523*F1523)*(1-I1523)*(H1523)</f>
        <v>14760.003500000001</v>
      </c>
      <c r="L1523" t="s">
        <v>158</v>
      </c>
    </row>
    <row r="1524" spans="1:12" x14ac:dyDescent="0.35">
      <c r="A1524" s="13">
        <v>45934</v>
      </c>
      <c r="B1524" t="s">
        <v>359</v>
      </c>
      <c r="C1524" t="s">
        <v>144</v>
      </c>
      <c r="E1524" s="8">
        <v>3</v>
      </c>
      <c r="F1524" s="1">
        <f>5184.3/DATAIN_COMPRAS__2[[#This Row],[CANT]]</f>
        <v>1728.1000000000001</v>
      </c>
      <c r="H1524">
        <v>1.21</v>
      </c>
      <c r="J1524" s="2">
        <f>+DATAIN_COMPRAS__2[[#This Row],[$/ UN NETO]]*DATAIN_COMPRAS__2[[#This Row],[IVA]]</f>
        <v>2091.0010000000002</v>
      </c>
      <c r="K1524" s="7">
        <f t="shared" si="37"/>
        <v>6273.0029999999997</v>
      </c>
      <c r="L1524" t="s">
        <v>158</v>
      </c>
    </row>
    <row r="1525" spans="1:12" x14ac:dyDescent="0.35">
      <c r="A1525" s="13">
        <v>45934</v>
      </c>
      <c r="B1525" t="s">
        <v>174</v>
      </c>
      <c r="C1525" t="s">
        <v>175</v>
      </c>
      <c r="E1525" s="8">
        <v>1</v>
      </c>
      <c r="F1525" s="1">
        <v>9743.7999999999993</v>
      </c>
      <c r="H1525">
        <v>1.21</v>
      </c>
      <c r="J1525" s="2">
        <f>+DATAIN_COMPRAS__2[[#This Row],[$/ UN NETO]]*DATAIN_COMPRAS__2[[#This Row],[IVA]]</f>
        <v>11789.998</v>
      </c>
      <c r="K1525" s="7">
        <f t="shared" si="37"/>
        <v>11789.998</v>
      </c>
      <c r="L1525" t="s">
        <v>158</v>
      </c>
    </row>
    <row r="1526" spans="1:12" x14ac:dyDescent="0.35">
      <c r="A1526" s="13">
        <v>45934</v>
      </c>
      <c r="B1526" t="s">
        <v>110</v>
      </c>
      <c r="C1526" t="s">
        <v>163</v>
      </c>
      <c r="E1526" s="8">
        <v>5</v>
      </c>
      <c r="F1526" s="1">
        <f>9744/DATAIN_COMPRAS__2[[#This Row],[CANT]]</f>
        <v>1948.8</v>
      </c>
      <c r="H1526">
        <v>1.21</v>
      </c>
      <c r="J1526" s="2">
        <f>+DATAIN_COMPRAS__2[[#This Row],[$/ UN NETO]]*DATAIN_COMPRAS__2[[#This Row],[IVA]]</f>
        <v>2358.0479999999998</v>
      </c>
      <c r="K1526" s="7">
        <f t="shared" si="37"/>
        <v>11790.24</v>
      </c>
      <c r="L1526" t="s">
        <v>158</v>
      </c>
    </row>
    <row r="1527" spans="1:12" x14ac:dyDescent="0.35">
      <c r="A1527" s="13">
        <v>45934</v>
      </c>
      <c r="B1527" t="s">
        <v>132</v>
      </c>
      <c r="C1527" t="s">
        <v>838</v>
      </c>
      <c r="E1527" s="8">
        <v>0.04</v>
      </c>
      <c r="F1527" s="1">
        <f>6000/DATAIN_COMPRAS__2[[#This Row],[CANT]]</f>
        <v>150000</v>
      </c>
      <c r="H1527">
        <v>1</v>
      </c>
      <c r="J1527" s="2">
        <f>+DATAIN_COMPRAS__2[[#This Row],[$/ UN NETO]]*DATAIN_COMPRAS__2[[#This Row],[IVA]]</f>
        <v>150000</v>
      </c>
      <c r="K1527" s="7">
        <f t="shared" si="37"/>
        <v>6000</v>
      </c>
      <c r="L1527" t="s">
        <v>237</v>
      </c>
    </row>
    <row r="1528" spans="1:12" x14ac:dyDescent="0.35">
      <c r="A1528" s="13">
        <v>45934</v>
      </c>
      <c r="B1528" t="s">
        <v>132</v>
      </c>
      <c r="C1528" t="s">
        <v>133</v>
      </c>
      <c r="E1528" s="8">
        <v>7.0000000000000007E-2</v>
      </c>
      <c r="F1528" s="1">
        <f>4000/DATAIN_COMPRAS__2[[#This Row],[CANT]]</f>
        <v>57142.857142857138</v>
      </c>
      <c r="H1528">
        <v>1</v>
      </c>
      <c r="J1528" s="2">
        <f>+DATAIN_COMPRAS__2[[#This Row],[$/ UN NETO]]*DATAIN_COMPRAS__2[[#This Row],[IVA]]</f>
        <v>57142.857142857138</v>
      </c>
      <c r="K1528" s="7">
        <f t="shared" si="37"/>
        <v>4000</v>
      </c>
      <c r="L1528" t="s">
        <v>237</v>
      </c>
    </row>
    <row r="1529" spans="1:12" x14ac:dyDescent="0.35">
      <c r="A1529" s="13">
        <v>45934</v>
      </c>
      <c r="B1529" t="s">
        <v>134</v>
      </c>
      <c r="C1529" t="s">
        <v>812</v>
      </c>
      <c r="E1529" s="8">
        <v>1</v>
      </c>
      <c r="F1529" s="7">
        <v>30400</v>
      </c>
      <c r="H1529">
        <v>1</v>
      </c>
      <c r="J1529" s="2">
        <f>+DATAIN_COMPRAS__2[[#This Row],[$/ UN NETO]]*DATAIN_COMPRAS__2[[#This Row],[IVA]]</f>
        <v>30400</v>
      </c>
      <c r="K1529" s="7">
        <f t="shared" si="37"/>
        <v>30400</v>
      </c>
      <c r="L1529" t="s">
        <v>255</v>
      </c>
    </row>
    <row r="1530" spans="1:12" x14ac:dyDescent="0.35">
      <c r="A1530" s="13">
        <v>45934</v>
      </c>
      <c r="B1530" t="s">
        <v>134</v>
      </c>
      <c r="C1530" t="s">
        <v>811</v>
      </c>
      <c r="E1530" s="8">
        <v>1</v>
      </c>
      <c r="F1530" s="7">
        <v>25000</v>
      </c>
      <c r="H1530">
        <v>1</v>
      </c>
      <c r="J1530" s="2">
        <f>+DATAIN_COMPRAS__2[[#This Row],[$/ UN NETO]]*DATAIN_COMPRAS__2[[#This Row],[IVA]]</f>
        <v>25000</v>
      </c>
      <c r="K1530" s="7">
        <f t="shared" si="37"/>
        <v>25000</v>
      </c>
      <c r="L1530" t="s">
        <v>255</v>
      </c>
    </row>
    <row r="1531" spans="1:12" x14ac:dyDescent="0.35">
      <c r="A1531" s="13">
        <v>45934</v>
      </c>
      <c r="B1531" t="s">
        <v>12</v>
      </c>
      <c r="C1531" t="s">
        <v>26</v>
      </c>
      <c r="E1531" s="8">
        <v>3</v>
      </c>
      <c r="F1531" s="1">
        <v>3000</v>
      </c>
      <c r="H1531">
        <v>1</v>
      </c>
      <c r="J1531" s="2">
        <f>+DATAIN_COMPRAS__2[[#This Row],[$/ UN NETO]]*DATAIN_COMPRAS__2[[#This Row],[IVA]]</f>
        <v>3000</v>
      </c>
      <c r="K1531" s="7">
        <f t="shared" si="37"/>
        <v>9000</v>
      </c>
      <c r="L1531" t="s">
        <v>237</v>
      </c>
    </row>
    <row r="1532" spans="1:12" x14ac:dyDescent="0.35">
      <c r="A1532" s="13">
        <v>45934</v>
      </c>
      <c r="B1532" t="s">
        <v>12</v>
      </c>
      <c r="C1532" t="s">
        <v>25</v>
      </c>
      <c r="E1532" s="8">
        <v>0.6</v>
      </c>
      <c r="F1532" s="1">
        <v>7800</v>
      </c>
      <c r="H1532">
        <v>1</v>
      </c>
      <c r="J1532" s="2">
        <f>+DATAIN_COMPRAS__2[[#This Row],[$/ UN NETO]]*DATAIN_COMPRAS__2[[#This Row],[IVA]]</f>
        <v>7800</v>
      </c>
      <c r="K1532" s="7">
        <f t="shared" si="37"/>
        <v>4680</v>
      </c>
      <c r="L1532" t="s">
        <v>237</v>
      </c>
    </row>
    <row r="1533" spans="1:12" x14ac:dyDescent="0.35">
      <c r="A1533" s="13">
        <v>45934</v>
      </c>
      <c r="B1533" t="s">
        <v>801</v>
      </c>
      <c r="C1533" t="s">
        <v>810</v>
      </c>
      <c r="E1533" s="8"/>
      <c r="F1533" s="1"/>
      <c r="J1533" s="2"/>
      <c r="K1533" s="7">
        <v>51400</v>
      </c>
      <c r="L1533" t="s">
        <v>237</v>
      </c>
    </row>
    <row r="1534" spans="1:12" x14ac:dyDescent="0.35">
      <c r="A1534" s="13">
        <v>45935</v>
      </c>
      <c r="B1534" t="s">
        <v>242</v>
      </c>
      <c r="C1534" t="s">
        <v>851</v>
      </c>
      <c r="E1534" s="8">
        <v>1</v>
      </c>
      <c r="F1534" s="1">
        <v>18500</v>
      </c>
      <c r="H1534">
        <v>1</v>
      </c>
      <c r="J1534" s="2">
        <f>+DATAIN_COMPRAS__2[[#This Row],[$/ UN NETO]]*DATAIN_COMPRAS__2[[#This Row],[IVA]]</f>
        <v>18500</v>
      </c>
      <c r="K1534" s="7">
        <f>(E1534*F1534)*(1-I1534)*(H1534)</f>
        <v>18500</v>
      </c>
      <c r="L1534" t="s">
        <v>237</v>
      </c>
    </row>
    <row r="1535" spans="1:12" x14ac:dyDescent="0.35">
      <c r="A1535" s="13">
        <v>45935</v>
      </c>
      <c r="B1535" t="s">
        <v>242</v>
      </c>
      <c r="C1535" t="s">
        <v>850</v>
      </c>
      <c r="E1535" s="8">
        <v>1</v>
      </c>
      <c r="F1535" s="1">
        <v>18500</v>
      </c>
      <c r="H1535">
        <v>1</v>
      </c>
      <c r="J1535" s="2">
        <f>+DATAIN_COMPRAS__2[[#This Row],[$/ UN NETO]]*DATAIN_COMPRAS__2[[#This Row],[IVA]]</f>
        <v>18500</v>
      </c>
      <c r="K1535" s="7">
        <f>(E1535*F1535)*(1-I1535)*(H1535)</f>
        <v>18500</v>
      </c>
      <c r="L1535" t="s">
        <v>237</v>
      </c>
    </row>
    <row r="1536" spans="1:12" x14ac:dyDescent="0.35">
      <c r="A1536" s="13">
        <v>45935</v>
      </c>
      <c r="B1536" t="s">
        <v>796</v>
      </c>
      <c r="C1536" t="s">
        <v>825</v>
      </c>
      <c r="E1536" s="8"/>
      <c r="F1536" s="1"/>
      <c r="J1536" s="2"/>
      <c r="K1536" s="7">
        <v>40222</v>
      </c>
      <c r="L1536" t="s">
        <v>237</v>
      </c>
    </row>
    <row r="1537" spans="1:12" x14ac:dyDescent="0.35">
      <c r="A1537" s="13">
        <v>45935</v>
      </c>
      <c r="B1537" t="s">
        <v>796</v>
      </c>
      <c r="C1537" t="s">
        <v>825</v>
      </c>
      <c r="E1537" s="8"/>
      <c r="F1537" s="1"/>
      <c r="J1537" s="2"/>
      <c r="K1537" s="7">
        <v>4710</v>
      </c>
      <c r="L1537" t="s">
        <v>237</v>
      </c>
    </row>
    <row r="1538" spans="1:12" x14ac:dyDescent="0.35">
      <c r="A1538" s="13">
        <v>45935</v>
      </c>
      <c r="B1538" t="s">
        <v>48</v>
      </c>
      <c r="C1538" t="s">
        <v>813</v>
      </c>
      <c r="E1538" s="8">
        <v>10</v>
      </c>
      <c r="F1538" s="1">
        <f>2613/1.21</f>
        <v>2159.504132231405</v>
      </c>
      <c r="H1538">
        <v>1.21</v>
      </c>
      <c r="I1538">
        <v>0.06</v>
      </c>
      <c r="J1538" s="2">
        <f>+DATAIN_COMPRAS__2[[#This Row],[$/ UN NETO]]*DATAIN_COMPRAS__2[[#This Row],[IVA]]</f>
        <v>2613</v>
      </c>
      <c r="K1538" s="7">
        <f t="shared" ref="K1538:K1552" si="38">(E1538*F1538)*(1-I1538)*(H1538)</f>
        <v>24562.199999999997</v>
      </c>
      <c r="L1538" t="s">
        <v>255</v>
      </c>
    </row>
    <row r="1539" spans="1:12" x14ac:dyDescent="0.35">
      <c r="A1539" s="13">
        <v>45935</v>
      </c>
      <c r="B1539" t="s">
        <v>359</v>
      </c>
      <c r="C1539" t="s">
        <v>191</v>
      </c>
      <c r="E1539" s="8">
        <v>5</v>
      </c>
      <c r="F1539" s="1">
        <v>2656.8</v>
      </c>
      <c r="H1539">
        <v>1</v>
      </c>
      <c r="J1539" s="2">
        <f>+DATAIN_COMPRAS__2[[#This Row],[$/ UN NETO]]*DATAIN_COMPRAS__2[[#This Row],[IVA]]</f>
        <v>2656.8</v>
      </c>
      <c r="K1539" s="7">
        <f t="shared" si="38"/>
        <v>13284</v>
      </c>
      <c r="L1539" t="s">
        <v>255</v>
      </c>
    </row>
    <row r="1540" spans="1:12" x14ac:dyDescent="0.35">
      <c r="A1540" s="13">
        <v>45935</v>
      </c>
      <c r="B1540" t="s">
        <v>359</v>
      </c>
      <c r="C1540" t="s">
        <v>153</v>
      </c>
      <c r="E1540" s="8">
        <v>3</v>
      </c>
      <c r="F1540" s="7">
        <f>6125.4/3</f>
        <v>2041.8</v>
      </c>
      <c r="H1540">
        <v>1.21</v>
      </c>
      <c r="J1540" s="2">
        <f>+DATAIN_COMPRAS__2[[#This Row],[$/ UN NETO]]*DATAIN_COMPRAS__2[[#This Row],[IVA]]</f>
        <v>2470.578</v>
      </c>
      <c r="K1540" s="7">
        <f t="shared" si="38"/>
        <v>7411.7339999999995</v>
      </c>
      <c r="L1540" t="s">
        <v>255</v>
      </c>
    </row>
    <row r="1541" spans="1:12" x14ac:dyDescent="0.35">
      <c r="A1541" s="13">
        <v>45936</v>
      </c>
      <c r="B1541" t="s">
        <v>48</v>
      </c>
      <c r="C1541" t="s">
        <v>813</v>
      </c>
      <c r="E1541" s="8">
        <v>10</v>
      </c>
      <c r="F1541" s="1">
        <f>24695.865/10</f>
        <v>2469.5865000000003</v>
      </c>
      <c r="H1541">
        <v>1.21</v>
      </c>
      <c r="I1541">
        <v>0.06</v>
      </c>
      <c r="J1541" s="2">
        <f>+DATAIN_COMPRAS__2[[#This Row],[$/ UN NETO]]*DATAIN_COMPRAS__2[[#This Row],[IVA]]</f>
        <v>2988.1996650000006</v>
      </c>
      <c r="K1541" s="7">
        <f t="shared" si="38"/>
        <v>28089.076851000002</v>
      </c>
      <c r="L1541" t="s">
        <v>237</v>
      </c>
    </row>
    <row r="1542" spans="1:12" x14ac:dyDescent="0.35">
      <c r="A1542" s="13">
        <v>45936</v>
      </c>
      <c r="B1542" t="s">
        <v>48</v>
      </c>
      <c r="C1542" t="s">
        <v>116</v>
      </c>
      <c r="E1542" s="8">
        <v>10</v>
      </c>
      <c r="F1542" s="1">
        <v>677.76859999999999</v>
      </c>
      <c r="H1542">
        <v>1.21</v>
      </c>
      <c r="I1542">
        <v>0.06</v>
      </c>
      <c r="J1542" s="2">
        <f>+DATAIN_COMPRAS__2[[#This Row],[$/ UN NETO]]*DATAIN_COMPRAS__2[[#This Row],[IVA]]</f>
        <v>820.10000600000001</v>
      </c>
      <c r="K1542" s="10">
        <f t="shared" si="38"/>
        <v>7708.9400563999989</v>
      </c>
      <c r="L1542" t="s">
        <v>237</v>
      </c>
    </row>
    <row r="1543" spans="1:12" x14ac:dyDescent="0.35">
      <c r="A1543" s="13">
        <v>45936</v>
      </c>
      <c r="B1543" t="s">
        <v>48</v>
      </c>
      <c r="C1543" t="s">
        <v>79</v>
      </c>
      <c r="E1543" s="8">
        <v>0.25</v>
      </c>
      <c r="F1543" s="1">
        <f>4644.6433/DATAIN_COMPRAS__2[[#This Row],[CANT]]</f>
        <v>18578.573199999999</v>
      </c>
      <c r="H1543">
        <v>1.21</v>
      </c>
      <c r="I1543">
        <v>0.06</v>
      </c>
      <c r="J1543" s="2">
        <f>+DATAIN_COMPRAS__2[[#This Row],[$/ UN NETO]]*DATAIN_COMPRAS__2[[#This Row],[IVA]]</f>
        <v>22480.073571999998</v>
      </c>
      <c r="K1543" s="10">
        <f t="shared" si="38"/>
        <v>5282.8172894199988</v>
      </c>
      <c r="L1543" t="s">
        <v>237</v>
      </c>
    </row>
    <row r="1544" spans="1:12" x14ac:dyDescent="0.35">
      <c r="A1544" s="13">
        <v>45936</v>
      </c>
      <c r="B1544" t="s">
        <v>48</v>
      </c>
      <c r="C1544" t="s">
        <v>358</v>
      </c>
      <c r="E1544" s="8">
        <f>0.82*3</f>
        <v>2.46</v>
      </c>
      <c r="F1544" s="1">
        <f>1459.5*3/DATAIN_COMPRAS__2[[#This Row],[CANT]]</f>
        <v>1779.8780487804879</v>
      </c>
      <c r="H1544">
        <v>1.21</v>
      </c>
      <c r="I1544">
        <v>0.06</v>
      </c>
      <c r="J1544" s="2">
        <f>+DATAIN_COMPRAS__2[[#This Row],[$/ UN NETO]]*DATAIN_COMPRAS__2[[#This Row],[IVA]]</f>
        <v>2153.6524390243903</v>
      </c>
      <c r="K1544" s="7">
        <f t="shared" si="38"/>
        <v>4980.1058999999996</v>
      </c>
      <c r="L1544" t="s">
        <v>237</v>
      </c>
    </row>
    <row r="1545" spans="1:12" x14ac:dyDescent="0.35">
      <c r="A1545" s="13">
        <v>45936</v>
      </c>
      <c r="B1545" t="s">
        <v>48</v>
      </c>
      <c r="C1545" t="s">
        <v>51</v>
      </c>
      <c r="E1545" s="8">
        <v>3.5</v>
      </c>
      <c r="F1545" s="1">
        <v>9360.7752999999993</v>
      </c>
      <c r="H1545">
        <v>1.21</v>
      </c>
      <c r="I1545">
        <v>0.06</v>
      </c>
      <c r="J1545" s="2">
        <f>+DATAIN_COMPRAS__2[[#This Row],[$/ UN NETO]]*DATAIN_COMPRAS__2[[#This Row],[IVA]]</f>
        <v>11326.538112999999</v>
      </c>
      <c r="K1545" s="10">
        <f t="shared" si="38"/>
        <v>37264.310391769992</v>
      </c>
      <c r="L1545" t="s">
        <v>237</v>
      </c>
    </row>
    <row r="1546" spans="1:12" x14ac:dyDescent="0.35">
      <c r="A1546" s="13">
        <v>45936</v>
      </c>
      <c r="B1546" t="s">
        <v>48</v>
      </c>
      <c r="C1546" t="s">
        <v>50</v>
      </c>
      <c r="E1546" s="8">
        <v>1</v>
      </c>
      <c r="F1546" s="1">
        <v>25337.093799999999</v>
      </c>
      <c r="H1546">
        <v>1.21</v>
      </c>
      <c r="I1546">
        <v>0.06</v>
      </c>
      <c r="J1546" s="2">
        <f>+DATAIN_COMPRAS__2[[#This Row],[$/ UN NETO]]*DATAIN_COMPRAS__2[[#This Row],[IVA]]</f>
        <v>30657.883497999999</v>
      </c>
      <c r="K1546" s="10">
        <f t="shared" si="38"/>
        <v>28818.410488119996</v>
      </c>
      <c r="L1546" t="s">
        <v>237</v>
      </c>
    </row>
    <row r="1547" spans="1:12" x14ac:dyDescent="0.35">
      <c r="A1547" s="13">
        <v>45936</v>
      </c>
      <c r="B1547" t="s">
        <v>48</v>
      </c>
      <c r="C1547" t="s">
        <v>53</v>
      </c>
      <c r="E1547" s="8">
        <v>2</v>
      </c>
      <c r="F1547" s="1">
        <v>1142.46</v>
      </c>
      <c r="H1547">
        <v>1.21</v>
      </c>
      <c r="J1547" s="2">
        <f>+DATAIN_COMPRAS__2[[#This Row],[$/ UN NETO]]*DATAIN_COMPRAS__2[[#This Row],[IVA]]</f>
        <v>1382.3766000000001</v>
      </c>
      <c r="K1547" s="7">
        <f t="shared" si="38"/>
        <v>2764.7532000000001</v>
      </c>
      <c r="L1547" t="s">
        <v>237</v>
      </c>
    </row>
    <row r="1548" spans="1:12" x14ac:dyDescent="0.35">
      <c r="A1548" s="13">
        <v>45936</v>
      </c>
      <c r="B1548" t="s">
        <v>48</v>
      </c>
      <c r="C1548" t="s">
        <v>52</v>
      </c>
      <c r="E1548" s="8">
        <v>3.96</v>
      </c>
      <c r="F1548" s="1">
        <v>6650.2920000000004</v>
      </c>
      <c r="H1548">
        <v>1.21</v>
      </c>
      <c r="J1548" s="2">
        <f>+DATAIN_COMPRAS__2[[#This Row],[$/ UN NETO]]*DATAIN_COMPRAS__2[[#This Row],[IVA]]</f>
        <v>8046.8533200000002</v>
      </c>
      <c r="K1548" s="10">
        <f t="shared" si="38"/>
        <v>31865.539147200001</v>
      </c>
      <c r="L1548" t="s">
        <v>237</v>
      </c>
    </row>
    <row r="1549" spans="1:12" x14ac:dyDescent="0.35">
      <c r="A1549" s="13">
        <v>45936</v>
      </c>
      <c r="B1549" t="s">
        <v>48</v>
      </c>
      <c r="C1549" t="s">
        <v>833</v>
      </c>
      <c r="E1549" s="8">
        <v>4</v>
      </c>
      <c r="F1549" s="1">
        <f>21765.5791/4</f>
        <v>5441.3947749999998</v>
      </c>
      <c r="H1549">
        <v>1.21</v>
      </c>
      <c r="I1549">
        <v>0.06</v>
      </c>
      <c r="J1549" s="2">
        <f>+DATAIN_COMPRAS__2[[#This Row],[$/ UN NETO]]*DATAIN_COMPRAS__2[[#This Row],[IVA]]</f>
        <v>6584.0876777499998</v>
      </c>
      <c r="K1549" s="10">
        <f t="shared" si="38"/>
        <v>24756.169668339993</v>
      </c>
      <c r="L1549" t="s">
        <v>237</v>
      </c>
    </row>
    <row r="1550" spans="1:12" x14ac:dyDescent="0.35">
      <c r="A1550" s="13">
        <v>45936</v>
      </c>
      <c r="B1550" t="s">
        <v>48</v>
      </c>
      <c r="C1550" t="s">
        <v>59</v>
      </c>
      <c r="E1550" s="8">
        <v>0.5</v>
      </c>
      <c r="F1550" s="1">
        <f>2333.949/DATAIN_COMPRAS__2[[#This Row],[CANT]]</f>
        <v>4667.8980000000001</v>
      </c>
      <c r="H1550">
        <v>1.21</v>
      </c>
      <c r="I1550">
        <v>0.06</v>
      </c>
      <c r="J1550" s="2">
        <f>+DATAIN_COMPRAS__2[[#This Row],[$/ UN NETO]]*DATAIN_COMPRAS__2[[#This Row],[IVA]]</f>
        <v>5648.1565799999998</v>
      </c>
      <c r="K1550" s="7">
        <f t="shared" si="38"/>
        <v>2654.6335926000002</v>
      </c>
      <c r="L1550" t="s">
        <v>237</v>
      </c>
    </row>
    <row r="1551" spans="1:12" x14ac:dyDescent="0.35">
      <c r="A1551" s="13">
        <v>45936</v>
      </c>
      <c r="B1551" t="s">
        <v>48</v>
      </c>
      <c r="C1551" t="s">
        <v>54</v>
      </c>
      <c r="E1551" s="8">
        <v>0.8</v>
      </c>
      <c r="F1551" s="1">
        <f>833.1421*2/DATAIN_COMPRAS__2[[#This Row],[CANT]]</f>
        <v>2082.8552500000001</v>
      </c>
      <c r="H1551">
        <v>1.21</v>
      </c>
      <c r="I1551">
        <v>0.06</v>
      </c>
      <c r="J1551" s="2">
        <f>+DATAIN_COMPRAS__2[[#This Row],[$/ UN NETO]]*DATAIN_COMPRAS__2[[#This Row],[IVA]]</f>
        <v>2520.2548525000002</v>
      </c>
      <c r="K1551" s="7">
        <f t="shared" si="38"/>
        <v>1895.2316490799999</v>
      </c>
      <c r="L1551" t="s">
        <v>237</v>
      </c>
    </row>
    <row r="1552" spans="1:12" x14ac:dyDescent="0.35">
      <c r="A1552" s="13">
        <v>45936</v>
      </c>
      <c r="B1552" t="s">
        <v>71</v>
      </c>
      <c r="C1552" t="s">
        <v>224</v>
      </c>
      <c r="E1552" s="8">
        <v>400</v>
      </c>
      <c r="F1552" s="1">
        <f>5050/DATAIN_COMPRAS__2[[#This Row],[CANT]]</f>
        <v>12.625</v>
      </c>
      <c r="H1552">
        <v>1</v>
      </c>
      <c r="J1552" s="2">
        <f>+DATAIN_COMPRAS__2[[#This Row],[$/ UN NETO]]*DATAIN_COMPRAS__2[[#This Row],[IVA]]</f>
        <v>12.625</v>
      </c>
      <c r="K1552" s="7">
        <f t="shared" si="38"/>
        <v>5050</v>
      </c>
      <c r="L1552" t="s">
        <v>237</v>
      </c>
    </row>
    <row r="1553" spans="1:12" x14ac:dyDescent="0.35">
      <c r="A1553" s="13">
        <v>45937</v>
      </c>
      <c r="B1553" t="s">
        <v>796</v>
      </c>
      <c r="C1553" t="s">
        <v>825</v>
      </c>
      <c r="E1553" s="8"/>
      <c r="F1553" s="1"/>
      <c r="J1553" s="2"/>
      <c r="K1553" s="7">
        <v>6280</v>
      </c>
      <c r="L1553" t="s">
        <v>237</v>
      </c>
    </row>
    <row r="1554" spans="1:12" x14ac:dyDescent="0.35">
      <c r="A1554" s="13">
        <v>45937</v>
      </c>
      <c r="B1554" t="s">
        <v>12</v>
      </c>
      <c r="C1554" t="s">
        <v>26</v>
      </c>
      <c r="E1554" s="8">
        <v>3</v>
      </c>
      <c r="F1554" s="1">
        <v>2000</v>
      </c>
      <c r="H1554">
        <v>1</v>
      </c>
      <c r="J1554" s="2">
        <f>+DATAIN_COMPRAS__2[[#This Row],[$/ UN NETO]]*DATAIN_COMPRAS__2[[#This Row],[IVA]]</f>
        <v>2000</v>
      </c>
      <c r="K1554" s="7">
        <f t="shared" ref="K1554:K1561" si="39">(E1554*F1554)*(1-I1554)*(H1554)</f>
        <v>6000</v>
      </c>
      <c r="L1554" t="s">
        <v>237</v>
      </c>
    </row>
    <row r="1555" spans="1:12" x14ac:dyDescent="0.35">
      <c r="A1555" s="13">
        <v>45937</v>
      </c>
      <c r="B1555" t="s">
        <v>12</v>
      </c>
      <c r="C1555" t="s">
        <v>41</v>
      </c>
      <c r="E1555" s="8">
        <v>0.5</v>
      </c>
      <c r="F1555" s="1">
        <f>1400/0.5</f>
        <v>2800</v>
      </c>
      <c r="H1555">
        <v>1</v>
      </c>
      <c r="J1555" s="2">
        <f>+DATAIN_COMPRAS__2[[#This Row],[$/ UN NETO]]*DATAIN_COMPRAS__2[[#This Row],[IVA]]</f>
        <v>2800</v>
      </c>
      <c r="K1555" s="7">
        <f t="shared" si="39"/>
        <v>1400</v>
      </c>
      <c r="L1555" t="s">
        <v>237</v>
      </c>
    </row>
    <row r="1556" spans="1:12" x14ac:dyDescent="0.35">
      <c r="A1556" s="13">
        <v>45937</v>
      </c>
      <c r="B1556" t="s">
        <v>12</v>
      </c>
      <c r="C1556" t="s">
        <v>109</v>
      </c>
      <c r="E1556" s="8">
        <v>0.5</v>
      </c>
      <c r="F1556" s="1">
        <v>7300</v>
      </c>
      <c r="H1556">
        <v>1</v>
      </c>
      <c r="J1556" s="2">
        <f>+DATAIN_COMPRAS__2[[#This Row],[$/ UN NETO]]*DATAIN_COMPRAS__2[[#This Row],[IVA]]</f>
        <v>7300</v>
      </c>
      <c r="K1556" s="7">
        <f t="shared" si="39"/>
        <v>3650</v>
      </c>
      <c r="L1556" t="s">
        <v>237</v>
      </c>
    </row>
    <row r="1557" spans="1:12" x14ac:dyDescent="0.35">
      <c r="A1557" s="13">
        <v>45937</v>
      </c>
      <c r="B1557" t="s">
        <v>12</v>
      </c>
      <c r="C1557" t="s">
        <v>25</v>
      </c>
      <c r="E1557" s="8">
        <v>0.5</v>
      </c>
      <c r="F1557" s="1">
        <v>7800</v>
      </c>
      <c r="H1557">
        <v>1</v>
      </c>
      <c r="J1557" s="2">
        <f>+DATAIN_COMPRAS__2[[#This Row],[$/ UN NETO]]*DATAIN_COMPRAS__2[[#This Row],[IVA]]</f>
        <v>7800</v>
      </c>
      <c r="K1557" s="7">
        <f t="shared" si="39"/>
        <v>3900</v>
      </c>
      <c r="L1557" t="s">
        <v>237</v>
      </c>
    </row>
    <row r="1558" spans="1:12" x14ac:dyDescent="0.35">
      <c r="A1558" s="13">
        <v>45937</v>
      </c>
      <c r="B1558" t="s">
        <v>12</v>
      </c>
      <c r="C1558" t="s">
        <v>39</v>
      </c>
      <c r="E1558" s="8">
        <v>0.59</v>
      </c>
      <c r="F1558" s="1">
        <v>2000</v>
      </c>
      <c r="H1558">
        <v>1</v>
      </c>
      <c r="J1558" s="2">
        <f>+DATAIN_COMPRAS__2[[#This Row],[$/ UN NETO]]*DATAIN_COMPRAS__2[[#This Row],[IVA]]</f>
        <v>2000</v>
      </c>
      <c r="K1558" s="7">
        <f t="shared" si="39"/>
        <v>1180</v>
      </c>
      <c r="L1558" t="s">
        <v>237</v>
      </c>
    </row>
    <row r="1559" spans="1:12" x14ac:dyDescent="0.35">
      <c r="A1559" s="13">
        <v>45937</v>
      </c>
      <c r="B1559" t="s">
        <v>12</v>
      </c>
      <c r="C1559" t="s">
        <v>28</v>
      </c>
      <c r="E1559" s="8">
        <v>0.27500000000000002</v>
      </c>
      <c r="F1559" s="1">
        <f>3000/DATAIN_COMPRAS__2[[#This Row],[CANT]]</f>
        <v>10909.090909090908</v>
      </c>
      <c r="H1559">
        <v>1</v>
      </c>
      <c r="J1559" s="2">
        <f>+DATAIN_COMPRAS__2[[#This Row],[$/ UN NETO]]*DATAIN_COMPRAS__2[[#This Row],[IVA]]</f>
        <v>10909.090909090908</v>
      </c>
      <c r="K1559" s="7">
        <f t="shared" si="39"/>
        <v>3000</v>
      </c>
      <c r="L1559" t="s">
        <v>237</v>
      </c>
    </row>
    <row r="1560" spans="1:12" x14ac:dyDescent="0.35">
      <c r="A1560" s="13">
        <v>45937</v>
      </c>
      <c r="B1560" t="s">
        <v>12</v>
      </c>
      <c r="C1560" t="s">
        <v>20</v>
      </c>
      <c r="E1560" s="8">
        <v>1</v>
      </c>
      <c r="F1560" s="1">
        <v>2100</v>
      </c>
      <c r="H1560">
        <v>1</v>
      </c>
      <c r="J1560" s="2">
        <f>+DATAIN_COMPRAS__2[[#This Row],[$/ UN NETO]]*DATAIN_COMPRAS__2[[#This Row],[IVA]]</f>
        <v>2100</v>
      </c>
      <c r="K1560" s="7">
        <f t="shared" si="39"/>
        <v>2100</v>
      </c>
      <c r="L1560" t="s">
        <v>237</v>
      </c>
    </row>
    <row r="1561" spans="1:12" x14ac:dyDescent="0.35">
      <c r="A1561" s="13">
        <v>45937</v>
      </c>
      <c r="B1561" t="s">
        <v>12</v>
      </c>
      <c r="C1561" t="s">
        <v>30</v>
      </c>
      <c r="E1561" s="8">
        <v>3</v>
      </c>
      <c r="F1561" s="1">
        <v>950</v>
      </c>
      <c r="H1561">
        <v>1</v>
      </c>
      <c r="J1561" s="2">
        <f>+DATAIN_COMPRAS__2[[#This Row],[$/ UN NETO]]*DATAIN_COMPRAS__2[[#This Row],[IVA]]</f>
        <v>950</v>
      </c>
      <c r="K1561" s="7">
        <f t="shared" si="39"/>
        <v>2850</v>
      </c>
      <c r="L1561" t="s">
        <v>237</v>
      </c>
    </row>
    <row r="1562" spans="1:12" x14ac:dyDescent="0.35">
      <c r="A1562" s="13">
        <v>45938</v>
      </c>
      <c r="B1562" t="s">
        <v>796</v>
      </c>
      <c r="C1562" t="s">
        <v>825</v>
      </c>
      <c r="E1562" s="8"/>
      <c r="F1562" s="1"/>
      <c r="J1562" s="2"/>
      <c r="K1562" s="7">
        <v>44094.66</v>
      </c>
      <c r="L1562" t="s">
        <v>237</v>
      </c>
    </row>
    <row r="1563" spans="1:12" x14ac:dyDescent="0.35">
      <c r="A1563" s="13">
        <v>45939</v>
      </c>
      <c r="B1563" t="s">
        <v>815</v>
      </c>
      <c r="C1563" t="s">
        <v>816</v>
      </c>
      <c r="E1563" s="8">
        <v>24</v>
      </c>
      <c r="F1563" s="1">
        <f>1250/DATAIN_COMPRAS__2[[#This Row],[IVA]]</f>
        <v>1033.0578512396694</v>
      </c>
      <c r="H1563">
        <v>1.21</v>
      </c>
      <c r="J1563" s="2">
        <f>+DATAIN_COMPRAS__2[[#This Row],[$/ UN NETO]]*DATAIN_COMPRAS__2[[#This Row],[IVA]]</f>
        <v>1250</v>
      </c>
      <c r="K1563" s="7">
        <f>(E1563*F1563)*(1-I1563)*(H1563)</f>
        <v>29999.999999999996</v>
      </c>
      <c r="L1563" t="s">
        <v>237</v>
      </c>
    </row>
    <row r="1564" spans="1:12" x14ac:dyDescent="0.35">
      <c r="A1564" s="13">
        <v>45939</v>
      </c>
      <c r="B1564" t="s">
        <v>796</v>
      </c>
      <c r="C1564" t="s">
        <v>825</v>
      </c>
      <c r="E1564" s="8"/>
      <c r="F1564" s="1"/>
      <c r="J1564" s="2"/>
      <c r="K1564" s="7">
        <v>79747.520000000004</v>
      </c>
      <c r="L1564" t="s">
        <v>237</v>
      </c>
    </row>
    <row r="1565" spans="1:12" x14ac:dyDescent="0.35">
      <c r="A1565" s="13">
        <v>45939</v>
      </c>
      <c r="B1565" t="s">
        <v>48</v>
      </c>
      <c r="C1565" t="s">
        <v>813</v>
      </c>
      <c r="E1565" s="8">
        <v>10</v>
      </c>
      <c r="F1565" s="1">
        <f>24695.865/10</f>
        <v>2469.5865000000003</v>
      </c>
      <c r="H1565">
        <v>1.21</v>
      </c>
      <c r="I1565">
        <v>0.06</v>
      </c>
      <c r="J1565" s="2">
        <f>+DATAIN_COMPRAS__2[[#This Row],[$/ UN NETO]]*DATAIN_COMPRAS__2[[#This Row],[IVA]]</f>
        <v>2988.1996650000006</v>
      </c>
      <c r="K1565" s="7">
        <f t="shared" ref="K1565:K1588" si="40">(E1565*F1565)*(1-I1565)*(H1565)</f>
        <v>28089.076851000002</v>
      </c>
      <c r="L1565" t="s">
        <v>158</v>
      </c>
    </row>
    <row r="1566" spans="1:12" x14ac:dyDescent="0.35">
      <c r="A1566" s="13">
        <v>45939</v>
      </c>
      <c r="B1566" t="s">
        <v>48</v>
      </c>
      <c r="C1566" t="s">
        <v>321</v>
      </c>
      <c r="E1566" s="8">
        <v>1</v>
      </c>
      <c r="F1566" s="1">
        <v>3138.8701000000001</v>
      </c>
      <c r="H1566">
        <v>1.21</v>
      </c>
      <c r="I1566">
        <v>0.06</v>
      </c>
      <c r="J1566" s="2">
        <f>+DATAIN_COMPRAS__2[[#This Row],[$/ UN NETO]]*DATAIN_COMPRAS__2[[#This Row],[IVA]]</f>
        <v>3798.0328209999998</v>
      </c>
      <c r="K1566" s="7">
        <f t="shared" si="40"/>
        <v>3570.1508517399998</v>
      </c>
      <c r="L1566" t="s">
        <v>158</v>
      </c>
    </row>
    <row r="1567" spans="1:12" x14ac:dyDescent="0.35">
      <c r="A1567" s="13">
        <v>45939</v>
      </c>
      <c r="B1567" t="s">
        <v>48</v>
      </c>
      <c r="C1567" t="s">
        <v>833</v>
      </c>
      <c r="E1567" s="8">
        <v>4</v>
      </c>
      <c r="F1567" s="1">
        <f>21765.5791/4</f>
        <v>5441.3947749999998</v>
      </c>
      <c r="H1567">
        <v>1.21</v>
      </c>
      <c r="I1567">
        <v>0.06</v>
      </c>
      <c r="J1567" s="2">
        <f>+DATAIN_COMPRAS__2[[#This Row],[$/ UN NETO]]*DATAIN_COMPRAS__2[[#This Row],[IVA]]</f>
        <v>6584.0876777499998</v>
      </c>
      <c r="K1567" s="7">
        <f t="shared" si="40"/>
        <v>24756.169668339993</v>
      </c>
      <c r="L1567" t="s">
        <v>158</v>
      </c>
    </row>
    <row r="1568" spans="1:12" x14ac:dyDescent="0.35">
      <c r="A1568" s="13">
        <v>45939</v>
      </c>
      <c r="B1568" t="s">
        <v>359</v>
      </c>
      <c r="C1568" t="s">
        <v>191</v>
      </c>
      <c r="E1568" s="8">
        <v>1</v>
      </c>
      <c r="F1568" s="1">
        <v>2748.6</v>
      </c>
      <c r="H1568">
        <v>1.21</v>
      </c>
      <c r="J1568" s="2">
        <f>+DATAIN_COMPRAS__2[[#This Row],[$/ UN NETO]]*DATAIN_COMPRAS__2[[#This Row],[IVA]]</f>
        <v>3325.8059999999996</v>
      </c>
      <c r="K1568" s="7">
        <f t="shared" si="40"/>
        <v>3325.8059999999996</v>
      </c>
      <c r="L1568" t="s">
        <v>158</v>
      </c>
    </row>
    <row r="1569" spans="1:12" x14ac:dyDescent="0.35">
      <c r="A1569" s="13">
        <v>45939</v>
      </c>
      <c r="B1569" t="s">
        <v>359</v>
      </c>
      <c r="C1569" s="14" t="s">
        <v>70</v>
      </c>
      <c r="E1569" s="8">
        <v>1</v>
      </c>
      <c r="F1569" s="1">
        <v>3991.74</v>
      </c>
      <c r="H1569">
        <v>1.21</v>
      </c>
      <c r="J1569" s="2">
        <f>+DATAIN_COMPRAS__2[[#This Row],[$/ UN NETO]]*DATAIN_COMPRAS__2[[#This Row],[IVA]]</f>
        <v>4830.0054</v>
      </c>
      <c r="K1569" s="7">
        <f t="shared" si="40"/>
        <v>4830.0054</v>
      </c>
      <c r="L1569" t="s">
        <v>237</v>
      </c>
    </row>
    <row r="1570" spans="1:12" x14ac:dyDescent="0.35">
      <c r="A1570" s="13">
        <v>45939</v>
      </c>
      <c r="B1570" t="s">
        <v>174</v>
      </c>
      <c r="C1570" t="s">
        <v>176</v>
      </c>
      <c r="E1570" s="8">
        <v>1</v>
      </c>
      <c r="F1570" s="1">
        <v>9743.7999999999993</v>
      </c>
      <c r="H1570">
        <v>1.21</v>
      </c>
      <c r="J1570" s="2">
        <f>+DATAIN_COMPRAS__2[[#This Row],[$/ UN NETO]]*DATAIN_COMPRAS__2[[#This Row],[IVA]]</f>
        <v>11789.998</v>
      </c>
      <c r="K1570" s="7">
        <f t="shared" si="40"/>
        <v>11789.998</v>
      </c>
      <c r="L1570" t="s">
        <v>158</v>
      </c>
    </row>
    <row r="1571" spans="1:12" x14ac:dyDescent="0.35">
      <c r="A1571" s="13">
        <v>45939</v>
      </c>
      <c r="B1571" t="s">
        <v>174</v>
      </c>
      <c r="C1571" t="s">
        <v>175</v>
      </c>
      <c r="E1571" s="8">
        <v>1</v>
      </c>
      <c r="F1571" s="1">
        <v>9743.7999999999993</v>
      </c>
      <c r="H1571">
        <v>1.21</v>
      </c>
      <c r="J1571" s="2">
        <f>+DATAIN_COMPRAS__2[[#This Row],[$/ UN NETO]]*DATAIN_COMPRAS__2[[#This Row],[IVA]]</f>
        <v>11789.998</v>
      </c>
      <c r="K1571" s="7">
        <f t="shared" si="40"/>
        <v>11789.998</v>
      </c>
      <c r="L1571" t="s">
        <v>158</v>
      </c>
    </row>
    <row r="1572" spans="1:12" x14ac:dyDescent="0.35">
      <c r="A1572" s="13">
        <v>45939</v>
      </c>
      <c r="B1572" t="s">
        <v>80</v>
      </c>
      <c r="C1572" t="s">
        <v>89</v>
      </c>
      <c r="E1572" s="8">
        <v>2</v>
      </c>
      <c r="F1572" s="1">
        <v>743.8</v>
      </c>
      <c r="H1572">
        <v>1.21</v>
      </c>
      <c r="J1572" s="2">
        <f>+DATAIN_COMPRAS__2[[#This Row],[$/ UN NETO]]*DATAIN_COMPRAS__2[[#This Row],[IVA]]</f>
        <v>899.99799999999993</v>
      </c>
      <c r="K1572" s="7">
        <f t="shared" si="40"/>
        <v>1799.9959999999999</v>
      </c>
      <c r="L1572" t="s">
        <v>237</v>
      </c>
    </row>
    <row r="1573" spans="1:12" x14ac:dyDescent="0.35">
      <c r="A1573" s="13">
        <v>45939</v>
      </c>
      <c r="B1573" t="s">
        <v>80</v>
      </c>
      <c r="C1573" t="s">
        <v>282</v>
      </c>
      <c r="E1573" s="8">
        <v>50</v>
      </c>
      <c r="F1573" s="1">
        <v>30.71</v>
      </c>
      <c r="H1573">
        <v>1.21</v>
      </c>
      <c r="J1573" s="2">
        <f>+DATAIN_COMPRAS__2[[#This Row],[$/ UN NETO]]*DATAIN_COMPRAS__2[[#This Row],[IVA]]</f>
        <v>37.159100000000002</v>
      </c>
      <c r="K1573" s="7">
        <f t="shared" si="40"/>
        <v>1857.9549999999999</v>
      </c>
      <c r="L1573" t="s">
        <v>237</v>
      </c>
    </row>
    <row r="1574" spans="1:12" x14ac:dyDescent="0.35">
      <c r="A1574" s="13">
        <v>45939</v>
      </c>
      <c r="B1574" t="s">
        <v>80</v>
      </c>
      <c r="C1574" t="s">
        <v>790</v>
      </c>
      <c r="E1574" s="8">
        <v>2</v>
      </c>
      <c r="F1574" s="1">
        <v>991.74</v>
      </c>
      <c r="H1574">
        <v>1.21</v>
      </c>
      <c r="J1574" s="2">
        <f>+DATAIN_COMPRAS__2[[#This Row],[$/ UN NETO]]*DATAIN_COMPRAS__2[[#This Row],[IVA]]</f>
        <v>1200.0054</v>
      </c>
      <c r="K1574" s="7">
        <f t="shared" si="40"/>
        <v>2400.0108</v>
      </c>
      <c r="L1574" t="s">
        <v>158</v>
      </c>
    </row>
    <row r="1575" spans="1:12" x14ac:dyDescent="0.35">
      <c r="A1575" s="13">
        <v>45939</v>
      </c>
      <c r="B1575" t="s">
        <v>80</v>
      </c>
      <c r="C1575" t="s">
        <v>336</v>
      </c>
      <c r="E1575" s="8">
        <v>100</v>
      </c>
      <c r="F1575" s="1">
        <f>1074.38/100</f>
        <v>10.7438</v>
      </c>
      <c r="H1575">
        <v>1.21</v>
      </c>
      <c r="J1575" s="2">
        <f>+DATAIN_COMPRAS__2[[#This Row],[$/ UN NETO]]*DATAIN_COMPRAS__2[[#This Row],[IVA]]</f>
        <v>12.999998</v>
      </c>
      <c r="K1575" s="7">
        <f t="shared" si="40"/>
        <v>1299.9998000000001</v>
      </c>
      <c r="L1575" t="s">
        <v>237</v>
      </c>
    </row>
    <row r="1576" spans="1:12" x14ac:dyDescent="0.35">
      <c r="A1576" s="13">
        <v>45939</v>
      </c>
      <c r="B1576" t="s">
        <v>80</v>
      </c>
      <c r="C1576" t="s">
        <v>207</v>
      </c>
      <c r="E1576" s="8">
        <v>30</v>
      </c>
      <c r="F1576" s="1">
        <v>107.44</v>
      </c>
      <c r="H1576">
        <v>1.21</v>
      </c>
      <c r="J1576" s="2">
        <f>+DATAIN_COMPRAS__2[[#This Row],[$/ UN NETO]]*DATAIN_COMPRAS__2[[#This Row],[IVA]]</f>
        <v>130.00239999999999</v>
      </c>
      <c r="K1576" s="7">
        <f t="shared" si="40"/>
        <v>3900.0719999999997</v>
      </c>
      <c r="L1576" t="s">
        <v>237</v>
      </c>
    </row>
    <row r="1577" spans="1:12" x14ac:dyDescent="0.35">
      <c r="A1577" s="13">
        <v>45939</v>
      </c>
      <c r="B1577" t="s">
        <v>80</v>
      </c>
      <c r="C1577" t="s">
        <v>94</v>
      </c>
      <c r="E1577" s="8">
        <v>5</v>
      </c>
      <c r="F1577" s="1">
        <v>1074.3800000000001</v>
      </c>
      <c r="H1577">
        <v>1.21</v>
      </c>
      <c r="J1577" s="2">
        <f>+DATAIN_COMPRAS__2[[#This Row],[$/ UN NETO]]*DATAIN_COMPRAS__2[[#This Row],[IVA]]</f>
        <v>1299.9998000000001</v>
      </c>
      <c r="K1577" s="7">
        <f t="shared" si="40"/>
        <v>6499.9990000000007</v>
      </c>
      <c r="L1577" t="s">
        <v>237</v>
      </c>
    </row>
    <row r="1578" spans="1:12" x14ac:dyDescent="0.35">
      <c r="A1578" s="13">
        <v>45939</v>
      </c>
      <c r="B1578" t="s">
        <v>80</v>
      </c>
      <c r="C1578" t="s">
        <v>787</v>
      </c>
      <c r="E1578" s="8">
        <v>50</v>
      </c>
      <c r="F1578" s="1">
        <v>371.9</v>
      </c>
      <c r="H1578">
        <v>1.21</v>
      </c>
      <c r="J1578" s="2">
        <f>+DATAIN_COMPRAS__2[[#This Row],[$/ UN NETO]]*DATAIN_COMPRAS__2[[#This Row],[IVA]]</f>
        <v>449.99899999999997</v>
      </c>
      <c r="K1578" s="7">
        <f t="shared" si="40"/>
        <v>22499.95</v>
      </c>
      <c r="L1578" t="s">
        <v>237</v>
      </c>
    </row>
    <row r="1579" spans="1:12" x14ac:dyDescent="0.35">
      <c r="A1579" s="13">
        <v>45939</v>
      </c>
      <c r="B1579" t="s">
        <v>256</v>
      </c>
      <c r="C1579" t="s">
        <v>792</v>
      </c>
      <c r="E1579" s="8">
        <v>5</v>
      </c>
      <c r="F1579" s="1">
        <f>36253.2/5</f>
        <v>7250.6399999999994</v>
      </c>
      <c r="H1579">
        <v>1.21</v>
      </c>
      <c r="J1579" s="2">
        <f>+DATAIN_COMPRAS__2[[#This Row],[$/ UN NETO]]*DATAIN_COMPRAS__2[[#This Row],[IVA]]</f>
        <v>8773.2743999999984</v>
      </c>
      <c r="K1579" s="7">
        <f t="shared" si="40"/>
        <v>43866.371999999996</v>
      </c>
      <c r="L1579" t="s">
        <v>158</v>
      </c>
    </row>
    <row r="1580" spans="1:12" x14ac:dyDescent="0.35">
      <c r="A1580" s="13">
        <v>45939</v>
      </c>
      <c r="B1580" t="s">
        <v>256</v>
      </c>
      <c r="C1580" t="s">
        <v>254</v>
      </c>
      <c r="E1580" s="8">
        <v>3.42</v>
      </c>
      <c r="F1580" s="1">
        <v>8625.0350999999991</v>
      </c>
      <c r="H1580">
        <v>1.21</v>
      </c>
      <c r="J1580" s="2">
        <f>+DATAIN_COMPRAS__2[[#This Row],[$/ UN NETO]]*DATAIN_COMPRAS__2[[#This Row],[IVA]]</f>
        <v>10436.292470999999</v>
      </c>
      <c r="K1580" s="7">
        <f t="shared" si="40"/>
        <v>35692.120250819993</v>
      </c>
      <c r="L1580" t="s">
        <v>158</v>
      </c>
    </row>
    <row r="1581" spans="1:12" x14ac:dyDescent="0.35">
      <c r="A1581" s="13">
        <v>45939</v>
      </c>
      <c r="B1581" t="s">
        <v>110</v>
      </c>
      <c r="C1581" s="14" t="s">
        <v>836</v>
      </c>
      <c r="E1581" s="8">
        <v>1</v>
      </c>
      <c r="F1581" s="1">
        <v>22686.3</v>
      </c>
      <c r="H1581">
        <v>1.21</v>
      </c>
      <c r="J1581" s="2">
        <f>+DATAIN_COMPRAS__2[[#This Row],[$/ UN NETO]]*DATAIN_COMPRAS__2[[#This Row],[IVA]]</f>
        <v>27450.422999999999</v>
      </c>
      <c r="K1581" s="7">
        <f t="shared" si="40"/>
        <v>27450.422999999999</v>
      </c>
      <c r="L1581" t="s">
        <v>158</v>
      </c>
    </row>
    <row r="1582" spans="1:12" x14ac:dyDescent="0.35">
      <c r="A1582" s="13">
        <v>45939</v>
      </c>
      <c r="B1582" t="s">
        <v>110</v>
      </c>
      <c r="C1582" t="s">
        <v>165</v>
      </c>
      <c r="E1582" s="8">
        <v>10</v>
      </c>
      <c r="F1582" s="1">
        <v>1272.5</v>
      </c>
      <c r="H1582">
        <v>1.21</v>
      </c>
      <c r="J1582" s="2">
        <f>+DATAIN_COMPRAS__2[[#This Row],[$/ UN NETO]]*DATAIN_COMPRAS__2[[#This Row],[IVA]]</f>
        <v>1539.7249999999999</v>
      </c>
      <c r="K1582" s="7">
        <f t="shared" si="40"/>
        <v>15397.25</v>
      </c>
      <c r="L1582" t="s">
        <v>237</v>
      </c>
    </row>
    <row r="1583" spans="1:12" x14ac:dyDescent="0.35">
      <c r="A1583" s="13">
        <v>45939</v>
      </c>
      <c r="B1583" t="s">
        <v>110</v>
      </c>
      <c r="C1583" t="s">
        <v>167</v>
      </c>
      <c r="E1583" s="8">
        <v>5</v>
      </c>
      <c r="F1583" s="1">
        <v>2232</v>
      </c>
      <c r="H1583">
        <v>1.21</v>
      </c>
      <c r="J1583" s="2">
        <f>+DATAIN_COMPRAS__2[[#This Row],[$/ UN NETO]]*DATAIN_COMPRAS__2[[#This Row],[IVA]]</f>
        <v>2700.72</v>
      </c>
      <c r="K1583" s="7">
        <f t="shared" si="40"/>
        <v>13503.6</v>
      </c>
      <c r="L1583" t="s">
        <v>158</v>
      </c>
    </row>
    <row r="1584" spans="1:12" x14ac:dyDescent="0.35">
      <c r="A1584" s="13">
        <v>45939</v>
      </c>
      <c r="B1584" t="s">
        <v>75</v>
      </c>
      <c r="C1584" t="s">
        <v>76</v>
      </c>
      <c r="E1584" s="8">
        <v>72</v>
      </c>
      <c r="F1584" s="1">
        <v>1157.1600000000001</v>
      </c>
      <c r="H1584">
        <v>1.21</v>
      </c>
      <c r="J1584" s="2">
        <f>+DATAIN_COMPRAS__2[[#This Row],[$/ UN NETO]]*DATAIN_COMPRAS__2[[#This Row],[IVA]]</f>
        <v>1400.1636000000001</v>
      </c>
      <c r="K1584" s="7">
        <f t="shared" si="40"/>
        <v>100811.7792</v>
      </c>
      <c r="L1584" t="s">
        <v>237</v>
      </c>
    </row>
    <row r="1585" spans="1:12" x14ac:dyDescent="0.35">
      <c r="A1585" s="13">
        <v>45939</v>
      </c>
      <c r="B1585" t="s">
        <v>75</v>
      </c>
      <c r="C1585" t="s">
        <v>76</v>
      </c>
      <c r="E1585" s="8">
        <v>12</v>
      </c>
      <c r="F1585" s="1">
        <v>1157.1600000000001</v>
      </c>
      <c r="H1585">
        <v>1.21</v>
      </c>
      <c r="J1585" s="2">
        <f>+DATAIN_COMPRAS__2[[#This Row],[$/ UN NETO]]*DATAIN_COMPRAS__2[[#This Row],[IVA]]</f>
        <v>1400.1636000000001</v>
      </c>
      <c r="K1585" s="7">
        <f t="shared" si="40"/>
        <v>16801.963200000002</v>
      </c>
      <c r="L1585" t="s">
        <v>158</v>
      </c>
    </row>
    <row r="1586" spans="1:12" x14ac:dyDescent="0.35">
      <c r="A1586" s="13">
        <v>45939</v>
      </c>
      <c r="B1586" t="s">
        <v>801</v>
      </c>
      <c r="C1586" t="s">
        <v>817</v>
      </c>
      <c r="E1586" s="8">
        <v>0.2</v>
      </c>
      <c r="F1586" s="1">
        <f>3000/DATAIN_COMPRAS__2[[#This Row],[CANT]]</f>
        <v>15000</v>
      </c>
      <c r="H1586">
        <v>1</v>
      </c>
      <c r="J1586" s="2">
        <f>+DATAIN_COMPRAS__2[[#This Row],[$/ UN NETO]]*DATAIN_COMPRAS__2[[#This Row],[IVA]]</f>
        <v>15000</v>
      </c>
      <c r="K1586" s="7">
        <f t="shared" si="40"/>
        <v>3000</v>
      </c>
      <c r="L1586" t="s">
        <v>237</v>
      </c>
    </row>
    <row r="1587" spans="1:12" x14ac:dyDescent="0.35">
      <c r="A1587" s="13">
        <v>45940</v>
      </c>
      <c r="B1587" t="s">
        <v>124</v>
      </c>
      <c r="C1587" t="s">
        <v>125</v>
      </c>
      <c r="E1587" s="8">
        <v>3</v>
      </c>
      <c r="F1587" s="1">
        <v>42350</v>
      </c>
      <c r="H1587">
        <v>1</v>
      </c>
      <c r="J1587" s="2">
        <f>+DATAIN_COMPRAS__2[[#This Row],[$/ UN NETO]]*DATAIN_COMPRAS__2[[#This Row],[IVA]]</f>
        <v>42350</v>
      </c>
      <c r="K1587" s="7">
        <f t="shared" si="40"/>
        <v>127050</v>
      </c>
      <c r="L1587" t="s">
        <v>237</v>
      </c>
    </row>
    <row r="1588" spans="1:12" x14ac:dyDescent="0.35">
      <c r="A1588" s="13">
        <v>45940</v>
      </c>
      <c r="B1588" t="s">
        <v>124</v>
      </c>
      <c r="C1588" t="s">
        <v>126</v>
      </c>
      <c r="E1588" s="8">
        <v>0.5</v>
      </c>
      <c r="F1588" s="1">
        <f>+(20570+18150)/DATAIN_COMPRAS__2[[#This Row],[CANT]]</f>
        <v>77440</v>
      </c>
      <c r="H1588">
        <v>1</v>
      </c>
      <c r="J1588" s="2">
        <f>+DATAIN_COMPRAS__2[[#This Row],[$/ UN NETO]]*DATAIN_COMPRAS__2[[#This Row],[IVA]]</f>
        <v>77440</v>
      </c>
      <c r="K1588" s="7">
        <f t="shared" si="40"/>
        <v>38720</v>
      </c>
      <c r="L1588" t="s">
        <v>237</v>
      </c>
    </row>
    <row r="1589" spans="1:12" x14ac:dyDescent="0.35">
      <c r="A1589" s="13">
        <v>45940</v>
      </c>
      <c r="B1589" t="s">
        <v>796</v>
      </c>
      <c r="C1589" t="s">
        <v>825</v>
      </c>
      <c r="E1589" s="8"/>
      <c r="F1589" s="1"/>
      <c r="J1589" s="2"/>
      <c r="K1589" s="7">
        <v>71402</v>
      </c>
      <c r="L1589" t="s">
        <v>237</v>
      </c>
    </row>
    <row r="1590" spans="1:12" x14ac:dyDescent="0.35">
      <c r="A1590" s="13">
        <v>45940</v>
      </c>
      <c r="B1590" t="s">
        <v>174</v>
      </c>
      <c r="C1590" t="s">
        <v>176</v>
      </c>
      <c r="E1590" s="8">
        <v>1</v>
      </c>
      <c r="F1590" s="1">
        <v>9743.7999999999993</v>
      </c>
      <c r="H1590">
        <v>1.21</v>
      </c>
      <c r="J1590" s="2">
        <f>+DATAIN_COMPRAS__2[[#This Row],[$/ UN NETO]]*DATAIN_COMPRAS__2[[#This Row],[IVA]]</f>
        <v>11789.998</v>
      </c>
      <c r="K1590" s="7">
        <f t="shared" ref="K1590:K1597" si="41">(E1590*F1590)*(1-I1590)*(H1590)</f>
        <v>11789.998</v>
      </c>
      <c r="L1590" t="s">
        <v>158</v>
      </c>
    </row>
    <row r="1591" spans="1:12" x14ac:dyDescent="0.35">
      <c r="A1591" s="13">
        <v>45940</v>
      </c>
      <c r="B1591" t="s">
        <v>104</v>
      </c>
      <c r="C1591" t="s">
        <v>814</v>
      </c>
      <c r="E1591" s="8">
        <v>1</v>
      </c>
      <c r="F1591" s="1">
        <v>11920</v>
      </c>
      <c r="H1591">
        <v>1</v>
      </c>
      <c r="J1591" s="2">
        <f>+DATAIN_COMPRAS__2[[#This Row],[$/ UN NETO]]*DATAIN_COMPRAS__2[[#This Row],[IVA]]</f>
        <v>11920</v>
      </c>
      <c r="K1591" s="7">
        <f t="shared" si="41"/>
        <v>11920</v>
      </c>
      <c r="L1591" t="s">
        <v>237</v>
      </c>
    </row>
    <row r="1592" spans="1:12" x14ac:dyDescent="0.35">
      <c r="A1592" s="13">
        <v>45940</v>
      </c>
      <c r="B1592" t="s">
        <v>104</v>
      </c>
      <c r="C1592" t="s">
        <v>105</v>
      </c>
      <c r="E1592" s="8">
        <v>1</v>
      </c>
      <c r="F1592" s="1">
        <v>11730</v>
      </c>
      <c r="H1592">
        <v>1</v>
      </c>
      <c r="J1592" s="2">
        <f>+DATAIN_COMPRAS__2[[#This Row],[$/ UN NETO]]*DATAIN_COMPRAS__2[[#This Row],[IVA]]</f>
        <v>11730</v>
      </c>
      <c r="K1592" s="7">
        <f t="shared" si="41"/>
        <v>11730</v>
      </c>
      <c r="L1592" t="s">
        <v>237</v>
      </c>
    </row>
    <row r="1593" spans="1:12" x14ac:dyDescent="0.35">
      <c r="A1593" s="13">
        <v>45940</v>
      </c>
      <c r="B1593" t="s">
        <v>12</v>
      </c>
      <c r="C1593" t="s">
        <v>109</v>
      </c>
      <c r="E1593" s="8">
        <v>0.8</v>
      </c>
      <c r="F1593" s="1">
        <v>7300</v>
      </c>
      <c r="H1593">
        <v>1</v>
      </c>
      <c r="J1593" s="2">
        <f>+DATAIN_COMPRAS__2[[#This Row],[$/ UN NETO]]*DATAIN_COMPRAS__2[[#This Row],[IVA]]</f>
        <v>7300</v>
      </c>
      <c r="K1593" s="7">
        <f t="shared" si="41"/>
        <v>5840</v>
      </c>
      <c r="L1593" t="s">
        <v>158</v>
      </c>
    </row>
    <row r="1594" spans="1:12" x14ac:dyDescent="0.35">
      <c r="A1594" s="13">
        <v>45940</v>
      </c>
      <c r="B1594" t="s">
        <v>12</v>
      </c>
      <c r="C1594" t="s">
        <v>331</v>
      </c>
      <c r="E1594" s="8">
        <v>3.375</v>
      </c>
      <c r="F1594" s="1">
        <v>2300</v>
      </c>
      <c r="H1594">
        <v>1</v>
      </c>
      <c r="J1594" s="2">
        <f>+DATAIN_COMPRAS__2[[#This Row],[$/ UN NETO]]*DATAIN_COMPRAS__2[[#This Row],[IVA]]</f>
        <v>2300</v>
      </c>
      <c r="K1594" s="7">
        <f t="shared" si="41"/>
        <v>7762.5</v>
      </c>
      <c r="L1594" t="s">
        <v>237</v>
      </c>
    </row>
    <row r="1595" spans="1:12" x14ac:dyDescent="0.35">
      <c r="A1595" s="13">
        <v>45940</v>
      </c>
      <c r="B1595" t="s">
        <v>12</v>
      </c>
      <c r="C1595" t="s">
        <v>300</v>
      </c>
      <c r="E1595" s="8">
        <v>1</v>
      </c>
      <c r="F1595" s="1">
        <v>1800</v>
      </c>
      <c r="H1595">
        <v>1</v>
      </c>
      <c r="J1595" s="2">
        <f>+DATAIN_COMPRAS__2[[#This Row],[$/ UN NETO]]*DATAIN_COMPRAS__2[[#This Row],[IVA]]</f>
        <v>1800</v>
      </c>
      <c r="K1595" s="7">
        <f t="shared" si="41"/>
        <v>1800</v>
      </c>
      <c r="L1595" t="s">
        <v>158</v>
      </c>
    </row>
    <row r="1596" spans="1:12" x14ac:dyDescent="0.35">
      <c r="A1596" s="13">
        <v>45940</v>
      </c>
      <c r="B1596" t="s">
        <v>12</v>
      </c>
      <c r="C1596" t="s">
        <v>332</v>
      </c>
      <c r="E1596" s="8">
        <v>14</v>
      </c>
      <c r="F1596" s="1">
        <v>1000</v>
      </c>
      <c r="H1596">
        <v>1</v>
      </c>
      <c r="J1596" s="2">
        <f>+DATAIN_COMPRAS__2[[#This Row],[$/ UN NETO]]*DATAIN_COMPRAS__2[[#This Row],[IVA]]</f>
        <v>1000</v>
      </c>
      <c r="K1596" s="7">
        <f t="shared" si="41"/>
        <v>14000</v>
      </c>
      <c r="L1596" t="s">
        <v>237</v>
      </c>
    </row>
    <row r="1597" spans="1:12" x14ac:dyDescent="0.35">
      <c r="A1597" s="13">
        <v>45940</v>
      </c>
      <c r="B1597" t="s">
        <v>12</v>
      </c>
      <c r="C1597" t="s">
        <v>17</v>
      </c>
      <c r="E1597" s="8">
        <v>0.76500000000000001</v>
      </c>
      <c r="F1597" s="1">
        <v>2500</v>
      </c>
      <c r="H1597">
        <v>1</v>
      </c>
      <c r="J1597" s="2">
        <f>+DATAIN_COMPRAS__2[[#This Row],[$/ UN NETO]]*DATAIN_COMPRAS__2[[#This Row],[IVA]]</f>
        <v>2500</v>
      </c>
      <c r="K1597" s="7">
        <f t="shared" si="41"/>
        <v>1912.5</v>
      </c>
      <c r="L1597" t="s">
        <v>158</v>
      </c>
    </row>
    <row r="1598" spans="1:12" x14ac:dyDescent="0.35">
      <c r="A1598" s="13">
        <v>45941</v>
      </c>
      <c r="B1598" t="s">
        <v>796</v>
      </c>
      <c r="C1598" t="s">
        <v>825</v>
      </c>
      <c r="E1598" s="8"/>
      <c r="F1598" s="1"/>
      <c r="J1598" s="2"/>
      <c r="K1598" s="7">
        <v>29503.47</v>
      </c>
      <c r="L1598" t="s">
        <v>237</v>
      </c>
    </row>
    <row r="1599" spans="1:12" x14ac:dyDescent="0.35">
      <c r="A1599" s="13">
        <v>45941</v>
      </c>
      <c r="B1599" t="s">
        <v>796</v>
      </c>
      <c r="C1599" t="s">
        <v>825</v>
      </c>
      <c r="E1599" s="8"/>
      <c r="F1599" s="1"/>
      <c r="J1599" s="2"/>
      <c r="K1599" s="7">
        <v>65131.35</v>
      </c>
      <c r="L1599" t="s">
        <v>237</v>
      </c>
    </row>
    <row r="1600" spans="1:12" x14ac:dyDescent="0.35">
      <c r="A1600" s="13">
        <v>45941</v>
      </c>
      <c r="B1600" t="s">
        <v>796</v>
      </c>
      <c r="C1600" t="s">
        <v>825</v>
      </c>
      <c r="E1600" s="8"/>
      <c r="F1600" s="1"/>
      <c r="J1600" s="2"/>
      <c r="K1600" s="7">
        <v>28845</v>
      </c>
      <c r="L1600" t="s">
        <v>237</v>
      </c>
    </row>
    <row r="1601" spans="1:12" x14ac:dyDescent="0.35">
      <c r="A1601" s="13">
        <v>45941</v>
      </c>
      <c r="B1601" t="s">
        <v>48</v>
      </c>
      <c r="C1601" t="s">
        <v>51</v>
      </c>
      <c r="E1601" s="8">
        <v>3.5</v>
      </c>
      <c r="F1601" s="1">
        <v>9360.7752999999993</v>
      </c>
      <c r="H1601">
        <v>1.21</v>
      </c>
      <c r="I1601">
        <v>0.06</v>
      </c>
      <c r="J1601" s="2">
        <f>+DATAIN_COMPRAS__2[[#This Row],[$/ UN NETO]]*DATAIN_COMPRAS__2[[#This Row],[IVA]]</f>
        <v>11326.538112999999</v>
      </c>
      <c r="K1601" s="7">
        <f t="shared" ref="K1601:K1610" si="42">(E1601*F1601)*(1-I1601)*(H1601)</f>
        <v>37264.310391769992</v>
      </c>
      <c r="L1601" t="s">
        <v>237</v>
      </c>
    </row>
    <row r="1602" spans="1:12" x14ac:dyDescent="0.35">
      <c r="A1602" s="13">
        <v>45941</v>
      </c>
      <c r="B1602" t="s">
        <v>48</v>
      </c>
      <c r="C1602" t="s">
        <v>50</v>
      </c>
      <c r="D1602" t="s">
        <v>368</v>
      </c>
      <c r="E1602" s="8">
        <v>2.5</v>
      </c>
      <c r="F1602" s="1">
        <f>25337.0938/2.5</f>
        <v>10134.837519999999</v>
      </c>
      <c r="H1602">
        <v>1.21</v>
      </c>
      <c r="I1602">
        <v>0.06</v>
      </c>
      <c r="J1602" s="2">
        <f>+DATAIN_COMPRAS__2[[#This Row],[$/ UN NETO]]*DATAIN_COMPRAS__2[[#This Row],[IVA]]</f>
        <v>12263.153399199999</v>
      </c>
      <c r="K1602" s="7">
        <f t="shared" si="42"/>
        <v>28818.410488119996</v>
      </c>
      <c r="L1602" t="s">
        <v>158</v>
      </c>
    </row>
    <row r="1603" spans="1:12" x14ac:dyDescent="0.35">
      <c r="A1603" s="13">
        <v>45941</v>
      </c>
      <c r="B1603" t="s">
        <v>48</v>
      </c>
      <c r="C1603" t="s">
        <v>52</v>
      </c>
      <c r="E1603" s="8">
        <v>3.45</v>
      </c>
      <c r="F1603" s="1">
        <v>6650.2920000000004</v>
      </c>
      <c r="H1603">
        <v>1.21</v>
      </c>
      <c r="J1603" s="2">
        <f>+DATAIN_COMPRAS__2[[#This Row],[$/ UN NETO]]*DATAIN_COMPRAS__2[[#This Row],[IVA]]</f>
        <v>8046.8533200000002</v>
      </c>
      <c r="K1603" s="7">
        <f t="shared" si="42"/>
        <v>27761.643954000003</v>
      </c>
      <c r="L1603" t="s">
        <v>237</v>
      </c>
    </row>
    <row r="1604" spans="1:12" x14ac:dyDescent="0.35">
      <c r="A1604" s="13">
        <v>45941</v>
      </c>
      <c r="B1604" t="s">
        <v>80</v>
      </c>
      <c r="C1604" t="s">
        <v>819</v>
      </c>
      <c r="E1604" s="8">
        <v>50</v>
      </c>
      <c r="F1604" s="1">
        <f>1239.67/50</f>
        <v>24.793400000000002</v>
      </c>
      <c r="H1604">
        <v>1.21</v>
      </c>
      <c r="J1604" s="2">
        <f>+DATAIN_COMPRAS__2[[#This Row],[$/ UN NETO]]*DATAIN_COMPRAS__2[[#This Row],[IVA]]</f>
        <v>30.000014</v>
      </c>
      <c r="K1604" s="7">
        <f t="shared" si="42"/>
        <v>1500.0007000000001</v>
      </c>
      <c r="L1604" t="s">
        <v>237</v>
      </c>
    </row>
    <row r="1605" spans="1:12" x14ac:dyDescent="0.35">
      <c r="A1605" s="13">
        <v>45941</v>
      </c>
      <c r="B1605" t="s">
        <v>80</v>
      </c>
      <c r="C1605" t="s">
        <v>820</v>
      </c>
      <c r="E1605" s="8">
        <v>100</v>
      </c>
      <c r="F1605" s="1">
        <f>1404.96/100</f>
        <v>14.0496</v>
      </c>
      <c r="H1605">
        <v>1.21</v>
      </c>
      <c r="J1605" s="2">
        <f>+DATAIN_COMPRAS__2[[#This Row],[$/ UN NETO]]*DATAIN_COMPRAS__2[[#This Row],[IVA]]</f>
        <v>17.000015999999999</v>
      </c>
      <c r="K1605" s="7">
        <f t="shared" si="42"/>
        <v>1700.0016000000001</v>
      </c>
      <c r="L1605" t="s">
        <v>237</v>
      </c>
    </row>
    <row r="1606" spans="1:12" x14ac:dyDescent="0.35">
      <c r="A1606" s="13">
        <v>45941</v>
      </c>
      <c r="B1606" t="s">
        <v>80</v>
      </c>
      <c r="C1606" t="s">
        <v>818</v>
      </c>
      <c r="E1606" s="8">
        <v>50</v>
      </c>
      <c r="F1606" s="1">
        <v>164.53</v>
      </c>
      <c r="H1606">
        <v>1.21</v>
      </c>
      <c r="J1606" s="2">
        <f>+DATAIN_COMPRAS__2[[#This Row],[$/ UN NETO]]*DATAIN_COMPRAS__2[[#This Row],[IVA]]</f>
        <v>199.0813</v>
      </c>
      <c r="K1606" s="7">
        <f t="shared" si="42"/>
        <v>9954.0650000000005</v>
      </c>
      <c r="L1606" t="s">
        <v>237</v>
      </c>
    </row>
    <row r="1607" spans="1:12" x14ac:dyDescent="0.35">
      <c r="A1607" s="13">
        <v>45941</v>
      </c>
      <c r="B1607" t="s">
        <v>797</v>
      </c>
      <c r="C1607" s="14" t="s">
        <v>193</v>
      </c>
      <c r="E1607" s="8">
        <v>1</v>
      </c>
      <c r="F1607" s="1">
        <v>24958.68</v>
      </c>
      <c r="H1607">
        <v>1.21</v>
      </c>
      <c r="J1607" s="2">
        <f>+DATAIN_COMPRAS__2[[#This Row],[$/ UN NETO]]*DATAIN_COMPRAS__2[[#This Row],[IVA]]</f>
        <v>30200.002799999998</v>
      </c>
      <c r="K1607" s="7">
        <f t="shared" si="42"/>
        <v>30200.002799999998</v>
      </c>
      <c r="L1607" t="s">
        <v>158</v>
      </c>
    </row>
    <row r="1608" spans="1:12" x14ac:dyDescent="0.35">
      <c r="A1608" s="13">
        <v>45942</v>
      </c>
      <c r="B1608" t="s">
        <v>242</v>
      </c>
      <c r="C1608" t="s">
        <v>245</v>
      </c>
      <c r="E1608" s="8">
        <v>1</v>
      </c>
      <c r="F1608" s="1">
        <v>18500</v>
      </c>
      <c r="H1608">
        <v>1</v>
      </c>
      <c r="J1608" s="2">
        <f>+DATAIN_COMPRAS__2[[#This Row],[$/ UN NETO]]*DATAIN_COMPRAS__2[[#This Row],[IVA]]</f>
        <v>18500</v>
      </c>
      <c r="K1608" s="7">
        <f t="shared" si="42"/>
        <v>18500</v>
      </c>
      <c r="L1608" t="s">
        <v>237</v>
      </c>
    </row>
    <row r="1609" spans="1:12" x14ac:dyDescent="0.35">
      <c r="A1609" s="13">
        <v>45942</v>
      </c>
      <c r="B1609" t="s">
        <v>242</v>
      </c>
      <c r="C1609" t="s">
        <v>243</v>
      </c>
      <c r="E1609" s="8">
        <v>1</v>
      </c>
      <c r="F1609" s="1">
        <v>18500</v>
      </c>
      <c r="H1609">
        <v>1</v>
      </c>
      <c r="J1609" s="2">
        <f>+DATAIN_COMPRAS__2[[#This Row],[$/ UN NETO]]*DATAIN_COMPRAS__2[[#This Row],[IVA]]</f>
        <v>18500</v>
      </c>
      <c r="K1609" s="7">
        <f t="shared" si="42"/>
        <v>18500</v>
      </c>
      <c r="L1609" t="s">
        <v>237</v>
      </c>
    </row>
    <row r="1610" spans="1:12" x14ac:dyDescent="0.35">
      <c r="A1610" s="13">
        <v>45942</v>
      </c>
      <c r="B1610" t="s">
        <v>242</v>
      </c>
      <c r="C1610" t="s">
        <v>246</v>
      </c>
      <c r="E1610" s="8">
        <v>1</v>
      </c>
      <c r="F1610" s="1">
        <v>18500</v>
      </c>
      <c r="H1610">
        <v>1</v>
      </c>
      <c r="J1610" s="2">
        <f>+DATAIN_COMPRAS__2[[#This Row],[$/ UN NETO]]*DATAIN_COMPRAS__2[[#This Row],[IVA]]</f>
        <v>18500</v>
      </c>
      <c r="K1610" s="7">
        <f t="shared" si="42"/>
        <v>18500</v>
      </c>
      <c r="L1610" t="s">
        <v>237</v>
      </c>
    </row>
    <row r="1611" spans="1:12" x14ac:dyDescent="0.35">
      <c r="A1611" s="13">
        <v>45942</v>
      </c>
      <c r="B1611" t="s">
        <v>796</v>
      </c>
      <c r="C1611" t="s">
        <v>825</v>
      </c>
      <c r="E1611" s="8"/>
      <c r="F1611" s="1"/>
      <c r="J1611" s="2"/>
      <c r="K1611" s="7">
        <v>72172</v>
      </c>
      <c r="L1611" t="s">
        <v>237</v>
      </c>
    </row>
    <row r="1612" spans="1:12" x14ac:dyDescent="0.35">
      <c r="A1612" s="13">
        <v>45942</v>
      </c>
      <c r="B1612" t="s">
        <v>801</v>
      </c>
      <c r="C1612" t="s">
        <v>821</v>
      </c>
      <c r="E1612" s="8">
        <v>5</v>
      </c>
      <c r="F1612" s="1">
        <v>820</v>
      </c>
      <c r="H1612">
        <v>1</v>
      </c>
      <c r="J1612" s="2">
        <f>+DATAIN_COMPRAS__2[[#This Row],[$/ UN NETO]]*DATAIN_COMPRAS__2[[#This Row],[IVA]]</f>
        <v>820</v>
      </c>
      <c r="K1612" s="7">
        <f>(E1612*F1612)*(1-I1612)*(H1612)</f>
        <v>4100</v>
      </c>
      <c r="L1612" t="s">
        <v>158</v>
      </c>
    </row>
    <row r="1613" spans="1:12" x14ac:dyDescent="0.35">
      <c r="A1613" s="13">
        <v>45943</v>
      </c>
      <c r="B1613" t="s">
        <v>124</v>
      </c>
      <c r="C1613" t="s">
        <v>125</v>
      </c>
      <c r="E1613" s="8">
        <v>9</v>
      </c>
      <c r="F1613" s="1">
        <v>42350</v>
      </c>
      <c r="H1613">
        <v>1</v>
      </c>
      <c r="J1613" s="2">
        <f>+DATAIN_COMPRAS__2[[#This Row],[$/ UN NETO]]*DATAIN_COMPRAS__2[[#This Row],[IVA]]</f>
        <v>42350</v>
      </c>
      <c r="K1613" s="7">
        <f>(E1613*F1613)*(1-I1613)*(H1613)</f>
        <v>381150</v>
      </c>
      <c r="L1613" t="s">
        <v>237</v>
      </c>
    </row>
    <row r="1614" spans="1:12" x14ac:dyDescent="0.35">
      <c r="A1614" s="13">
        <v>45943</v>
      </c>
      <c r="B1614" t="s">
        <v>796</v>
      </c>
      <c r="C1614" t="s">
        <v>825</v>
      </c>
      <c r="E1614" s="8"/>
      <c r="F1614" s="1"/>
      <c r="J1614" s="2"/>
      <c r="K1614" s="7">
        <v>50422.86</v>
      </c>
      <c r="L1614" t="s">
        <v>237</v>
      </c>
    </row>
    <row r="1615" spans="1:12" x14ac:dyDescent="0.35">
      <c r="A1615" s="13">
        <v>45943</v>
      </c>
      <c r="B1615" t="s">
        <v>48</v>
      </c>
      <c r="C1615" t="s">
        <v>64</v>
      </c>
      <c r="E1615" s="8">
        <v>1</v>
      </c>
      <c r="F1615" s="1">
        <v>6778.5382</v>
      </c>
      <c r="H1615">
        <v>1.21</v>
      </c>
      <c r="I1615">
        <v>0.06</v>
      </c>
      <c r="J1615" s="2">
        <f>+DATAIN_COMPRAS__2[[#This Row],[$/ UN NETO]]*DATAIN_COMPRAS__2[[#This Row],[IVA]]</f>
        <v>8202.0312219999996</v>
      </c>
      <c r="K1615" s="7">
        <f t="shared" ref="K1615:K1621" si="43">(E1615*F1615)*(1-I1615)*(H1615)</f>
        <v>7709.9093486799993</v>
      </c>
      <c r="L1615" t="s">
        <v>237</v>
      </c>
    </row>
    <row r="1616" spans="1:12" x14ac:dyDescent="0.35">
      <c r="A1616" s="13">
        <v>45943</v>
      </c>
      <c r="B1616" t="s">
        <v>48</v>
      </c>
      <c r="C1616" t="s">
        <v>358</v>
      </c>
      <c r="E1616" s="8">
        <f>0.82*4</f>
        <v>3.28</v>
      </c>
      <c r="F1616" s="1">
        <f>+(1459.5*4)/DATAIN_COMPRAS__2[[#This Row],[CANT]]</f>
        <v>1779.8780487804879</v>
      </c>
      <c r="H1616">
        <v>1.21</v>
      </c>
      <c r="I1616">
        <v>0.06</v>
      </c>
      <c r="J1616" s="2">
        <f>+DATAIN_COMPRAS__2[[#This Row],[$/ UN NETO]]*DATAIN_COMPRAS__2[[#This Row],[IVA]]</f>
        <v>2153.6524390243903</v>
      </c>
      <c r="K1616" s="7">
        <f t="shared" si="43"/>
        <v>6640.1411999999991</v>
      </c>
      <c r="L1616" t="s">
        <v>237</v>
      </c>
    </row>
    <row r="1617" spans="1:14" x14ac:dyDescent="0.35">
      <c r="A1617" s="13">
        <v>45943</v>
      </c>
      <c r="B1617" t="s">
        <v>48</v>
      </c>
      <c r="C1617" t="s">
        <v>55</v>
      </c>
      <c r="E1617" s="8">
        <v>1</v>
      </c>
      <c r="F1617" s="1">
        <f>933.1549*2</f>
        <v>1866.3098</v>
      </c>
      <c r="H1617">
        <v>1.21</v>
      </c>
      <c r="I1617">
        <v>0.06</v>
      </c>
      <c r="J1617" s="2">
        <f>+DATAIN_COMPRAS__2[[#This Row],[$/ UN NETO]]*DATAIN_COMPRAS__2[[#This Row],[IVA]]</f>
        <v>2258.2348579999998</v>
      </c>
      <c r="K1617" s="7">
        <f t="shared" si="43"/>
        <v>2122.7407665199999</v>
      </c>
      <c r="L1617" t="s">
        <v>237</v>
      </c>
    </row>
    <row r="1618" spans="1:14" x14ac:dyDescent="0.35">
      <c r="A1618" s="13">
        <v>45943</v>
      </c>
      <c r="B1618" t="s">
        <v>48</v>
      </c>
      <c r="C1618" t="s">
        <v>51</v>
      </c>
      <c r="E1618" s="8">
        <v>3.54</v>
      </c>
      <c r="F1618" s="1">
        <v>9360.7752999999993</v>
      </c>
      <c r="H1618">
        <v>1.21</v>
      </c>
      <c r="I1618">
        <v>0.06</v>
      </c>
      <c r="J1618" s="2">
        <f>+DATAIN_COMPRAS__2[[#This Row],[$/ UN NETO]]*DATAIN_COMPRAS__2[[#This Row],[IVA]]</f>
        <v>11326.538112999999</v>
      </c>
      <c r="K1618" s="7">
        <f t="shared" si="43"/>
        <v>37690.188224818798</v>
      </c>
      <c r="L1618" t="s">
        <v>237</v>
      </c>
    </row>
    <row r="1619" spans="1:14" x14ac:dyDescent="0.35">
      <c r="A1619" s="13">
        <v>45943</v>
      </c>
      <c r="B1619" t="s">
        <v>48</v>
      </c>
      <c r="C1619" t="s">
        <v>52</v>
      </c>
      <c r="E1619" s="8">
        <v>3.79</v>
      </c>
      <c r="F1619" s="1">
        <v>6650.2920000000004</v>
      </c>
      <c r="H1619">
        <v>1.21</v>
      </c>
      <c r="J1619" s="2">
        <f>+DATAIN_COMPRAS__2[[#This Row],[$/ UN NETO]]*DATAIN_COMPRAS__2[[#This Row],[IVA]]</f>
        <v>8046.8533200000002</v>
      </c>
      <c r="K1619" s="7">
        <f t="shared" si="43"/>
        <v>30497.574082800002</v>
      </c>
      <c r="L1619" t="s">
        <v>237</v>
      </c>
    </row>
    <row r="1620" spans="1:14" x14ac:dyDescent="0.35">
      <c r="A1620" s="13">
        <v>45943</v>
      </c>
      <c r="B1620" t="s">
        <v>48</v>
      </c>
      <c r="C1620" t="s">
        <v>248</v>
      </c>
      <c r="E1620" s="8">
        <v>24</v>
      </c>
      <c r="F1620" s="1">
        <f>(857.34/12)</f>
        <v>71.445000000000007</v>
      </c>
      <c r="H1620">
        <v>1.21</v>
      </c>
      <c r="J1620" s="2">
        <f>+DATAIN_COMPRAS__2[[#This Row],[$/ UN NETO]]*DATAIN_COMPRAS__2[[#This Row],[IVA]]</f>
        <v>86.448450000000008</v>
      </c>
      <c r="K1620" s="7">
        <f t="shared" si="43"/>
        <v>2074.7628000000004</v>
      </c>
      <c r="L1620" t="s">
        <v>237</v>
      </c>
    </row>
    <row r="1621" spans="1:14" x14ac:dyDescent="0.35">
      <c r="A1621" s="13">
        <v>45943</v>
      </c>
      <c r="B1621" t="s">
        <v>48</v>
      </c>
      <c r="C1621" t="s">
        <v>54</v>
      </c>
      <c r="E1621" s="8">
        <v>0.8</v>
      </c>
      <c r="F1621" s="1">
        <f>(833.1421*2)/DATAIN_COMPRAS__2[[#This Row],[CANT]]</f>
        <v>2082.8552500000001</v>
      </c>
      <c r="H1621">
        <v>1.21</v>
      </c>
      <c r="I1621">
        <v>0.06</v>
      </c>
      <c r="J1621" s="2">
        <f>+DATAIN_COMPRAS__2[[#This Row],[$/ UN NETO]]*DATAIN_COMPRAS__2[[#This Row],[IVA]]</f>
        <v>2520.2548525000002</v>
      </c>
      <c r="K1621" s="7">
        <f t="shared" si="43"/>
        <v>1895.2316490799999</v>
      </c>
      <c r="L1621" t="s">
        <v>237</v>
      </c>
    </row>
    <row r="1622" spans="1:14" x14ac:dyDescent="0.35">
      <c r="A1622" s="13">
        <v>45944</v>
      </c>
      <c r="B1622" t="s">
        <v>796</v>
      </c>
      <c r="C1622" t="s">
        <v>825</v>
      </c>
      <c r="E1622" s="8"/>
      <c r="F1622" s="1"/>
      <c r="J1622" s="2"/>
      <c r="K1622" s="7">
        <v>7850</v>
      </c>
      <c r="L1622" t="s">
        <v>237</v>
      </c>
    </row>
    <row r="1623" spans="1:14" x14ac:dyDescent="0.35">
      <c r="A1623" s="13">
        <v>45944</v>
      </c>
      <c r="B1623" t="s">
        <v>174</v>
      </c>
      <c r="C1623" t="s">
        <v>176</v>
      </c>
      <c r="E1623" s="8">
        <v>1</v>
      </c>
      <c r="F1623" s="1">
        <v>11790</v>
      </c>
      <c r="H1623">
        <v>1.21</v>
      </c>
      <c r="J1623" s="2">
        <f>+DATAIN_COMPRAS__2[[#This Row],[$/ UN NETO]]*DATAIN_COMPRAS__2[[#This Row],[IVA]]</f>
        <v>14265.9</v>
      </c>
      <c r="K1623" s="7">
        <f t="shared" ref="K1623:K1645" si="44">(E1623*F1623)*(1-I1623)*(H1623)</f>
        <v>14265.9</v>
      </c>
      <c r="L1623" t="s">
        <v>158</v>
      </c>
    </row>
    <row r="1624" spans="1:14" x14ac:dyDescent="0.35">
      <c r="A1624" s="13">
        <v>45944</v>
      </c>
      <c r="B1624" t="s">
        <v>174</v>
      </c>
      <c r="C1624" t="s">
        <v>177</v>
      </c>
      <c r="E1624" s="8">
        <v>3</v>
      </c>
      <c r="F1624" s="1">
        <v>1287.5999999999999</v>
      </c>
      <c r="H1624">
        <v>1.21</v>
      </c>
      <c r="J1624" s="2">
        <f>+DATAIN_COMPRAS__2[[#This Row],[$/ UN NETO]]*DATAIN_COMPRAS__2[[#This Row],[IVA]]</f>
        <v>1557.9959999999999</v>
      </c>
      <c r="K1624" s="7">
        <f t="shared" si="44"/>
        <v>4673.9879999999994</v>
      </c>
      <c r="L1624" t="s">
        <v>158</v>
      </c>
    </row>
    <row r="1625" spans="1:14" x14ac:dyDescent="0.35">
      <c r="A1625" s="13">
        <v>45944</v>
      </c>
      <c r="B1625" t="s">
        <v>309</v>
      </c>
      <c r="C1625" t="s">
        <v>103</v>
      </c>
      <c r="E1625" s="8">
        <v>360</v>
      </c>
      <c r="F1625" s="1">
        <f>70000/360</f>
        <v>194.44444444444446</v>
      </c>
      <c r="H1625">
        <v>1</v>
      </c>
      <c r="J1625" s="2">
        <f>+DATAIN_COMPRAS__2[[#This Row],[$/ UN NETO]]*DATAIN_COMPRAS__2[[#This Row],[IVA]]</f>
        <v>194.44444444444446</v>
      </c>
      <c r="K1625" s="7">
        <f t="shared" si="44"/>
        <v>70000</v>
      </c>
      <c r="L1625" t="s">
        <v>237</v>
      </c>
      <c r="M1625">
        <v>195000</v>
      </c>
      <c r="N1625" s="3">
        <v>45941</v>
      </c>
    </row>
    <row r="1626" spans="1:14" x14ac:dyDescent="0.35">
      <c r="A1626" s="13">
        <v>45944</v>
      </c>
      <c r="B1626" t="s">
        <v>309</v>
      </c>
      <c r="C1626" t="s">
        <v>331</v>
      </c>
      <c r="E1626" s="8">
        <v>14</v>
      </c>
      <c r="F1626" s="1">
        <v>2285.7142857142858</v>
      </c>
      <c r="H1626">
        <v>1</v>
      </c>
      <c r="J1626" s="2">
        <f>+DATAIN_COMPRAS__2[[#This Row],[$/ UN NETO]]*DATAIN_COMPRAS__2[[#This Row],[IVA]]</f>
        <v>2285.7142857142858</v>
      </c>
      <c r="K1626" s="7">
        <f t="shared" si="44"/>
        <v>32000</v>
      </c>
      <c r="L1626" t="s">
        <v>237</v>
      </c>
    </row>
    <row r="1627" spans="1:14" x14ac:dyDescent="0.35">
      <c r="A1627" s="13">
        <v>45944</v>
      </c>
      <c r="B1627" t="s">
        <v>309</v>
      </c>
      <c r="C1627" t="s">
        <v>332</v>
      </c>
      <c r="E1627" s="8">
        <v>28</v>
      </c>
      <c r="F1627" s="1">
        <v>1071.4285714285713</v>
      </c>
      <c r="H1627">
        <v>1</v>
      </c>
      <c r="J1627" s="2">
        <f>+DATAIN_COMPRAS__2[[#This Row],[$/ UN NETO]]*DATAIN_COMPRAS__2[[#This Row],[IVA]]</f>
        <v>1071.4285714285713</v>
      </c>
      <c r="K1627" s="7">
        <f t="shared" si="44"/>
        <v>29999.999999999996</v>
      </c>
      <c r="L1627" t="s">
        <v>237</v>
      </c>
    </row>
    <row r="1628" spans="1:14" x14ac:dyDescent="0.35">
      <c r="A1628" s="13">
        <v>45944</v>
      </c>
      <c r="B1628" t="s">
        <v>309</v>
      </c>
      <c r="C1628" t="s">
        <v>19</v>
      </c>
      <c r="E1628" s="8">
        <v>11</v>
      </c>
      <c r="F1628" s="1">
        <f>70000/11</f>
        <v>6363.636363636364</v>
      </c>
      <c r="H1628">
        <v>1</v>
      </c>
      <c r="J1628" s="2">
        <f>+DATAIN_COMPRAS__2[[#This Row],[$/ UN NETO]]*DATAIN_COMPRAS__2[[#This Row],[IVA]]</f>
        <v>6363.636363636364</v>
      </c>
      <c r="K1628" s="7">
        <f t="shared" si="44"/>
        <v>70000</v>
      </c>
      <c r="L1628" t="s">
        <v>237</v>
      </c>
      <c r="M1628">
        <v>195000</v>
      </c>
      <c r="N1628" s="3">
        <v>45944</v>
      </c>
    </row>
    <row r="1629" spans="1:14" x14ac:dyDescent="0.35">
      <c r="A1629" s="13">
        <v>45944</v>
      </c>
      <c r="B1629" t="s">
        <v>309</v>
      </c>
      <c r="C1629" t="s">
        <v>18</v>
      </c>
      <c r="E1629" s="8">
        <v>5</v>
      </c>
      <c r="F1629" s="1">
        <v>6000</v>
      </c>
      <c r="H1629">
        <v>1</v>
      </c>
      <c r="J1629" s="2">
        <f>+DATAIN_COMPRAS__2[[#This Row],[$/ UN NETO]]*DATAIN_COMPRAS__2[[#This Row],[IVA]]</f>
        <v>6000</v>
      </c>
      <c r="K1629" s="7">
        <f t="shared" si="44"/>
        <v>30000</v>
      </c>
      <c r="L1629" t="s">
        <v>237</v>
      </c>
      <c r="M1629">
        <v>239000</v>
      </c>
      <c r="N1629" s="3">
        <v>45944</v>
      </c>
    </row>
    <row r="1630" spans="1:14" x14ac:dyDescent="0.35">
      <c r="A1630" s="13">
        <v>45944</v>
      </c>
      <c r="B1630" t="s">
        <v>104</v>
      </c>
      <c r="C1630" t="s">
        <v>105</v>
      </c>
      <c r="E1630" s="8">
        <v>2</v>
      </c>
      <c r="F1630" s="1">
        <v>11990</v>
      </c>
      <c r="H1630">
        <v>1</v>
      </c>
      <c r="J1630" s="2">
        <f>+DATAIN_COMPRAS__2[[#This Row],[$/ UN NETO]]*DATAIN_COMPRAS__2[[#This Row],[IVA]]</f>
        <v>11990</v>
      </c>
      <c r="K1630" s="7">
        <f t="shared" si="44"/>
        <v>23980</v>
      </c>
      <c r="L1630" t="s">
        <v>237</v>
      </c>
    </row>
    <row r="1631" spans="1:14" x14ac:dyDescent="0.35">
      <c r="A1631" s="13">
        <v>45944</v>
      </c>
      <c r="B1631" t="s">
        <v>104</v>
      </c>
      <c r="C1631" t="s">
        <v>105</v>
      </c>
      <c r="E1631" s="8">
        <v>2</v>
      </c>
      <c r="F1631" s="1">
        <v>11990</v>
      </c>
      <c r="H1631">
        <v>1</v>
      </c>
      <c r="J1631" s="2">
        <f>+DATAIN_COMPRAS__2[[#This Row],[$/ UN NETO]]*DATAIN_COMPRAS__2[[#This Row],[IVA]]</f>
        <v>11990</v>
      </c>
      <c r="K1631" s="7">
        <f t="shared" si="44"/>
        <v>23980</v>
      </c>
      <c r="L1631" t="s">
        <v>158</v>
      </c>
    </row>
    <row r="1632" spans="1:14" x14ac:dyDescent="0.35">
      <c r="A1632" s="13">
        <v>45944</v>
      </c>
      <c r="B1632" t="s">
        <v>12</v>
      </c>
      <c r="C1632" t="s">
        <v>26</v>
      </c>
      <c r="E1632" s="8">
        <v>6</v>
      </c>
      <c r="F1632" s="1">
        <v>2400</v>
      </c>
      <c r="H1632">
        <v>1</v>
      </c>
      <c r="J1632" s="2">
        <f>+DATAIN_COMPRAS__2[[#This Row],[$/ UN NETO]]*DATAIN_COMPRAS__2[[#This Row],[IVA]]</f>
        <v>2400</v>
      </c>
      <c r="K1632" s="7">
        <f t="shared" si="44"/>
        <v>14400</v>
      </c>
      <c r="L1632" t="s">
        <v>237</v>
      </c>
    </row>
    <row r="1633" spans="1:12" x14ac:dyDescent="0.35">
      <c r="A1633" s="13">
        <v>45944</v>
      </c>
      <c r="B1633" t="s">
        <v>12</v>
      </c>
      <c r="C1633" t="s">
        <v>41</v>
      </c>
      <c r="E1633" s="8">
        <v>0.5</v>
      </c>
      <c r="F1633" s="1">
        <f>1800*2</f>
        <v>3600</v>
      </c>
      <c r="H1633">
        <v>1</v>
      </c>
      <c r="J1633" s="2">
        <f>+DATAIN_COMPRAS__2[[#This Row],[$/ UN NETO]]*DATAIN_COMPRAS__2[[#This Row],[IVA]]</f>
        <v>3600</v>
      </c>
      <c r="K1633" s="7">
        <f t="shared" si="44"/>
        <v>1800</v>
      </c>
      <c r="L1633" t="s">
        <v>237</v>
      </c>
    </row>
    <row r="1634" spans="1:12" x14ac:dyDescent="0.35">
      <c r="A1634" s="13">
        <v>45944</v>
      </c>
      <c r="B1634" t="s">
        <v>12</v>
      </c>
      <c r="C1634" t="s">
        <v>109</v>
      </c>
      <c r="E1634" s="8">
        <v>0.5</v>
      </c>
      <c r="F1634" s="1">
        <v>7300</v>
      </c>
      <c r="H1634">
        <v>1</v>
      </c>
      <c r="J1634" s="2">
        <f>+DATAIN_COMPRAS__2[[#This Row],[$/ UN NETO]]*DATAIN_COMPRAS__2[[#This Row],[IVA]]</f>
        <v>7300</v>
      </c>
      <c r="K1634" s="7">
        <f t="shared" si="44"/>
        <v>3650</v>
      </c>
      <c r="L1634" t="s">
        <v>237</v>
      </c>
    </row>
    <row r="1635" spans="1:12" x14ac:dyDescent="0.35">
      <c r="A1635" s="13">
        <v>45944</v>
      </c>
      <c r="B1635" t="s">
        <v>12</v>
      </c>
      <c r="C1635" t="s">
        <v>25</v>
      </c>
      <c r="E1635" s="8">
        <v>0.5</v>
      </c>
      <c r="F1635" s="1">
        <v>8300</v>
      </c>
      <c r="H1635">
        <v>1</v>
      </c>
      <c r="J1635" s="2">
        <f>+DATAIN_COMPRAS__2[[#This Row],[$/ UN NETO]]*DATAIN_COMPRAS__2[[#This Row],[IVA]]</f>
        <v>8300</v>
      </c>
      <c r="K1635" s="7">
        <f t="shared" si="44"/>
        <v>4150</v>
      </c>
      <c r="L1635" t="s">
        <v>237</v>
      </c>
    </row>
    <row r="1636" spans="1:12" x14ac:dyDescent="0.35">
      <c r="A1636" s="13">
        <v>45944</v>
      </c>
      <c r="B1636" t="s">
        <v>12</v>
      </c>
      <c r="C1636" t="s">
        <v>39</v>
      </c>
      <c r="E1636" s="8">
        <v>0.48</v>
      </c>
      <c r="F1636" s="1">
        <v>2000</v>
      </c>
      <c r="H1636">
        <v>1</v>
      </c>
      <c r="J1636" s="2">
        <f>+DATAIN_COMPRAS__2[[#This Row],[$/ UN NETO]]*DATAIN_COMPRAS__2[[#This Row],[IVA]]</f>
        <v>2000</v>
      </c>
      <c r="K1636" s="7">
        <f t="shared" si="44"/>
        <v>960</v>
      </c>
      <c r="L1636" t="s">
        <v>237</v>
      </c>
    </row>
    <row r="1637" spans="1:12" x14ac:dyDescent="0.35">
      <c r="A1637" s="13">
        <v>45944</v>
      </c>
      <c r="B1637" t="s">
        <v>12</v>
      </c>
      <c r="C1637" t="s">
        <v>332</v>
      </c>
      <c r="E1637" s="8">
        <v>14</v>
      </c>
      <c r="F1637" s="1">
        <f>14000/14</f>
        <v>1000</v>
      </c>
      <c r="H1637">
        <v>1</v>
      </c>
      <c r="J1637" s="2">
        <f>+DATAIN_COMPRAS__2[[#This Row],[$/ UN NETO]]*DATAIN_COMPRAS__2[[#This Row],[IVA]]</f>
        <v>1000</v>
      </c>
      <c r="K1637" s="7">
        <f t="shared" si="44"/>
        <v>14000</v>
      </c>
      <c r="L1637" t="s">
        <v>237</v>
      </c>
    </row>
    <row r="1638" spans="1:12" x14ac:dyDescent="0.35">
      <c r="A1638" s="13">
        <v>45944</v>
      </c>
      <c r="B1638" t="s">
        <v>12</v>
      </c>
      <c r="C1638" t="s">
        <v>28</v>
      </c>
      <c r="E1638" s="8">
        <v>0.27</v>
      </c>
      <c r="F1638" s="1">
        <f>3000/DATAIN_COMPRAS__2[[#This Row],[CANT]]</f>
        <v>11111.111111111109</v>
      </c>
      <c r="H1638">
        <v>1</v>
      </c>
      <c r="J1638" s="2">
        <f>+DATAIN_COMPRAS__2[[#This Row],[$/ UN NETO]]*DATAIN_COMPRAS__2[[#This Row],[IVA]]</f>
        <v>11111.111111111109</v>
      </c>
      <c r="K1638" s="7">
        <f t="shared" si="44"/>
        <v>2999.9999999999995</v>
      </c>
      <c r="L1638" t="s">
        <v>237</v>
      </c>
    </row>
    <row r="1639" spans="1:12" x14ac:dyDescent="0.35">
      <c r="A1639" s="13">
        <v>45944</v>
      </c>
      <c r="B1639" t="s">
        <v>12</v>
      </c>
      <c r="C1639" t="s">
        <v>20</v>
      </c>
      <c r="E1639" s="8">
        <v>1</v>
      </c>
      <c r="F1639" s="1">
        <v>3800</v>
      </c>
      <c r="H1639">
        <v>1</v>
      </c>
      <c r="J1639" s="2">
        <f>+DATAIN_COMPRAS__2[[#This Row],[$/ UN NETO]]*DATAIN_COMPRAS__2[[#This Row],[IVA]]</f>
        <v>3800</v>
      </c>
      <c r="K1639" s="7">
        <f t="shared" si="44"/>
        <v>3800</v>
      </c>
      <c r="L1639" t="s">
        <v>237</v>
      </c>
    </row>
    <row r="1640" spans="1:12" x14ac:dyDescent="0.35">
      <c r="A1640" s="13">
        <v>45944</v>
      </c>
      <c r="B1640" t="s">
        <v>75</v>
      </c>
      <c r="C1640" t="s">
        <v>78</v>
      </c>
      <c r="E1640" s="8">
        <v>12</v>
      </c>
      <c r="F1640" s="1">
        <v>1285.1400000000001</v>
      </c>
      <c r="H1640">
        <v>1.21</v>
      </c>
      <c r="J1640" s="2">
        <f>+DATAIN_COMPRAS__2[[#This Row],[$/ UN NETO]]*DATAIN_COMPRAS__2[[#This Row],[IVA]]</f>
        <v>1555.0194000000001</v>
      </c>
      <c r="K1640" s="7">
        <f t="shared" si="44"/>
        <v>18660.232800000002</v>
      </c>
      <c r="L1640" t="s">
        <v>237</v>
      </c>
    </row>
    <row r="1641" spans="1:12" x14ac:dyDescent="0.35">
      <c r="A1641" s="13">
        <v>45944</v>
      </c>
      <c r="B1641" t="s">
        <v>75</v>
      </c>
      <c r="C1641" t="s">
        <v>76</v>
      </c>
      <c r="E1641" s="8">
        <v>72</v>
      </c>
      <c r="F1641" s="1">
        <v>1157.1600000000001</v>
      </c>
      <c r="H1641">
        <v>1.21</v>
      </c>
      <c r="J1641" s="2">
        <f>+DATAIN_COMPRAS__2[[#This Row],[$/ UN NETO]]*DATAIN_COMPRAS__2[[#This Row],[IVA]]</f>
        <v>1400.1636000000001</v>
      </c>
      <c r="K1641" s="7">
        <f t="shared" si="44"/>
        <v>100811.7792</v>
      </c>
      <c r="L1641" t="s">
        <v>237</v>
      </c>
    </row>
    <row r="1642" spans="1:12" x14ac:dyDescent="0.35">
      <c r="A1642" s="13">
        <v>45944</v>
      </c>
      <c r="B1642" t="s">
        <v>75</v>
      </c>
      <c r="C1642" t="s">
        <v>76</v>
      </c>
      <c r="E1642" s="8">
        <v>12</v>
      </c>
      <c r="F1642" s="1">
        <v>1157.1600000000001</v>
      </c>
      <c r="H1642">
        <v>1.21</v>
      </c>
      <c r="J1642" s="2">
        <f>+DATAIN_COMPRAS__2[[#This Row],[$/ UN NETO]]*DATAIN_COMPRAS__2[[#This Row],[IVA]]</f>
        <v>1400.1636000000001</v>
      </c>
      <c r="K1642" s="7">
        <f t="shared" si="44"/>
        <v>16801.963200000002</v>
      </c>
      <c r="L1642" t="s">
        <v>158</v>
      </c>
    </row>
    <row r="1643" spans="1:12" x14ac:dyDescent="0.35">
      <c r="A1643" s="13">
        <v>45945</v>
      </c>
      <c r="B1643" t="s">
        <v>185</v>
      </c>
      <c r="C1643" s="14" t="s">
        <v>189</v>
      </c>
      <c r="E1643" s="8">
        <f>25*5</f>
        <v>125</v>
      </c>
      <c r="F1643" s="1">
        <v>948.12</v>
      </c>
      <c r="H1643">
        <v>1</v>
      </c>
      <c r="J1643" s="2">
        <f>+DATAIN_COMPRAS__2[[#This Row],[$/ UN NETO]]*DATAIN_COMPRAS__2[[#This Row],[IVA]]</f>
        <v>948.12</v>
      </c>
      <c r="K1643" s="7">
        <f t="shared" si="44"/>
        <v>118515</v>
      </c>
      <c r="L1643" t="s">
        <v>158</v>
      </c>
    </row>
    <row r="1644" spans="1:12" x14ac:dyDescent="0.35">
      <c r="A1644" s="13">
        <v>45945</v>
      </c>
      <c r="B1644" t="s">
        <v>185</v>
      </c>
      <c r="C1644" t="s">
        <v>822</v>
      </c>
      <c r="E1644" s="8">
        <v>25</v>
      </c>
      <c r="F1644" s="1">
        <v>747.64</v>
      </c>
      <c r="H1644">
        <v>1</v>
      </c>
      <c r="J1644" s="2">
        <f>+DATAIN_COMPRAS__2[[#This Row],[$/ UN NETO]]*DATAIN_COMPRAS__2[[#This Row],[IVA]]</f>
        <v>747.64</v>
      </c>
      <c r="K1644" s="7">
        <f t="shared" si="44"/>
        <v>18691</v>
      </c>
      <c r="L1644" t="s">
        <v>158</v>
      </c>
    </row>
    <row r="1645" spans="1:12" x14ac:dyDescent="0.35">
      <c r="A1645" s="13">
        <v>45945</v>
      </c>
      <c r="B1645" t="s">
        <v>185</v>
      </c>
      <c r="C1645" s="14" t="s">
        <v>187</v>
      </c>
      <c r="E1645" s="8">
        <v>75</v>
      </c>
      <c r="F1645" s="1">
        <v>1069.1199999999999</v>
      </c>
      <c r="H1645">
        <v>1</v>
      </c>
      <c r="J1645" s="2">
        <f>+DATAIN_COMPRAS__2[[#This Row],[$/ UN NETO]]*DATAIN_COMPRAS__2[[#This Row],[IVA]]</f>
        <v>1069.1199999999999</v>
      </c>
      <c r="K1645" s="7">
        <f t="shared" si="44"/>
        <v>80183.999999999985</v>
      </c>
      <c r="L1645" t="s">
        <v>158</v>
      </c>
    </row>
    <row r="1646" spans="1:12" x14ac:dyDescent="0.35">
      <c r="A1646" s="13">
        <v>45945</v>
      </c>
      <c r="B1646" t="s">
        <v>796</v>
      </c>
      <c r="C1646" t="s">
        <v>825</v>
      </c>
      <c r="E1646" s="8"/>
      <c r="F1646" s="1"/>
      <c r="J1646" s="2"/>
      <c r="K1646" s="7">
        <v>20803</v>
      </c>
      <c r="L1646" t="s">
        <v>237</v>
      </c>
    </row>
    <row r="1647" spans="1:12" x14ac:dyDescent="0.35">
      <c r="A1647" s="13">
        <v>45945</v>
      </c>
      <c r="B1647" t="s">
        <v>796</v>
      </c>
      <c r="C1647" t="s">
        <v>825</v>
      </c>
      <c r="E1647" s="8"/>
      <c r="F1647" s="1"/>
      <c r="J1647" s="2"/>
      <c r="K1647" s="7">
        <v>15909</v>
      </c>
      <c r="L1647" t="s">
        <v>237</v>
      </c>
    </row>
    <row r="1648" spans="1:12" x14ac:dyDescent="0.35">
      <c r="A1648" s="13">
        <v>45945</v>
      </c>
      <c r="B1648" t="s">
        <v>256</v>
      </c>
      <c r="C1648" t="s">
        <v>792</v>
      </c>
      <c r="E1648" s="8">
        <v>5</v>
      </c>
      <c r="F1648" s="1">
        <f>37250.145/5</f>
        <v>7450.0289999999995</v>
      </c>
      <c r="H1648">
        <v>1.21</v>
      </c>
      <c r="I1648">
        <v>-2.4792999999999999E-2</v>
      </c>
      <c r="J1648" s="2">
        <f>+DATAIN_COMPRAS__2[[#This Row],[$/ UN NETO]]*DATAIN_COMPRAS__2[[#This Row],[IVA]]</f>
        <v>9014.5350899999994</v>
      </c>
      <c r="K1648" s="7">
        <f>(E1648*F1648)*(1-I1648)*(H1648)</f>
        <v>46190.162292431844</v>
      </c>
      <c r="L1648" t="s">
        <v>158</v>
      </c>
    </row>
    <row r="1649" spans="1:12" x14ac:dyDescent="0.35">
      <c r="A1649" s="13">
        <v>45945</v>
      </c>
      <c r="B1649" t="s">
        <v>256</v>
      </c>
      <c r="C1649" t="s">
        <v>776</v>
      </c>
      <c r="D1649" t="s">
        <v>368</v>
      </c>
      <c r="E1649" s="8">
        <v>25</v>
      </c>
      <c r="F1649" s="1">
        <f>268282.41/25</f>
        <v>10731.296399999999</v>
      </c>
      <c r="H1649">
        <v>1.21</v>
      </c>
      <c r="I1649">
        <v>-2.4792999999999999E-2</v>
      </c>
      <c r="J1649" s="2">
        <f>+DATAIN_COMPRAS__2[[#This Row],[$/ UN NETO]]*DATAIN_COMPRAS__2[[#This Row],[IVA]]</f>
        <v>12984.868643999998</v>
      </c>
      <c r="K1649" s="7">
        <f>(E1649*F1649)*(1-I1649)*(H1649)</f>
        <v>332670.06230726728</v>
      </c>
      <c r="L1649" t="s">
        <v>158</v>
      </c>
    </row>
    <row r="1650" spans="1:12" x14ac:dyDescent="0.35">
      <c r="A1650" s="13">
        <v>45945</v>
      </c>
      <c r="B1650" t="s">
        <v>256</v>
      </c>
      <c r="C1650" t="s">
        <v>160</v>
      </c>
      <c r="E1650" s="8">
        <v>3.32</v>
      </c>
      <c r="F1650" s="1">
        <v>8503.5478999999996</v>
      </c>
      <c r="H1650">
        <v>1.21</v>
      </c>
      <c r="I1650">
        <v>-2.4792999999999999E-2</v>
      </c>
      <c r="J1650" s="2">
        <f>+DATAIN_COMPRAS__2[[#This Row],[$/ UN NETO]]*DATAIN_COMPRAS__2[[#This Row],[IVA]]</f>
        <v>10289.292958999999</v>
      </c>
      <c r="K1650" s="7">
        <f>(E1650*F1650)*(1-I1650)*(H1650)</f>
        <v>35007.392725783851</v>
      </c>
      <c r="L1650" t="s">
        <v>158</v>
      </c>
    </row>
    <row r="1651" spans="1:12" x14ac:dyDescent="0.35">
      <c r="A1651" s="13">
        <v>45945</v>
      </c>
      <c r="B1651" t="s">
        <v>71</v>
      </c>
      <c r="C1651" t="s">
        <v>72</v>
      </c>
      <c r="E1651" s="8">
        <v>3</v>
      </c>
      <c r="F1651" s="1">
        <v>9270</v>
      </c>
      <c r="H1651">
        <v>1</v>
      </c>
      <c r="J1651" s="2">
        <f>+DATAIN_COMPRAS__2[[#This Row],[$/ UN NETO]]*DATAIN_COMPRAS__2[[#This Row],[IVA]]</f>
        <v>9270</v>
      </c>
      <c r="K1651" s="7">
        <f>(E1651*F1651)*(1-I1651)*(H1651)</f>
        <v>27810</v>
      </c>
      <c r="L1651" t="s">
        <v>237</v>
      </c>
    </row>
    <row r="1652" spans="1:12" x14ac:dyDescent="0.35">
      <c r="A1652" s="13">
        <v>45946</v>
      </c>
      <c r="B1652" t="s">
        <v>796</v>
      </c>
      <c r="C1652" t="s">
        <v>825</v>
      </c>
      <c r="E1652" s="8"/>
      <c r="F1652" s="1"/>
      <c r="J1652" s="2"/>
      <c r="K1652" s="7">
        <v>43338</v>
      </c>
      <c r="L1652" t="s">
        <v>237</v>
      </c>
    </row>
    <row r="1653" spans="1:12" x14ac:dyDescent="0.35">
      <c r="A1653" s="13">
        <v>45947</v>
      </c>
      <c r="B1653" t="s">
        <v>796</v>
      </c>
      <c r="C1653" t="s">
        <v>825</v>
      </c>
      <c r="E1653" s="8"/>
      <c r="F1653" s="1"/>
      <c r="J1653" s="2"/>
      <c r="K1653" s="7">
        <v>55229.18</v>
      </c>
      <c r="L1653" t="s">
        <v>237</v>
      </c>
    </row>
    <row r="1654" spans="1:12" x14ac:dyDescent="0.35">
      <c r="A1654" s="13">
        <v>45947</v>
      </c>
      <c r="B1654" t="s">
        <v>174</v>
      </c>
      <c r="C1654" t="s">
        <v>824</v>
      </c>
      <c r="E1654" s="8">
        <v>3</v>
      </c>
      <c r="F1654" s="1">
        <v>3611.57</v>
      </c>
      <c r="H1654">
        <v>1.21</v>
      </c>
      <c r="J1654" s="2">
        <f>+DATAIN_COMPRAS__2[[#This Row],[$/ UN NETO]]*DATAIN_COMPRAS__2[[#This Row],[IVA]]</f>
        <v>4369.9997000000003</v>
      </c>
      <c r="K1654" s="7">
        <f t="shared" ref="K1654:K1665" si="45">(E1654*F1654)*(1-I1654)*(H1654)</f>
        <v>13109.999100000001</v>
      </c>
      <c r="L1654" t="s">
        <v>158</v>
      </c>
    </row>
    <row r="1655" spans="1:12" x14ac:dyDescent="0.35">
      <c r="A1655" s="13">
        <v>45947</v>
      </c>
      <c r="B1655" t="s">
        <v>174</v>
      </c>
      <c r="C1655" t="s">
        <v>176</v>
      </c>
      <c r="E1655" s="8">
        <v>1</v>
      </c>
      <c r="F1655" s="1">
        <v>9743.7999999999993</v>
      </c>
      <c r="H1655">
        <v>1.21</v>
      </c>
      <c r="J1655" s="2">
        <f>+DATAIN_COMPRAS__2[[#This Row],[$/ UN NETO]]*DATAIN_COMPRAS__2[[#This Row],[IVA]]</f>
        <v>11789.998</v>
      </c>
      <c r="K1655" s="7">
        <f t="shared" si="45"/>
        <v>11789.998</v>
      </c>
      <c r="L1655" t="s">
        <v>158</v>
      </c>
    </row>
    <row r="1656" spans="1:12" x14ac:dyDescent="0.35">
      <c r="A1656" s="13">
        <v>45947</v>
      </c>
      <c r="B1656" t="s">
        <v>174</v>
      </c>
      <c r="C1656" t="s">
        <v>180</v>
      </c>
      <c r="E1656" s="8">
        <v>10</v>
      </c>
      <c r="F1656" s="1">
        <f>37330.58/10</f>
        <v>3733.058</v>
      </c>
      <c r="H1656">
        <v>1.21</v>
      </c>
      <c r="J1656" s="2">
        <f>+DATAIN_COMPRAS__2[[#This Row],[$/ UN NETO]]*DATAIN_COMPRAS__2[[#This Row],[IVA]]</f>
        <v>4517.00018</v>
      </c>
      <c r="K1656" s="7">
        <f t="shared" si="45"/>
        <v>45170.001799999998</v>
      </c>
      <c r="L1656" t="s">
        <v>158</v>
      </c>
    </row>
    <row r="1657" spans="1:12" x14ac:dyDescent="0.35">
      <c r="A1657" s="13">
        <v>45947</v>
      </c>
      <c r="B1657" t="s">
        <v>80</v>
      </c>
      <c r="C1657" t="s">
        <v>88</v>
      </c>
      <c r="E1657" s="8">
        <v>100</v>
      </c>
      <c r="F1657" s="1">
        <f>1652.89/100</f>
        <v>16.5289</v>
      </c>
      <c r="H1657">
        <v>1.21</v>
      </c>
      <c r="J1657" s="2">
        <f>+DATAIN_COMPRAS__2[[#This Row],[$/ UN NETO]]*DATAIN_COMPRAS__2[[#This Row],[IVA]]</f>
        <v>19.999969</v>
      </c>
      <c r="K1657" s="7">
        <f t="shared" si="45"/>
        <v>1999.9969000000001</v>
      </c>
      <c r="L1657" t="s">
        <v>237</v>
      </c>
    </row>
    <row r="1658" spans="1:12" x14ac:dyDescent="0.35">
      <c r="A1658" s="13">
        <v>45947</v>
      </c>
      <c r="B1658" t="s">
        <v>80</v>
      </c>
      <c r="C1658" t="s">
        <v>86</v>
      </c>
      <c r="E1658" s="8">
        <v>50</v>
      </c>
      <c r="F1658" s="1">
        <v>173.95</v>
      </c>
      <c r="H1658">
        <v>1.21</v>
      </c>
      <c r="J1658" s="2">
        <f>+DATAIN_COMPRAS__2[[#This Row],[$/ UN NETO]]*DATAIN_COMPRAS__2[[#This Row],[IVA]]</f>
        <v>210.47949999999997</v>
      </c>
      <c r="K1658" s="7">
        <f t="shared" si="45"/>
        <v>10523.975</v>
      </c>
      <c r="L1658" t="s">
        <v>237</v>
      </c>
    </row>
    <row r="1659" spans="1:12" x14ac:dyDescent="0.35">
      <c r="A1659" s="13">
        <v>45947</v>
      </c>
      <c r="B1659" t="s">
        <v>80</v>
      </c>
      <c r="C1659" t="s">
        <v>823</v>
      </c>
      <c r="E1659" s="8">
        <v>10</v>
      </c>
      <c r="F1659" s="1">
        <v>151.72999999999999</v>
      </c>
      <c r="H1659">
        <v>1.21</v>
      </c>
      <c r="J1659" s="2">
        <f>+DATAIN_COMPRAS__2[[#This Row],[$/ UN NETO]]*DATAIN_COMPRAS__2[[#This Row],[IVA]]</f>
        <v>183.59329999999997</v>
      </c>
      <c r="K1659" s="7">
        <f t="shared" si="45"/>
        <v>1835.933</v>
      </c>
      <c r="L1659" t="s">
        <v>158</v>
      </c>
    </row>
    <row r="1660" spans="1:12" x14ac:dyDescent="0.35">
      <c r="A1660" s="13">
        <v>45947</v>
      </c>
      <c r="B1660" t="s">
        <v>132</v>
      </c>
      <c r="C1660" t="s">
        <v>838</v>
      </c>
      <c r="E1660" s="8">
        <v>0.04</v>
      </c>
      <c r="F1660" s="1">
        <f>6000/DATAIN_COMPRAS__2[[#This Row],[CANT]]</f>
        <v>150000</v>
      </c>
      <c r="H1660">
        <v>1</v>
      </c>
      <c r="J1660" s="2">
        <f>+DATAIN_COMPRAS__2[[#This Row],[$/ UN NETO]]*DATAIN_COMPRAS__2[[#This Row],[IVA]]</f>
        <v>150000</v>
      </c>
      <c r="K1660" s="7">
        <f t="shared" si="45"/>
        <v>6000</v>
      </c>
      <c r="L1660" t="s">
        <v>237</v>
      </c>
    </row>
    <row r="1661" spans="1:12" x14ac:dyDescent="0.35">
      <c r="A1661" s="13">
        <v>45947</v>
      </c>
      <c r="B1661" t="s">
        <v>132</v>
      </c>
      <c r="C1661" t="s">
        <v>133</v>
      </c>
      <c r="E1661" s="8">
        <v>7.0000000000000007E-2</v>
      </c>
      <c r="F1661" s="1">
        <f>4000/DATAIN_COMPRAS__2[[#This Row],[CANT]]</f>
        <v>57142.857142857138</v>
      </c>
      <c r="H1661">
        <v>1</v>
      </c>
      <c r="J1661" s="2">
        <f>+DATAIN_COMPRAS__2[[#This Row],[$/ UN NETO]]*DATAIN_COMPRAS__2[[#This Row],[IVA]]</f>
        <v>57142.857142857138</v>
      </c>
      <c r="K1661" s="7">
        <f t="shared" si="45"/>
        <v>4000</v>
      </c>
      <c r="L1661" t="s">
        <v>237</v>
      </c>
    </row>
    <row r="1662" spans="1:12" x14ac:dyDescent="0.35">
      <c r="A1662" s="13">
        <v>45947</v>
      </c>
      <c r="B1662" t="s">
        <v>12</v>
      </c>
      <c r="C1662" t="s">
        <v>109</v>
      </c>
      <c r="E1662" s="8">
        <v>0.98</v>
      </c>
      <c r="F1662" s="1">
        <v>8416.2900000000009</v>
      </c>
      <c r="H1662">
        <v>1.105</v>
      </c>
      <c r="J1662" s="2">
        <f>+DATAIN_COMPRAS__2[[#This Row],[$/ UN NETO]]*DATAIN_COMPRAS__2[[#This Row],[IVA]]</f>
        <v>9300.0004500000014</v>
      </c>
      <c r="K1662" s="7">
        <f t="shared" si="45"/>
        <v>9114.0004410000001</v>
      </c>
      <c r="L1662" t="s">
        <v>158</v>
      </c>
    </row>
    <row r="1663" spans="1:12" x14ac:dyDescent="0.35">
      <c r="A1663" s="13">
        <v>45947</v>
      </c>
      <c r="B1663" t="s">
        <v>12</v>
      </c>
      <c r="C1663" t="s">
        <v>25</v>
      </c>
      <c r="E1663" s="8">
        <f>0.44+0.4</f>
        <v>0.84000000000000008</v>
      </c>
      <c r="F1663" s="1">
        <v>7511.31</v>
      </c>
      <c r="H1663">
        <v>1.105</v>
      </c>
      <c r="J1663" s="2">
        <f>+DATAIN_COMPRAS__2[[#This Row],[$/ UN NETO]]*DATAIN_COMPRAS__2[[#This Row],[IVA]]</f>
        <v>8299.99755</v>
      </c>
      <c r="K1663" s="7">
        <f t="shared" si="45"/>
        <v>6971.9979420000009</v>
      </c>
      <c r="L1663" t="s">
        <v>158</v>
      </c>
    </row>
    <row r="1664" spans="1:12" x14ac:dyDescent="0.35">
      <c r="A1664" s="13">
        <v>45947</v>
      </c>
      <c r="B1664" t="s">
        <v>12</v>
      </c>
      <c r="C1664" t="s">
        <v>300</v>
      </c>
      <c r="E1664" s="8">
        <v>1</v>
      </c>
      <c r="F1664" s="1">
        <v>1628.96</v>
      </c>
      <c r="H1664">
        <v>1.105</v>
      </c>
      <c r="J1664" s="2">
        <f>+DATAIN_COMPRAS__2[[#This Row],[$/ UN NETO]]*DATAIN_COMPRAS__2[[#This Row],[IVA]]</f>
        <v>1800.0008</v>
      </c>
      <c r="K1664" s="7">
        <f t="shared" si="45"/>
        <v>1800.0008</v>
      </c>
      <c r="L1664" t="s">
        <v>158</v>
      </c>
    </row>
    <row r="1665" spans="1:12" x14ac:dyDescent="0.35">
      <c r="A1665" s="13">
        <v>45947</v>
      </c>
      <c r="B1665" t="s">
        <v>12</v>
      </c>
      <c r="C1665" t="s">
        <v>17</v>
      </c>
      <c r="E1665" s="8">
        <v>1.095</v>
      </c>
      <c r="F1665" s="1">
        <v>2533.94</v>
      </c>
      <c r="H1665">
        <v>1.105</v>
      </c>
      <c r="J1665" s="2">
        <f>+DATAIN_COMPRAS__2[[#This Row],[$/ UN NETO]]*DATAIN_COMPRAS__2[[#This Row],[IVA]]</f>
        <v>2800.0037000000002</v>
      </c>
      <c r="K1665" s="7">
        <f t="shared" si="45"/>
        <v>3066.0040515000001</v>
      </c>
      <c r="L1665" t="s">
        <v>158</v>
      </c>
    </row>
    <row r="1666" spans="1:12" x14ac:dyDescent="0.35">
      <c r="A1666" s="13">
        <v>45948</v>
      </c>
      <c r="B1666" t="s">
        <v>796</v>
      </c>
      <c r="C1666" t="s">
        <v>825</v>
      </c>
      <c r="E1666" s="8"/>
      <c r="F1666" s="1"/>
      <c r="J1666" s="2"/>
      <c r="K1666" s="7">
        <v>4200</v>
      </c>
      <c r="L1666" t="s">
        <v>237</v>
      </c>
    </row>
    <row r="1667" spans="1:12" x14ac:dyDescent="0.35">
      <c r="A1667" s="13">
        <v>45948</v>
      </c>
      <c r="B1667" t="s">
        <v>796</v>
      </c>
      <c r="C1667" t="s">
        <v>825</v>
      </c>
      <c r="E1667" s="8"/>
      <c r="F1667" s="1"/>
      <c r="J1667" s="2"/>
      <c r="K1667" s="7">
        <v>13217.29</v>
      </c>
      <c r="L1667" t="s">
        <v>237</v>
      </c>
    </row>
    <row r="1668" spans="1:12" x14ac:dyDescent="0.35">
      <c r="A1668" s="13">
        <v>45948</v>
      </c>
      <c r="B1668" t="s">
        <v>796</v>
      </c>
      <c r="C1668" t="s">
        <v>825</v>
      </c>
      <c r="E1668" s="8"/>
      <c r="F1668" s="1"/>
      <c r="J1668" s="2"/>
      <c r="K1668" s="7">
        <v>3561</v>
      </c>
      <c r="L1668" t="s">
        <v>237</v>
      </c>
    </row>
    <row r="1669" spans="1:12" x14ac:dyDescent="0.35">
      <c r="A1669" s="13">
        <v>45948</v>
      </c>
      <c r="B1669" t="s">
        <v>796</v>
      </c>
      <c r="C1669" t="s">
        <v>825</v>
      </c>
      <c r="E1669" s="8"/>
      <c r="F1669" s="1"/>
      <c r="J1669" s="2"/>
      <c r="K1669" s="7">
        <v>42819</v>
      </c>
      <c r="L1669" t="s">
        <v>237</v>
      </c>
    </row>
    <row r="1670" spans="1:12" x14ac:dyDescent="0.35">
      <c r="A1670" s="13">
        <v>45948</v>
      </c>
      <c r="B1670" t="s">
        <v>796</v>
      </c>
      <c r="C1670" t="s">
        <v>825</v>
      </c>
      <c r="E1670" s="8"/>
      <c r="F1670" s="1"/>
      <c r="J1670" s="2"/>
      <c r="K1670" s="7">
        <v>83996</v>
      </c>
      <c r="L1670" t="s">
        <v>237</v>
      </c>
    </row>
    <row r="1671" spans="1:12" x14ac:dyDescent="0.35">
      <c r="A1671" s="13">
        <v>45948</v>
      </c>
      <c r="B1671" t="s">
        <v>796</v>
      </c>
      <c r="C1671" t="s">
        <v>825</v>
      </c>
      <c r="E1671" s="8"/>
      <c r="F1671" s="1"/>
      <c r="J1671" s="2"/>
      <c r="K1671" s="7">
        <v>25432</v>
      </c>
      <c r="L1671" t="s">
        <v>237</v>
      </c>
    </row>
    <row r="1672" spans="1:12" x14ac:dyDescent="0.35">
      <c r="A1672" s="13">
        <v>45948</v>
      </c>
      <c r="B1672" t="s">
        <v>174</v>
      </c>
      <c r="C1672" t="s">
        <v>176</v>
      </c>
      <c r="E1672" s="8">
        <v>1</v>
      </c>
      <c r="F1672" s="1">
        <v>9743.7999999999993</v>
      </c>
      <c r="H1672">
        <v>1.21</v>
      </c>
      <c r="J1672" s="2">
        <f>+DATAIN_COMPRAS__2[[#This Row],[$/ UN NETO]]*DATAIN_COMPRAS__2[[#This Row],[IVA]]</f>
        <v>11789.998</v>
      </c>
      <c r="K1672" s="7">
        <f>(E1672*F1672)*(1-I1672)*(H1672)</f>
        <v>11789.998</v>
      </c>
      <c r="L1672" t="s">
        <v>158</v>
      </c>
    </row>
    <row r="1673" spans="1:12" x14ac:dyDescent="0.35">
      <c r="A1673" s="13">
        <v>45948</v>
      </c>
      <c r="B1673" t="s">
        <v>174</v>
      </c>
      <c r="C1673" t="s">
        <v>180</v>
      </c>
      <c r="E1673" s="8">
        <v>10</v>
      </c>
      <c r="F1673" s="1">
        <f>37330.58/10</f>
        <v>3733.058</v>
      </c>
      <c r="H1673">
        <v>1.21</v>
      </c>
      <c r="J1673" s="2">
        <f>+DATAIN_COMPRAS__2[[#This Row],[$/ UN NETO]]*DATAIN_COMPRAS__2[[#This Row],[IVA]]</f>
        <v>4517.00018</v>
      </c>
      <c r="K1673" s="7">
        <f>(E1673*F1673)*(1-I1673)*(H1673)</f>
        <v>45170.001799999998</v>
      </c>
      <c r="L1673" t="s">
        <v>158</v>
      </c>
    </row>
    <row r="1674" spans="1:12" x14ac:dyDescent="0.35">
      <c r="A1674" s="13">
        <v>45948</v>
      </c>
      <c r="B1674" t="s">
        <v>174</v>
      </c>
      <c r="C1674" t="s">
        <v>823</v>
      </c>
      <c r="E1674" s="8">
        <v>5</v>
      </c>
      <c r="F1674" s="1">
        <v>268.60000000000002</v>
      </c>
      <c r="H1674">
        <v>1.21</v>
      </c>
      <c r="J1674" s="2">
        <f>+DATAIN_COMPRAS__2[[#This Row],[$/ UN NETO]]*DATAIN_COMPRAS__2[[#This Row],[IVA]]</f>
        <v>325.00600000000003</v>
      </c>
      <c r="K1674" s="7">
        <f>(E1674*F1674)*(1-I1674)*(H1674)</f>
        <v>1625.03</v>
      </c>
      <c r="L1674" t="s">
        <v>158</v>
      </c>
    </row>
    <row r="1675" spans="1:12" x14ac:dyDescent="0.35">
      <c r="A1675" s="13">
        <v>45949</v>
      </c>
      <c r="B1675" t="s">
        <v>796</v>
      </c>
      <c r="C1675" t="s">
        <v>825</v>
      </c>
      <c r="E1675" s="8"/>
      <c r="F1675" s="1"/>
      <c r="J1675" s="2"/>
      <c r="K1675" s="7">
        <v>10683</v>
      </c>
      <c r="L1675" t="s">
        <v>237</v>
      </c>
    </row>
    <row r="1676" spans="1:12" x14ac:dyDescent="0.35">
      <c r="A1676" s="13">
        <v>45949</v>
      </c>
      <c r="B1676" t="s">
        <v>796</v>
      </c>
      <c r="C1676" t="s">
        <v>825</v>
      </c>
      <c r="E1676" s="8"/>
      <c r="F1676" s="1"/>
      <c r="J1676" s="2"/>
      <c r="K1676" s="7">
        <v>72431.88</v>
      </c>
      <c r="L1676" t="s">
        <v>237</v>
      </c>
    </row>
    <row r="1677" spans="1:12" x14ac:dyDescent="0.35">
      <c r="A1677" s="13">
        <v>45949</v>
      </c>
      <c r="B1677" t="s">
        <v>796</v>
      </c>
      <c r="C1677" t="s">
        <v>825</v>
      </c>
      <c r="E1677" s="8"/>
      <c r="F1677" s="1"/>
      <c r="J1677" s="2"/>
      <c r="K1677" s="7">
        <v>10683</v>
      </c>
      <c r="L1677" t="s">
        <v>237</v>
      </c>
    </row>
    <row r="1678" spans="1:12" x14ac:dyDescent="0.35">
      <c r="A1678" s="13">
        <v>45949</v>
      </c>
      <c r="B1678" t="s">
        <v>12</v>
      </c>
      <c r="C1678" t="s">
        <v>109</v>
      </c>
      <c r="E1678" s="8">
        <v>0.6</v>
      </c>
      <c r="F1678" s="1">
        <v>8416.26</v>
      </c>
      <c r="H1678">
        <v>1</v>
      </c>
      <c r="J1678" s="2">
        <f>+DATAIN_COMPRAS__2[[#This Row],[$/ UN NETO]]*DATAIN_COMPRAS__2[[#This Row],[IVA]]</f>
        <v>8416.26</v>
      </c>
      <c r="K1678" s="7">
        <f>(E1678*F1678)*(1-I1678)*(H1678)</f>
        <v>5049.7560000000003</v>
      </c>
      <c r="L1678" t="s">
        <v>237</v>
      </c>
    </row>
    <row r="1679" spans="1:12" x14ac:dyDescent="0.35">
      <c r="A1679" s="13">
        <v>45949</v>
      </c>
      <c r="B1679" t="s">
        <v>12</v>
      </c>
      <c r="C1679" t="s">
        <v>25</v>
      </c>
      <c r="E1679" s="8">
        <v>0.61</v>
      </c>
      <c r="F1679" s="1">
        <v>7511.31</v>
      </c>
      <c r="H1679">
        <v>1</v>
      </c>
      <c r="J1679" s="2">
        <f>+DATAIN_COMPRAS__2[[#This Row],[$/ UN NETO]]*DATAIN_COMPRAS__2[[#This Row],[IVA]]</f>
        <v>7511.31</v>
      </c>
      <c r="K1679" s="7">
        <f>(E1679*F1679)*(1-I1679)*(H1679)</f>
        <v>4581.8991000000005</v>
      </c>
      <c r="L1679" t="s">
        <v>237</v>
      </c>
    </row>
    <row r="1680" spans="1:12" x14ac:dyDescent="0.35">
      <c r="A1680" s="13">
        <v>45949</v>
      </c>
      <c r="B1680" t="s">
        <v>12</v>
      </c>
      <c r="C1680" t="s">
        <v>300</v>
      </c>
      <c r="E1680" s="8">
        <v>1</v>
      </c>
      <c r="F1680" s="1">
        <v>1628.96</v>
      </c>
      <c r="H1680">
        <v>1</v>
      </c>
      <c r="J1680" s="2">
        <f>+DATAIN_COMPRAS__2[[#This Row],[$/ UN NETO]]*DATAIN_COMPRAS__2[[#This Row],[IVA]]</f>
        <v>1628.96</v>
      </c>
      <c r="K1680" s="7">
        <f>(E1680*F1680)*(1-I1680)*(H1680)</f>
        <v>1628.96</v>
      </c>
      <c r="L1680" t="s">
        <v>237</v>
      </c>
    </row>
    <row r="1681" spans="1:12" x14ac:dyDescent="0.35">
      <c r="A1681" s="13">
        <v>45950</v>
      </c>
      <c r="B1681" t="s">
        <v>796</v>
      </c>
      <c r="C1681" t="s">
        <v>825</v>
      </c>
      <c r="E1681" s="8"/>
      <c r="F1681" s="1"/>
      <c r="J1681" s="2"/>
      <c r="K1681" s="7">
        <v>47962.78</v>
      </c>
      <c r="L1681" t="s">
        <v>237</v>
      </c>
    </row>
    <row r="1682" spans="1:12" x14ac:dyDescent="0.35">
      <c r="A1682" s="13">
        <v>45950</v>
      </c>
      <c r="B1682" t="s">
        <v>174</v>
      </c>
      <c r="C1682" t="s">
        <v>176</v>
      </c>
      <c r="E1682" s="8">
        <v>1</v>
      </c>
      <c r="F1682" s="1">
        <v>9743.7999999999993</v>
      </c>
      <c r="H1682">
        <v>1.21</v>
      </c>
      <c r="J1682" s="2">
        <f>+DATAIN_COMPRAS__2[[#This Row],[$/ UN NETO]]*DATAIN_COMPRAS__2[[#This Row],[IVA]]</f>
        <v>11789.998</v>
      </c>
      <c r="K1682" s="7">
        <f t="shared" ref="K1682:K1688" si="46">(E1682*F1682)*(1-I1682)*(H1682)</f>
        <v>11789.998</v>
      </c>
      <c r="L1682" t="s">
        <v>158</v>
      </c>
    </row>
    <row r="1683" spans="1:12" x14ac:dyDescent="0.35">
      <c r="A1683" s="13">
        <v>45950</v>
      </c>
      <c r="B1683" t="s">
        <v>324</v>
      </c>
      <c r="C1683" t="s">
        <v>326</v>
      </c>
      <c r="E1683" s="8">
        <v>0.25</v>
      </c>
      <c r="F1683" s="1">
        <f>36300/0.25</f>
        <v>145200</v>
      </c>
      <c r="H1683">
        <v>1</v>
      </c>
      <c r="J1683" s="2">
        <f>+DATAIN_COMPRAS__2[[#This Row],[$/ UN NETO]]*DATAIN_COMPRAS__2[[#This Row],[IVA]]</f>
        <v>145200</v>
      </c>
      <c r="K1683" s="7">
        <f t="shared" si="46"/>
        <v>36300</v>
      </c>
      <c r="L1683" t="s">
        <v>255</v>
      </c>
    </row>
    <row r="1684" spans="1:12" x14ac:dyDescent="0.35">
      <c r="A1684" s="13">
        <v>45950</v>
      </c>
      <c r="B1684" t="s">
        <v>324</v>
      </c>
      <c r="C1684" t="s">
        <v>325</v>
      </c>
      <c r="E1684" s="8">
        <v>0.25</v>
      </c>
      <c r="F1684" s="1">
        <f>36300/0.25</f>
        <v>145200</v>
      </c>
      <c r="H1684">
        <v>1</v>
      </c>
      <c r="J1684" s="2">
        <f>+DATAIN_COMPRAS__2[[#This Row],[$/ UN NETO]]*DATAIN_COMPRAS__2[[#This Row],[IVA]]</f>
        <v>145200</v>
      </c>
      <c r="K1684" s="7">
        <f t="shared" si="46"/>
        <v>36300</v>
      </c>
      <c r="L1684" t="s">
        <v>255</v>
      </c>
    </row>
    <row r="1685" spans="1:12" x14ac:dyDescent="0.35">
      <c r="A1685" s="13">
        <v>45951</v>
      </c>
      <c r="B1685" t="s">
        <v>827</v>
      </c>
      <c r="C1685" t="s">
        <v>103</v>
      </c>
      <c r="E1685" s="8">
        <v>360</v>
      </c>
      <c r="F1685" s="1">
        <f>67000/360</f>
        <v>186.11111111111111</v>
      </c>
      <c r="H1685">
        <v>1</v>
      </c>
      <c r="J1685" s="2">
        <f>+DATAIN_COMPRAS__2[[#This Row],[$/ UN NETO]]*DATAIN_COMPRAS__2[[#This Row],[IVA]]</f>
        <v>186.11111111111111</v>
      </c>
      <c r="K1685" s="7">
        <f t="shared" si="46"/>
        <v>67000</v>
      </c>
      <c r="L1685" t="s">
        <v>255</v>
      </c>
    </row>
    <row r="1686" spans="1:12" x14ac:dyDescent="0.35">
      <c r="A1686" s="13">
        <v>45951</v>
      </c>
      <c r="B1686" t="s">
        <v>75</v>
      </c>
      <c r="C1686" t="s">
        <v>76</v>
      </c>
      <c r="E1686">
        <v>60</v>
      </c>
      <c r="F1686" s="1">
        <v>1157.1600000000001</v>
      </c>
      <c r="H1686">
        <v>1.21</v>
      </c>
      <c r="J1686" s="2">
        <f>+DATAIN_COMPRAS__2[[#This Row],[$/ UN NETO]]*DATAIN_COMPRAS__2[[#This Row],[IVA]]</f>
        <v>1400.1636000000001</v>
      </c>
      <c r="K1686" s="7">
        <f t="shared" si="46"/>
        <v>84009.816000000006</v>
      </c>
      <c r="L1686" t="s">
        <v>237</v>
      </c>
    </row>
    <row r="1687" spans="1:12" x14ac:dyDescent="0.35">
      <c r="A1687" s="13">
        <v>45951</v>
      </c>
      <c r="B1687" t="s">
        <v>75</v>
      </c>
      <c r="C1687" t="s">
        <v>76</v>
      </c>
      <c r="E1687" s="8">
        <v>12</v>
      </c>
      <c r="F1687" s="1">
        <v>11157.16</v>
      </c>
      <c r="H1687">
        <v>1.21</v>
      </c>
      <c r="J1687" s="2">
        <f>+DATAIN_COMPRAS__2[[#This Row],[$/ UN NETO]]*DATAIN_COMPRAS__2[[#This Row],[IVA]]</f>
        <v>13500.1636</v>
      </c>
      <c r="K1687" s="7">
        <f t="shared" si="46"/>
        <v>162001.96319999997</v>
      </c>
      <c r="L1687" t="s">
        <v>158</v>
      </c>
    </row>
    <row r="1688" spans="1:12" x14ac:dyDescent="0.35">
      <c r="A1688" s="13">
        <v>45951</v>
      </c>
      <c r="B1688" t="s">
        <v>801</v>
      </c>
      <c r="C1688" t="s">
        <v>799</v>
      </c>
      <c r="E1688" s="8">
        <f>0.19*2</f>
        <v>0.38</v>
      </c>
      <c r="F1688" s="1">
        <f>3298/DATAIN_COMPRAS__2[[#This Row],[CANT]]</f>
        <v>8678.9473684210534</v>
      </c>
      <c r="H1688">
        <v>1</v>
      </c>
      <c r="J1688" s="2">
        <f>+DATAIN_COMPRAS__2[[#This Row],[$/ UN NETO]]*DATAIN_COMPRAS__2[[#This Row],[IVA]]</f>
        <v>8678.9473684210534</v>
      </c>
      <c r="K1688" s="7">
        <f t="shared" si="46"/>
        <v>3298.0000000000005</v>
      </c>
      <c r="L1688" t="s">
        <v>237</v>
      </c>
    </row>
    <row r="1689" spans="1:12" x14ac:dyDescent="0.35">
      <c r="A1689" s="13">
        <v>45952</v>
      </c>
      <c r="B1689" t="s">
        <v>796</v>
      </c>
      <c r="C1689" t="s">
        <v>825</v>
      </c>
      <c r="E1689" s="8"/>
      <c r="F1689" s="1"/>
      <c r="J1689" s="2"/>
      <c r="K1689" s="7">
        <v>32053</v>
      </c>
      <c r="L1689" t="s">
        <v>237</v>
      </c>
    </row>
    <row r="1690" spans="1:12" x14ac:dyDescent="0.35">
      <c r="A1690" s="13">
        <v>45952</v>
      </c>
      <c r="B1690" t="s">
        <v>48</v>
      </c>
      <c r="C1690" t="s">
        <v>79</v>
      </c>
      <c r="E1690" s="8">
        <v>0.25</v>
      </c>
      <c r="F1690" s="1">
        <f>4644.6433/DATAIN_COMPRAS__2[[#This Row],[CANT]]</f>
        <v>18578.573199999999</v>
      </c>
      <c r="H1690">
        <v>1.21</v>
      </c>
      <c r="I1690">
        <v>0.06</v>
      </c>
      <c r="J1690" s="2">
        <f>+DATAIN_COMPRAS__2[[#This Row],[$/ UN NETO]]*DATAIN_COMPRAS__2[[#This Row],[IVA]]</f>
        <v>22480.073571999998</v>
      </c>
      <c r="K1690" s="7">
        <f t="shared" ref="K1690:K1702" si="47">(E1690*F1690)*(1-I1690)*(H1690)</f>
        <v>5282.8172894199988</v>
      </c>
      <c r="L1690" t="s">
        <v>237</v>
      </c>
    </row>
    <row r="1691" spans="1:12" x14ac:dyDescent="0.35">
      <c r="A1691" s="13">
        <v>45952</v>
      </c>
      <c r="B1691" t="s">
        <v>48</v>
      </c>
      <c r="C1691" t="s">
        <v>51</v>
      </c>
      <c r="E1691" s="8">
        <v>3.48</v>
      </c>
      <c r="F1691" s="1">
        <v>10729.9195</v>
      </c>
      <c r="H1691">
        <v>1.21</v>
      </c>
      <c r="I1691">
        <v>0.06</v>
      </c>
      <c r="J1691" s="2">
        <f>+DATAIN_COMPRAS__2[[#This Row],[$/ UN NETO]]*DATAIN_COMPRAS__2[[#This Row],[IVA]]</f>
        <v>12983.202594999999</v>
      </c>
      <c r="K1691" s="7">
        <f t="shared" si="47"/>
        <v>42470.652328763994</v>
      </c>
      <c r="L1691" t="s">
        <v>237</v>
      </c>
    </row>
    <row r="1692" spans="1:12" x14ac:dyDescent="0.35">
      <c r="A1692" s="13">
        <v>45952</v>
      </c>
      <c r="B1692" t="s">
        <v>48</v>
      </c>
      <c r="C1692" t="s">
        <v>53</v>
      </c>
      <c r="E1692" s="8">
        <v>4</v>
      </c>
      <c r="F1692" s="1">
        <f>1142.46/2</f>
        <v>571.23</v>
      </c>
      <c r="H1692">
        <v>1.21</v>
      </c>
      <c r="J1692" s="2">
        <f>+DATAIN_COMPRAS__2[[#This Row],[$/ UN NETO]]*DATAIN_COMPRAS__2[[#This Row],[IVA]]</f>
        <v>691.18830000000003</v>
      </c>
      <c r="K1692" s="7">
        <f t="shared" si="47"/>
        <v>2764.7532000000001</v>
      </c>
      <c r="L1692" t="s">
        <v>237</v>
      </c>
    </row>
    <row r="1693" spans="1:12" x14ac:dyDescent="0.35">
      <c r="A1693" s="13">
        <v>45952</v>
      </c>
      <c r="B1693" t="s">
        <v>48</v>
      </c>
      <c r="C1693" t="s">
        <v>52</v>
      </c>
      <c r="E1693" s="8">
        <v>3.58</v>
      </c>
      <c r="F1693" s="1">
        <v>6650.2920000000004</v>
      </c>
      <c r="H1693">
        <v>1.21</v>
      </c>
      <c r="J1693" s="2">
        <f>+DATAIN_COMPRAS__2[[#This Row],[$/ UN NETO]]*DATAIN_COMPRAS__2[[#This Row],[IVA]]</f>
        <v>8046.8533200000002</v>
      </c>
      <c r="K1693" s="7">
        <f t="shared" si="47"/>
        <v>28807.734885599999</v>
      </c>
      <c r="L1693" t="s">
        <v>237</v>
      </c>
    </row>
    <row r="1694" spans="1:12" x14ac:dyDescent="0.35">
      <c r="A1694" s="13">
        <v>45952</v>
      </c>
      <c r="B1694" t="s">
        <v>48</v>
      </c>
      <c r="C1694" t="s">
        <v>833</v>
      </c>
      <c r="E1694" s="8">
        <v>4</v>
      </c>
      <c r="F1694" s="1">
        <f>20025.3261/4</f>
        <v>5006.3315249999996</v>
      </c>
      <c r="H1694">
        <v>1.21</v>
      </c>
      <c r="I1694">
        <v>0.06</v>
      </c>
      <c r="J1694" s="2">
        <f>+DATAIN_COMPRAS__2[[#This Row],[$/ UN NETO]]*DATAIN_COMPRAS__2[[#This Row],[IVA]]</f>
        <v>6057.6611452499992</v>
      </c>
      <c r="K1694" s="7">
        <f t="shared" si="47"/>
        <v>22776.805906139994</v>
      </c>
      <c r="L1694" t="s">
        <v>237</v>
      </c>
    </row>
    <row r="1695" spans="1:12" x14ac:dyDescent="0.35">
      <c r="A1695" s="13">
        <v>45952</v>
      </c>
      <c r="B1695" t="s">
        <v>12</v>
      </c>
      <c r="C1695" t="s">
        <v>26</v>
      </c>
      <c r="E1695" s="8">
        <v>6</v>
      </c>
      <c r="F1695" s="1">
        <v>2600</v>
      </c>
      <c r="H1695">
        <v>1</v>
      </c>
      <c r="J1695" s="2">
        <f>+DATAIN_COMPRAS__2[[#This Row],[$/ UN NETO]]*DATAIN_COMPRAS__2[[#This Row],[IVA]]</f>
        <v>2600</v>
      </c>
      <c r="K1695" s="7">
        <f t="shared" si="47"/>
        <v>15600</v>
      </c>
      <c r="L1695" t="s">
        <v>237</v>
      </c>
    </row>
    <row r="1696" spans="1:12" x14ac:dyDescent="0.35">
      <c r="A1696" s="13">
        <v>45952</v>
      </c>
      <c r="B1696" t="s">
        <v>12</v>
      </c>
      <c r="C1696" t="s">
        <v>39</v>
      </c>
      <c r="E1696" s="8">
        <v>0.69</v>
      </c>
      <c r="F1696" s="1">
        <v>2000</v>
      </c>
      <c r="H1696">
        <v>1</v>
      </c>
      <c r="J1696" s="2">
        <f>+DATAIN_COMPRAS__2[[#This Row],[$/ UN NETO]]*DATAIN_COMPRAS__2[[#This Row],[IVA]]</f>
        <v>2000</v>
      </c>
      <c r="K1696" s="7">
        <f t="shared" si="47"/>
        <v>1380</v>
      </c>
      <c r="L1696" t="s">
        <v>237</v>
      </c>
    </row>
    <row r="1697" spans="1:12" x14ac:dyDescent="0.35">
      <c r="A1697" s="13">
        <v>45952</v>
      </c>
      <c r="B1697" t="s">
        <v>12</v>
      </c>
      <c r="C1697" t="s">
        <v>28</v>
      </c>
      <c r="E1697" s="8">
        <v>0.27</v>
      </c>
      <c r="F1697" s="1">
        <f>3000/0.27</f>
        <v>11111.111111111109</v>
      </c>
      <c r="H1697">
        <v>1</v>
      </c>
      <c r="J1697" s="2">
        <f>+DATAIN_COMPRAS__2[[#This Row],[$/ UN NETO]]*DATAIN_COMPRAS__2[[#This Row],[IVA]]</f>
        <v>11111.111111111109</v>
      </c>
      <c r="K1697" s="7">
        <f t="shared" si="47"/>
        <v>2999.9999999999995</v>
      </c>
      <c r="L1697" t="s">
        <v>237</v>
      </c>
    </row>
    <row r="1698" spans="1:12" x14ac:dyDescent="0.35">
      <c r="A1698" s="13">
        <v>45952</v>
      </c>
      <c r="B1698" t="s">
        <v>12</v>
      </c>
      <c r="C1698" t="s">
        <v>20</v>
      </c>
      <c r="E1698" s="8">
        <v>1</v>
      </c>
      <c r="F1698" s="1">
        <v>3500</v>
      </c>
      <c r="H1698">
        <v>1</v>
      </c>
      <c r="J1698" s="2">
        <f>+DATAIN_COMPRAS__2[[#This Row],[$/ UN NETO]]*DATAIN_COMPRAS__2[[#This Row],[IVA]]</f>
        <v>3500</v>
      </c>
      <c r="K1698" s="7">
        <f t="shared" si="47"/>
        <v>3500</v>
      </c>
      <c r="L1698" t="s">
        <v>237</v>
      </c>
    </row>
    <row r="1699" spans="1:12" x14ac:dyDescent="0.35">
      <c r="A1699" s="13">
        <v>45952</v>
      </c>
      <c r="B1699" t="s">
        <v>12</v>
      </c>
      <c r="C1699" t="s">
        <v>30</v>
      </c>
      <c r="E1699" s="8">
        <v>1</v>
      </c>
      <c r="F1699" s="1">
        <v>950</v>
      </c>
      <c r="H1699">
        <v>1</v>
      </c>
      <c r="J1699" s="2">
        <f>+DATAIN_COMPRAS__2[[#This Row],[$/ UN NETO]]*DATAIN_COMPRAS__2[[#This Row],[IVA]]</f>
        <v>950</v>
      </c>
      <c r="K1699" s="7">
        <f t="shared" si="47"/>
        <v>950</v>
      </c>
      <c r="L1699" t="s">
        <v>237</v>
      </c>
    </row>
    <row r="1700" spans="1:12" x14ac:dyDescent="0.35">
      <c r="A1700" s="13">
        <v>45952</v>
      </c>
      <c r="B1700" t="s">
        <v>179</v>
      </c>
      <c r="C1700" t="s">
        <v>180</v>
      </c>
      <c r="E1700" s="8">
        <v>10</v>
      </c>
      <c r="F1700" s="1">
        <f>35291.2/10</f>
        <v>3529.12</v>
      </c>
      <c r="H1700">
        <v>1.21</v>
      </c>
      <c r="I1700">
        <v>0.05</v>
      </c>
      <c r="J1700" s="2">
        <f>+DATAIN_COMPRAS__2[[#This Row],[$/ UN NETO]]*DATAIN_COMPRAS__2[[#This Row],[IVA]]</f>
        <v>4270.2352000000001</v>
      </c>
      <c r="K1700" s="7">
        <f t="shared" si="47"/>
        <v>40567.234399999987</v>
      </c>
      <c r="L1700" t="s">
        <v>158</v>
      </c>
    </row>
    <row r="1701" spans="1:12" x14ac:dyDescent="0.35">
      <c r="A1701" s="13">
        <v>45953</v>
      </c>
      <c r="B1701" t="s">
        <v>124</v>
      </c>
      <c r="C1701" t="s">
        <v>829</v>
      </c>
      <c r="E1701" s="8">
        <v>6</v>
      </c>
      <c r="F1701" s="1">
        <v>36000</v>
      </c>
      <c r="H1701">
        <v>1</v>
      </c>
      <c r="J1701" s="2">
        <f>+DATAIN_COMPRAS__2[[#This Row],[$/ UN NETO]]*DATAIN_COMPRAS__2[[#This Row],[IVA]]</f>
        <v>36000</v>
      </c>
      <c r="K1701" s="7">
        <f t="shared" si="47"/>
        <v>216000</v>
      </c>
      <c r="L1701" t="s">
        <v>237</v>
      </c>
    </row>
    <row r="1702" spans="1:12" x14ac:dyDescent="0.35">
      <c r="A1702" s="13">
        <v>45953</v>
      </c>
      <c r="B1702" t="s">
        <v>124</v>
      </c>
      <c r="C1702" t="s">
        <v>126</v>
      </c>
      <c r="E1702" s="8">
        <v>0.5</v>
      </c>
      <c r="F1702" s="1">
        <f>(16940+20570)*2</f>
        <v>75020</v>
      </c>
      <c r="H1702">
        <v>1</v>
      </c>
      <c r="J1702" s="2">
        <f>+DATAIN_COMPRAS__2[[#This Row],[$/ UN NETO]]*DATAIN_COMPRAS__2[[#This Row],[IVA]]</f>
        <v>75020</v>
      </c>
      <c r="K1702" s="7">
        <f t="shared" si="47"/>
        <v>37510</v>
      </c>
      <c r="L1702" t="s">
        <v>237</v>
      </c>
    </row>
    <row r="1703" spans="1:12" x14ac:dyDescent="0.35">
      <c r="A1703" s="13">
        <v>45953</v>
      </c>
      <c r="B1703" t="s">
        <v>796</v>
      </c>
      <c r="C1703" t="s">
        <v>825</v>
      </c>
      <c r="E1703" s="8"/>
      <c r="F1703" s="1"/>
      <c r="J1703" s="2"/>
      <c r="K1703" s="7">
        <v>41070</v>
      </c>
      <c r="L1703" t="s">
        <v>237</v>
      </c>
    </row>
    <row r="1704" spans="1:12" x14ac:dyDescent="0.35">
      <c r="A1704" s="13">
        <v>45953</v>
      </c>
      <c r="B1704" t="s">
        <v>48</v>
      </c>
      <c r="C1704" t="s">
        <v>321</v>
      </c>
      <c r="E1704" s="8">
        <f>0.395*2</f>
        <v>0.79</v>
      </c>
      <c r="F1704" s="1">
        <f>(3138.8701*2)/DATAIN_COMPRAS__2[[#This Row],[CANT]]</f>
        <v>7946.5065822784809</v>
      </c>
      <c r="H1704">
        <v>1.21</v>
      </c>
      <c r="J1704" s="2">
        <f>+DATAIN_COMPRAS__2[[#This Row],[$/ UN NETO]]*DATAIN_COMPRAS__2[[#This Row],[IVA]]</f>
        <v>9615.2729645569616</v>
      </c>
      <c r="K1704" s="7">
        <f>(E1704*F1704)*(1-I1704)*(H1704)</f>
        <v>7596.0656419999996</v>
      </c>
      <c r="L1704" t="s">
        <v>158</v>
      </c>
    </row>
    <row r="1705" spans="1:12" x14ac:dyDescent="0.35">
      <c r="A1705" s="13">
        <v>45953</v>
      </c>
      <c r="B1705" t="s">
        <v>174</v>
      </c>
      <c r="C1705" t="s">
        <v>176</v>
      </c>
      <c r="E1705" s="8">
        <v>1</v>
      </c>
      <c r="F1705" s="1">
        <v>9743.7999999999993</v>
      </c>
      <c r="H1705">
        <v>1.21</v>
      </c>
      <c r="J1705" s="2">
        <f>+DATAIN_COMPRAS__2[[#This Row],[$/ UN NETO]]*DATAIN_COMPRAS__2[[#This Row],[IVA]]</f>
        <v>11789.998</v>
      </c>
      <c r="K1705" s="7">
        <f>(E1705*F1705)*(1-I1705)*(H1705)</f>
        <v>11789.998</v>
      </c>
      <c r="L1705" t="s">
        <v>158</v>
      </c>
    </row>
    <row r="1706" spans="1:12" x14ac:dyDescent="0.35">
      <c r="A1706" s="13">
        <v>45953</v>
      </c>
      <c r="B1706" t="s">
        <v>174</v>
      </c>
      <c r="C1706" t="s">
        <v>175</v>
      </c>
      <c r="E1706" s="8">
        <v>1</v>
      </c>
      <c r="F1706" s="1">
        <v>9743.7999999999993</v>
      </c>
      <c r="H1706">
        <v>1.21</v>
      </c>
      <c r="J1706" s="2">
        <f>+DATAIN_COMPRAS__2[[#This Row],[$/ UN NETO]]*DATAIN_COMPRAS__2[[#This Row],[IVA]]</f>
        <v>11789.998</v>
      </c>
      <c r="K1706" s="7">
        <f>(E1706*F1706)*(1-I1706)*(H1706)</f>
        <v>11789.998</v>
      </c>
      <c r="L1706" t="s">
        <v>158</v>
      </c>
    </row>
    <row r="1707" spans="1:12" x14ac:dyDescent="0.35">
      <c r="A1707" s="13">
        <v>45953</v>
      </c>
      <c r="B1707" t="s">
        <v>174</v>
      </c>
      <c r="C1707" t="s">
        <v>828</v>
      </c>
      <c r="E1707" s="8">
        <v>1</v>
      </c>
      <c r="F1707" s="1">
        <v>1553.72</v>
      </c>
      <c r="H1707">
        <v>1.21</v>
      </c>
      <c r="J1707" s="2">
        <f>+DATAIN_COMPRAS__2[[#This Row],[$/ UN NETO]]*DATAIN_COMPRAS__2[[#This Row],[IVA]]</f>
        <v>1880.0011999999999</v>
      </c>
      <c r="K1707" s="7">
        <f>(E1707*F1707)*(1-I1707)*(H1707)</f>
        <v>1880.0011999999999</v>
      </c>
      <c r="L1707" t="s">
        <v>158</v>
      </c>
    </row>
    <row r="1708" spans="1:12" x14ac:dyDescent="0.35">
      <c r="A1708" s="13">
        <v>45953</v>
      </c>
      <c r="B1708" t="s">
        <v>12</v>
      </c>
      <c r="C1708" t="s">
        <v>109</v>
      </c>
      <c r="E1708" s="8">
        <v>0.41499999999999998</v>
      </c>
      <c r="F1708" s="1">
        <v>7800</v>
      </c>
      <c r="H1708">
        <v>1</v>
      </c>
      <c r="J1708" s="2">
        <f>+DATAIN_COMPRAS__2[[#This Row],[$/ UN NETO]]*DATAIN_COMPRAS__2[[#This Row],[IVA]]</f>
        <v>7800</v>
      </c>
      <c r="K1708" s="7">
        <f>(E1708*F1708)*(1-I1708)*(H1708)</f>
        <v>3237</v>
      </c>
      <c r="L1708" t="s">
        <v>158</v>
      </c>
    </row>
    <row r="1709" spans="1:12" x14ac:dyDescent="0.35">
      <c r="A1709" s="13">
        <v>45953</v>
      </c>
      <c r="B1709" t="s">
        <v>12</v>
      </c>
      <c r="C1709" t="s">
        <v>15</v>
      </c>
      <c r="E1709" s="8">
        <v>1.18</v>
      </c>
      <c r="F1709" s="1">
        <v>2800</v>
      </c>
      <c r="H1709">
        <v>1</v>
      </c>
      <c r="J1709" s="2">
        <f>+DATAIN_COMPRAS__2[[#This Row],[$/ UN NETO]]*DATAIN_COMPRAS__2[[#This Row],[IVA]]</f>
        <v>2800</v>
      </c>
      <c r="K1709" s="7">
        <v>7</v>
      </c>
      <c r="L1709" t="s">
        <v>158</v>
      </c>
    </row>
    <row r="1710" spans="1:12" x14ac:dyDescent="0.35">
      <c r="A1710" s="13">
        <v>45953</v>
      </c>
      <c r="B1710" t="s">
        <v>12</v>
      </c>
      <c r="C1710" t="s">
        <v>17</v>
      </c>
      <c r="E1710" s="8">
        <v>1.345</v>
      </c>
      <c r="F1710" s="1">
        <v>3200</v>
      </c>
      <c r="H1710">
        <v>1</v>
      </c>
      <c r="J1710" s="2">
        <f>+DATAIN_COMPRAS__2[[#This Row],[$/ UN NETO]]*DATAIN_COMPRAS__2[[#This Row],[IVA]]</f>
        <v>3200</v>
      </c>
      <c r="K1710" s="7">
        <f>(E1710*F1710)*(1-I1710)*(H1710)</f>
        <v>4304</v>
      </c>
      <c r="L1710" t="s">
        <v>158</v>
      </c>
    </row>
    <row r="1711" spans="1:12" x14ac:dyDescent="0.35">
      <c r="A1711" s="13">
        <v>45954</v>
      </c>
      <c r="B1711" t="s">
        <v>796</v>
      </c>
      <c r="C1711" t="s">
        <v>825</v>
      </c>
      <c r="E1711" s="8"/>
      <c r="F1711" s="1"/>
      <c r="J1711" s="2"/>
      <c r="K1711" s="7">
        <f>37000.8+12292.88</f>
        <v>49293.68</v>
      </c>
      <c r="L1711" t="s">
        <v>237</v>
      </c>
    </row>
    <row r="1712" spans="1:12" x14ac:dyDescent="0.35">
      <c r="A1712" s="13">
        <v>45954</v>
      </c>
      <c r="B1712" t="s">
        <v>359</v>
      </c>
      <c r="C1712" t="s">
        <v>191</v>
      </c>
      <c r="E1712" s="8">
        <v>1</v>
      </c>
      <c r="F1712" s="1">
        <v>2748.6</v>
      </c>
      <c r="H1712">
        <v>1.21</v>
      </c>
      <c r="J1712" s="2">
        <f>+DATAIN_COMPRAS__2[[#This Row],[$/ UN NETO]]*DATAIN_COMPRAS__2[[#This Row],[IVA]]</f>
        <v>3325.8059999999996</v>
      </c>
      <c r="K1712" s="7">
        <f>(E1712*F1712)*(1-I1712)*(H1712)</f>
        <v>3325.8059999999996</v>
      </c>
      <c r="L1712" t="s">
        <v>158</v>
      </c>
    </row>
    <row r="1713" spans="1:12" x14ac:dyDescent="0.35">
      <c r="A1713" s="13">
        <v>45954</v>
      </c>
      <c r="B1713" t="s">
        <v>359</v>
      </c>
      <c r="C1713" t="s">
        <v>831</v>
      </c>
      <c r="E1713" s="8">
        <v>1</v>
      </c>
      <c r="F1713" s="1">
        <v>5816.53</v>
      </c>
      <c r="H1713">
        <v>1.21</v>
      </c>
      <c r="J1713" s="2">
        <f>+DATAIN_COMPRAS__2[[#This Row],[$/ UN NETO]]*DATAIN_COMPRAS__2[[#This Row],[IVA]]</f>
        <v>7038.0012999999999</v>
      </c>
      <c r="K1713" s="7">
        <f>(E1713*F1713)*(1-I1713)*(H1713)</f>
        <v>7038.0012999999999</v>
      </c>
      <c r="L1713" t="s">
        <v>158</v>
      </c>
    </row>
    <row r="1714" spans="1:12" x14ac:dyDescent="0.35">
      <c r="A1714" s="13">
        <v>45954</v>
      </c>
      <c r="B1714" t="s">
        <v>359</v>
      </c>
      <c r="C1714" t="s">
        <v>830</v>
      </c>
      <c r="E1714" s="8">
        <v>2</v>
      </c>
      <c r="F1714" s="1">
        <v>11176.83</v>
      </c>
      <c r="H1714">
        <v>1.21</v>
      </c>
      <c r="J1714" s="2">
        <f>+DATAIN_COMPRAS__2[[#This Row],[$/ UN NETO]]*DATAIN_COMPRAS__2[[#This Row],[IVA]]</f>
        <v>13523.9643</v>
      </c>
      <c r="K1714" s="7">
        <f>(E1714*F1714)*(1-I1714)*(H1714)</f>
        <v>27047.928599999999</v>
      </c>
      <c r="L1714" t="s">
        <v>158</v>
      </c>
    </row>
    <row r="1715" spans="1:12" x14ac:dyDescent="0.35">
      <c r="A1715" s="13">
        <v>45954</v>
      </c>
      <c r="B1715" t="s">
        <v>359</v>
      </c>
      <c r="C1715" t="s">
        <v>832</v>
      </c>
      <c r="E1715" s="8">
        <v>1</v>
      </c>
      <c r="F1715" s="1">
        <v>1240.8599999999999</v>
      </c>
      <c r="H1715">
        <v>1.21</v>
      </c>
      <c r="J1715" s="2">
        <f>+DATAIN_COMPRAS__2[[#This Row],[$/ UN NETO]]*DATAIN_COMPRAS__2[[#This Row],[IVA]]</f>
        <v>1501.4405999999999</v>
      </c>
      <c r="K1715" s="7">
        <f>(E1715*F1715)*(1-I1715)*(H1715)</f>
        <v>1501.4405999999999</v>
      </c>
      <c r="L1715" t="s">
        <v>158</v>
      </c>
    </row>
    <row r="1716" spans="1:12" x14ac:dyDescent="0.35">
      <c r="A1716" s="13">
        <v>45955</v>
      </c>
      <c r="B1716" t="s">
        <v>796</v>
      </c>
      <c r="C1716" t="s">
        <v>825</v>
      </c>
      <c r="E1716" s="8"/>
      <c r="F1716" s="1"/>
      <c r="J1716" s="2"/>
      <c r="K1716" s="7">
        <v>111772.51</v>
      </c>
      <c r="L1716" t="s">
        <v>237</v>
      </c>
    </row>
    <row r="1717" spans="1:12" x14ac:dyDescent="0.35">
      <c r="A1717" s="13">
        <v>45955</v>
      </c>
      <c r="B1717" t="s">
        <v>48</v>
      </c>
      <c r="C1717" s="14" t="s">
        <v>224</v>
      </c>
      <c r="E1717" s="8">
        <v>400</v>
      </c>
      <c r="F1717" s="1">
        <f>4334.3397/400</f>
        <v>10.835849250000001</v>
      </c>
      <c r="H1717">
        <v>1.21</v>
      </c>
      <c r="J1717" s="2">
        <f>+DATAIN_COMPRAS__2[[#This Row],[$/ UN NETO]]*DATAIN_COMPRAS__2[[#This Row],[IVA]]</f>
        <v>13.1113775925</v>
      </c>
      <c r="K1717" s="7">
        <f t="shared" ref="K1717:K1726" si="48">(E1717*F1717)*(1-I1717)*(H1717)</f>
        <v>5244.5510370000002</v>
      </c>
      <c r="L1717" t="s">
        <v>237</v>
      </c>
    </row>
    <row r="1718" spans="1:12" x14ac:dyDescent="0.35">
      <c r="A1718" s="13">
        <v>45955</v>
      </c>
      <c r="B1718" t="s">
        <v>48</v>
      </c>
      <c r="C1718" t="s">
        <v>51</v>
      </c>
      <c r="E1718" s="8">
        <v>3.48</v>
      </c>
      <c r="F1718" s="1">
        <v>10723.9195</v>
      </c>
      <c r="H1718">
        <v>1.21</v>
      </c>
      <c r="I1718">
        <v>0.06</v>
      </c>
      <c r="J1718" s="2">
        <f>+DATAIN_COMPRAS__2[[#This Row],[$/ UN NETO]]*DATAIN_COMPRAS__2[[#This Row],[IVA]]</f>
        <v>12975.942595</v>
      </c>
      <c r="K1718" s="7">
        <f t="shared" si="48"/>
        <v>42446.903416763998</v>
      </c>
      <c r="L1718" t="s">
        <v>237</v>
      </c>
    </row>
    <row r="1719" spans="1:12" x14ac:dyDescent="0.35">
      <c r="A1719" s="13">
        <v>45955</v>
      </c>
      <c r="B1719" t="s">
        <v>48</v>
      </c>
      <c r="C1719" t="s">
        <v>73</v>
      </c>
      <c r="E1719" s="8">
        <v>1.9</v>
      </c>
      <c r="F1719" s="1">
        <v>18793.040199999999</v>
      </c>
      <c r="H1719">
        <v>1.21</v>
      </c>
      <c r="I1719">
        <v>0.06</v>
      </c>
      <c r="J1719" s="2">
        <f>+DATAIN_COMPRAS__2[[#This Row],[$/ UN NETO]]*DATAIN_COMPRAS__2[[#This Row],[IVA]]</f>
        <v>22739.578642</v>
      </c>
      <c r="K1719" s="7">
        <f t="shared" si="48"/>
        <v>40612.887454611991</v>
      </c>
      <c r="L1719" t="s">
        <v>237</v>
      </c>
    </row>
    <row r="1720" spans="1:12" x14ac:dyDescent="0.35">
      <c r="A1720" s="13">
        <v>45955</v>
      </c>
      <c r="B1720" t="s">
        <v>48</v>
      </c>
      <c r="C1720" t="s">
        <v>52</v>
      </c>
      <c r="E1720" s="8">
        <v>3.4</v>
      </c>
      <c r="F1720" s="1">
        <v>6650.2920000000004</v>
      </c>
      <c r="H1720">
        <v>1.21</v>
      </c>
      <c r="J1720" s="2">
        <f>+DATAIN_COMPRAS__2[[#This Row],[$/ UN NETO]]*DATAIN_COMPRAS__2[[#This Row],[IVA]]</f>
        <v>8046.8533200000002</v>
      </c>
      <c r="K1720" s="7">
        <f t="shared" si="48"/>
        <v>27359.301287999999</v>
      </c>
      <c r="L1720" t="s">
        <v>237</v>
      </c>
    </row>
    <row r="1721" spans="1:12" x14ac:dyDescent="0.35">
      <c r="A1721" s="13">
        <v>45955</v>
      </c>
      <c r="B1721" t="s">
        <v>359</v>
      </c>
      <c r="C1721" t="s">
        <v>153</v>
      </c>
      <c r="E1721" s="8">
        <v>0.5</v>
      </c>
      <c r="F1721" s="1">
        <f>1402.81*2</f>
        <v>2805.62</v>
      </c>
      <c r="H1721">
        <v>1.21</v>
      </c>
      <c r="J1721" s="2">
        <f>+DATAIN_COMPRAS__2[[#This Row],[$/ UN NETO]]*DATAIN_COMPRAS__2[[#This Row],[IVA]]</f>
        <v>3394.8001999999997</v>
      </c>
      <c r="K1721" s="7">
        <f t="shared" si="48"/>
        <v>1697.4000999999998</v>
      </c>
      <c r="L1721" t="s">
        <v>237</v>
      </c>
    </row>
    <row r="1722" spans="1:12" x14ac:dyDescent="0.35">
      <c r="A1722" s="13">
        <v>45955</v>
      </c>
      <c r="B1722" t="s">
        <v>359</v>
      </c>
      <c r="C1722" t="s">
        <v>144</v>
      </c>
      <c r="E1722" s="8">
        <v>3</v>
      </c>
      <c r="F1722" s="1">
        <f>6090.25/3</f>
        <v>2030.0833333333333</v>
      </c>
      <c r="H1722">
        <v>1.21</v>
      </c>
      <c r="J1722" s="2">
        <f>+DATAIN_COMPRAS__2[[#This Row],[$/ UN NETO]]*DATAIN_COMPRAS__2[[#This Row],[IVA]]</f>
        <v>2456.4008333333331</v>
      </c>
      <c r="K1722" s="7">
        <f t="shared" si="48"/>
        <v>7369.2024999999994</v>
      </c>
      <c r="L1722" t="s">
        <v>237</v>
      </c>
    </row>
    <row r="1723" spans="1:12" x14ac:dyDescent="0.35">
      <c r="A1723" s="13">
        <v>45955</v>
      </c>
      <c r="B1723" t="s">
        <v>104</v>
      </c>
      <c r="C1723" s="14" t="s">
        <v>108</v>
      </c>
      <c r="E1723" s="8">
        <v>1</v>
      </c>
      <c r="F1723" s="1">
        <v>9300</v>
      </c>
      <c r="H1723">
        <v>1</v>
      </c>
      <c r="J1723" s="2">
        <f>+DATAIN_COMPRAS__2[[#This Row],[$/ UN NETO]]*DATAIN_COMPRAS__2[[#This Row],[IVA]]</f>
        <v>9300</v>
      </c>
      <c r="K1723" s="7">
        <f t="shared" si="48"/>
        <v>9300</v>
      </c>
      <c r="L1723" t="s">
        <v>158</v>
      </c>
    </row>
    <row r="1724" spans="1:12" x14ac:dyDescent="0.35">
      <c r="A1724" s="13">
        <v>45955</v>
      </c>
      <c r="B1724" t="s">
        <v>110</v>
      </c>
      <c r="C1724" t="s">
        <v>166</v>
      </c>
      <c r="E1724" s="8">
        <v>25</v>
      </c>
      <c r="F1724" s="1">
        <f>8099.97/DATAIN_COMPRAS__2[[#This Row],[CANT]]</f>
        <v>323.99880000000002</v>
      </c>
      <c r="H1724">
        <v>1.21</v>
      </c>
      <c r="J1724" s="2">
        <f>+DATAIN_COMPRAS__2[[#This Row],[$/ UN NETO]]*DATAIN_COMPRAS__2[[#This Row],[IVA]]</f>
        <v>392.03854799999999</v>
      </c>
      <c r="K1724" s="7">
        <f t="shared" si="48"/>
        <v>9800.9637000000002</v>
      </c>
      <c r="L1724" t="s">
        <v>158</v>
      </c>
    </row>
    <row r="1725" spans="1:12" x14ac:dyDescent="0.35">
      <c r="A1725" s="13">
        <v>45955</v>
      </c>
      <c r="B1725" t="s">
        <v>12</v>
      </c>
      <c r="C1725" t="s">
        <v>41</v>
      </c>
      <c r="E1725" s="8">
        <v>0.5</v>
      </c>
      <c r="F1725" s="1">
        <f>999.9*2</f>
        <v>1999.8</v>
      </c>
      <c r="H1725">
        <v>1</v>
      </c>
      <c r="J1725" s="2">
        <f>+DATAIN_COMPRAS__2[[#This Row],[$/ UN NETO]]*DATAIN_COMPRAS__2[[#This Row],[IVA]]</f>
        <v>1999.8</v>
      </c>
      <c r="K1725" s="7">
        <f t="shared" si="48"/>
        <v>999.9</v>
      </c>
      <c r="L1725" t="s">
        <v>237</v>
      </c>
    </row>
    <row r="1726" spans="1:12" x14ac:dyDescent="0.35">
      <c r="A1726" s="13">
        <v>45955</v>
      </c>
      <c r="B1726" t="s">
        <v>12</v>
      </c>
      <c r="C1726" t="s">
        <v>18</v>
      </c>
      <c r="E1726" s="8">
        <v>0.5</v>
      </c>
      <c r="F1726" s="1">
        <v>5800</v>
      </c>
      <c r="H1726">
        <v>1</v>
      </c>
      <c r="J1726" s="2">
        <f>+DATAIN_COMPRAS__2[[#This Row],[$/ UN NETO]]*DATAIN_COMPRAS__2[[#This Row],[IVA]]</f>
        <v>5800</v>
      </c>
      <c r="K1726" s="7">
        <f t="shared" si="48"/>
        <v>2900</v>
      </c>
      <c r="L1726" t="s">
        <v>237</v>
      </c>
    </row>
    <row r="1727" spans="1:12" x14ac:dyDescent="0.35">
      <c r="A1727" s="13">
        <v>45956</v>
      </c>
      <c r="B1727" t="s">
        <v>796</v>
      </c>
      <c r="C1727" t="s">
        <v>825</v>
      </c>
      <c r="E1727" s="8"/>
      <c r="F1727" s="1"/>
      <c r="J1727" s="2"/>
      <c r="K1727" s="7">
        <v>67730.48</v>
      </c>
      <c r="L1727" t="s">
        <v>237</v>
      </c>
    </row>
    <row r="1728" spans="1:12" x14ac:dyDescent="0.35">
      <c r="A1728" s="13">
        <v>45956</v>
      </c>
      <c r="B1728" t="s">
        <v>796</v>
      </c>
      <c r="C1728" t="s">
        <v>825</v>
      </c>
      <c r="E1728" s="8"/>
      <c r="F1728" s="1"/>
      <c r="J1728" s="2"/>
      <c r="K1728" s="7">
        <v>3813</v>
      </c>
      <c r="L1728" t="s">
        <v>237</v>
      </c>
    </row>
    <row r="1729" spans="1:12" x14ac:dyDescent="0.35">
      <c r="A1729" s="13">
        <v>45956</v>
      </c>
      <c r="B1729" t="s">
        <v>796</v>
      </c>
      <c r="C1729" t="s">
        <v>825</v>
      </c>
      <c r="E1729" s="8"/>
      <c r="F1729" s="1"/>
      <c r="J1729" s="2"/>
      <c r="K1729" s="7">
        <v>9501</v>
      </c>
      <c r="L1729" t="s">
        <v>237</v>
      </c>
    </row>
    <row r="1730" spans="1:12" x14ac:dyDescent="0.35">
      <c r="A1730" s="13">
        <v>45956</v>
      </c>
      <c r="B1730" t="s">
        <v>12</v>
      </c>
      <c r="C1730" t="s">
        <v>332</v>
      </c>
      <c r="E1730" s="8">
        <v>14</v>
      </c>
      <c r="F1730" s="1">
        <v>1000</v>
      </c>
      <c r="H1730">
        <v>1</v>
      </c>
      <c r="J1730" s="2">
        <f>+DATAIN_COMPRAS__2[[#This Row],[$/ UN NETO]]*DATAIN_COMPRAS__2[[#This Row],[IVA]]</f>
        <v>1000</v>
      </c>
      <c r="K1730" s="7">
        <f>(E1730*F1730)*(1-I1730)*(H1730)</f>
        <v>14000</v>
      </c>
      <c r="L1730" t="s">
        <v>237</v>
      </c>
    </row>
    <row r="1731" spans="1:12" x14ac:dyDescent="0.35">
      <c r="A1731" s="13">
        <v>45956</v>
      </c>
      <c r="B1731" t="s">
        <v>12</v>
      </c>
      <c r="C1731" t="s">
        <v>19</v>
      </c>
      <c r="E1731" s="8">
        <v>1.6</v>
      </c>
      <c r="F1731" s="1">
        <v>6800</v>
      </c>
      <c r="H1731">
        <v>1</v>
      </c>
      <c r="J1731" s="2">
        <f>+DATAIN_COMPRAS__2[[#This Row],[$/ UN NETO]]*DATAIN_COMPRAS__2[[#This Row],[IVA]]</f>
        <v>6800</v>
      </c>
      <c r="K1731" s="7">
        <f>(E1731*F1731)*(1-I1731)*(H1731)</f>
        <v>10880</v>
      </c>
      <c r="L1731" t="s">
        <v>237</v>
      </c>
    </row>
    <row r="1732" spans="1:12" x14ac:dyDescent="0.35">
      <c r="A1732" s="13">
        <v>45956</v>
      </c>
      <c r="B1732" t="s">
        <v>12</v>
      </c>
      <c r="C1732" t="s">
        <v>18</v>
      </c>
      <c r="E1732" s="8">
        <v>1.2450000000000001</v>
      </c>
      <c r="F1732" s="1">
        <v>5300</v>
      </c>
      <c r="H1732">
        <v>1</v>
      </c>
      <c r="J1732" s="2">
        <f>+DATAIN_COMPRAS__2[[#This Row],[$/ UN NETO]]*DATAIN_COMPRAS__2[[#This Row],[IVA]]</f>
        <v>5300</v>
      </c>
      <c r="K1732" s="7">
        <f>(E1732*F1732)*(1-I1732)*(H1732)</f>
        <v>6598.5000000000009</v>
      </c>
      <c r="L1732" t="s">
        <v>237</v>
      </c>
    </row>
    <row r="1733" spans="1:12" x14ac:dyDescent="0.35">
      <c r="A1733" s="13">
        <v>45957</v>
      </c>
      <c r="B1733" t="s">
        <v>796</v>
      </c>
      <c r="C1733" t="s">
        <v>825</v>
      </c>
      <c r="E1733" s="8"/>
      <c r="F1733" s="1"/>
      <c r="J1733" s="2"/>
      <c r="K1733" s="7">
        <f>7536+43567+6304</f>
        <v>57407</v>
      </c>
      <c r="L1733" t="s">
        <v>237</v>
      </c>
    </row>
    <row r="1734" spans="1:12" x14ac:dyDescent="0.35">
      <c r="A1734" s="13">
        <v>45957</v>
      </c>
      <c r="B1734" t="s">
        <v>48</v>
      </c>
      <c r="C1734" t="s">
        <v>116</v>
      </c>
      <c r="E1734" s="8">
        <v>10</v>
      </c>
      <c r="F1734" s="1">
        <v>677.76859999999999</v>
      </c>
      <c r="H1734">
        <v>1.21</v>
      </c>
      <c r="I1734">
        <v>0.06</v>
      </c>
      <c r="J1734" s="2">
        <f>+DATAIN_COMPRAS__2[[#This Row],[$/ UN NETO]]*DATAIN_COMPRAS__2[[#This Row],[IVA]]</f>
        <v>820.10000600000001</v>
      </c>
      <c r="K1734" s="7">
        <f t="shared" ref="K1734:K1740" si="49">(E1734*F1734)*(1-I1734)*(H1734)</f>
        <v>7708.9400563999989</v>
      </c>
      <c r="L1734" t="s">
        <v>237</v>
      </c>
    </row>
    <row r="1735" spans="1:12" x14ac:dyDescent="0.35">
      <c r="A1735" s="13">
        <v>45957</v>
      </c>
      <c r="B1735" t="s">
        <v>48</v>
      </c>
      <c r="C1735" t="s">
        <v>358</v>
      </c>
      <c r="E1735" s="8">
        <f>4*0.82</f>
        <v>3.28</v>
      </c>
      <c r="F1735" s="1">
        <f>1459.5/0.82</f>
        <v>1779.8780487804879</v>
      </c>
      <c r="H1735">
        <v>1.21</v>
      </c>
      <c r="I1735">
        <v>0.06</v>
      </c>
      <c r="J1735" s="2">
        <f>+DATAIN_COMPRAS__2[[#This Row],[$/ UN NETO]]*DATAIN_COMPRAS__2[[#This Row],[IVA]]</f>
        <v>2153.6524390243903</v>
      </c>
      <c r="K1735" s="7">
        <f t="shared" si="49"/>
        <v>6640.1411999999991</v>
      </c>
      <c r="L1735" t="s">
        <v>237</v>
      </c>
    </row>
    <row r="1736" spans="1:12" x14ac:dyDescent="0.35">
      <c r="A1736" s="13">
        <v>45957</v>
      </c>
      <c r="B1736" t="s">
        <v>48</v>
      </c>
      <c r="C1736" t="s">
        <v>49</v>
      </c>
      <c r="E1736" s="8">
        <v>4</v>
      </c>
      <c r="F1736" s="1">
        <f>20024.3261/4</f>
        <v>5006.0815249999996</v>
      </c>
      <c r="H1736">
        <v>1.21</v>
      </c>
      <c r="I1736">
        <v>0.06</v>
      </c>
      <c r="J1736" s="2">
        <f>+DATAIN_COMPRAS__2[[#This Row],[$/ UN NETO]]*DATAIN_COMPRAS__2[[#This Row],[IVA]]</f>
        <v>6057.3586452499994</v>
      </c>
      <c r="K1736" s="7">
        <f t="shared" si="49"/>
        <v>22775.668506139995</v>
      </c>
      <c r="L1736" t="s">
        <v>237</v>
      </c>
    </row>
    <row r="1737" spans="1:12" x14ac:dyDescent="0.35">
      <c r="A1737" s="13">
        <v>45957</v>
      </c>
      <c r="B1737" t="s">
        <v>48</v>
      </c>
      <c r="C1737" t="s">
        <v>59</v>
      </c>
      <c r="E1737" s="8">
        <v>1</v>
      </c>
      <c r="F1737" s="1">
        <v>3013.52</v>
      </c>
      <c r="H1737">
        <v>1.21</v>
      </c>
      <c r="I1737">
        <v>0.06</v>
      </c>
      <c r="J1737" s="2">
        <f>+DATAIN_COMPRAS__2[[#This Row],[$/ UN NETO]]*DATAIN_COMPRAS__2[[#This Row],[IVA]]</f>
        <v>3646.3591999999999</v>
      </c>
      <c r="K1737" s="7">
        <f t="shared" si="49"/>
        <v>3427.577648</v>
      </c>
      <c r="L1737" t="s">
        <v>237</v>
      </c>
    </row>
    <row r="1738" spans="1:12" x14ac:dyDescent="0.35">
      <c r="A1738" s="13">
        <v>45957</v>
      </c>
      <c r="B1738" t="s">
        <v>48</v>
      </c>
      <c r="C1738" t="s">
        <v>248</v>
      </c>
      <c r="E1738" s="8">
        <v>24</v>
      </c>
      <c r="F1738" s="1">
        <f>857.34/12</f>
        <v>71.445000000000007</v>
      </c>
      <c r="H1738">
        <v>1.21</v>
      </c>
      <c r="J1738" s="2">
        <f>+DATAIN_COMPRAS__2[[#This Row],[$/ UN NETO]]*DATAIN_COMPRAS__2[[#This Row],[IVA]]</f>
        <v>86.448450000000008</v>
      </c>
      <c r="K1738" s="7">
        <f t="shared" si="49"/>
        <v>2074.7628000000004</v>
      </c>
      <c r="L1738" t="s">
        <v>237</v>
      </c>
    </row>
    <row r="1739" spans="1:12" x14ac:dyDescent="0.35">
      <c r="A1739" s="13">
        <v>45957</v>
      </c>
      <c r="B1739" t="s">
        <v>48</v>
      </c>
      <c r="C1739" t="s">
        <v>54</v>
      </c>
      <c r="E1739" s="8">
        <v>0.8</v>
      </c>
      <c r="F1739" s="1">
        <f>833.1421/0.4</f>
        <v>2082.8552500000001</v>
      </c>
      <c r="H1739">
        <v>1.21</v>
      </c>
      <c r="I1739">
        <v>0.06</v>
      </c>
      <c r="J1739" s="2">
        <f>+DATAIN_COMPRAS__2[[#This Row],[$/ UN NETO]]*DATAIN_COMPRAS__2[[#This Row],[IVA]]</f>
        <v>2520.2548525000002</v>
      </c>
      <c r="K1739" s="7">
        <f t="shared" si="49"/>
        <v>1895.2316490799999</v>
      </c>
      <c r="L1739" t="s">
        <v>237</v>
      </c>
    </row>
    <row r="1740" spans="1:12" x14ac:dyDescent="0.35">
      <c r="A1740" s="13">
        <v>45957</v>
      </c>
      <c r="B1740" t="s">
        <v>801</v>
      </c>
      <c r="C1740" t="s">
        <v>799</v>
      </c>
      <c r="E1740" s="8">
        <v>0.3</v>
      </c>
      <c r="F1740" s="1">
        <f>4355/DATAIN_COMPRAS__2[[#This Row],[CANT]]</f>
        <v>14516.666666666668</v>
      </c>
      <c r="H1740">
        <v>1</v>
      </c>
      <c r="J1740" s="2">
        <f>+DATAIN_COMPRAS__2[[#This Row],[$/ UN NETO]]*DATAIN_COMPRAS__2[[#This Row],[IVA]]</f>
        <v>14516.666666666668</v>
      </c>
      <c r="K1740" s="7">
        <f t="shared" si="49"/>
        <v>4355</v>
      </c>
      <c r="L1740" t="s">
        <v>237</v>
      </c>
    </row>
    <row r="1741" spans="1:12" x14ac:dyDescent="0.35">
      <c r="A1741" s="13">
        <v>45958</v>
      </c>
      <c r="B1741" t="s">
        <v>796</v>
      </c>
      <c r="C1741" t="s">
        <v>825</v>
      </c>
      <c r="E1741" s="8"/>
      <c r="F1741" s="1"/>
      <c r="J1741" s="2"/>
      <c r="K1741" s="7">
        <v>32744.33</v>
      </c>
      <c r="L1741" t="s">
        <v>237</v>
      </c>
    </row>
    <row r="1742" spans="1:12" x14ac:dyDescent="0.35">
      <c r="A1742" s="13">
        <v>45958</v>
      </c>
      <c r="B1742" t="s">
        <v>827</v>
      </c>
      <c r="C1742" t="s">
        <v>103</v>
      </c>
      <c r="E1742" s="8">
        <v>180</v>
      </c>
      <c r="F1742" s="1">
        <f>33500/180</f>
        <v>186.11111111111111</v>
      </c>
      <c r="H1742">
        <v>1</v>
      </c>
      <c r="J1742" s="2">
        <f>+DATAIN_COMPRAS__2[[#This Row],[$/ UN NETO]]*DATAIN_COMPRAS__2[[#This Row],[IVA]]</f>
        <v>186.11111111111111</v>
      </c>
      <c r="K1742" s="7">
        <f t="shared" ref="K1742:K1758" si="50">(E1742*F1742)*(1-I1742)*(H1742)</f>
        <v>33500</v>
      </c>
      <c r="L1742" t="s">
        <v>237</v>
      </c>
    </row>
    <row r="1743" spans="1:12" x14ac:dyDescent="0.35">
      <c r="A1743" s="13">
        <v>45958</v>
      </c>
      <c r="B1743" t="s">
        <v>12</v>
      </c>
      <c r="C1743" t="s">
        <v>39</v>
      </c>
      <c r="E1743" s="8">
        <v>0.65</v>
      </c>
      <c r="F1743" s="1">
        <v>2000</v>
      </c>
      <c r="H1743">
        <v>1</v>
      </c>
      <c r="J1743" s="2">
        <f>+DATAIN_COMPRAS__2[[#This Row],[$/ UN NETO]]*DATAIN_COMPRAS__2[[#This Row],[IVA]]</f>
        <v>2000</v>
      </c>
      <c r="K1743" s="7">
        <f t="shared" si="50"/>
        <v>1300</v>
      </c>
      <c r="L1743" t="s">
        <v>237</v>
      </c>
    </row>
    <row r="1744" spans="1:12" x14ac:dyDescent="0.35">
      <c r="A1744" s="13">
        <v>45958</v>
      </c>
      <c r="B1744" t="s">
        <v>12</v>
      </c>
      <c r="C1744" t="s">
        <v>15</v>
      </c>
      <c r="E1744" s="8">
        <v>1</v>
      </c>
      <c r="F1744" s="1">
        <v>3200</v>
      </c>
      <c r="H1744">
        <v>1</v>
      </c>
      <c r="J1744" s="2">
        <f>+DATAIN_COMPRAS__2[[#This Row],[$/ UN NETO]]*DATAIN_COMPRAS__2[[#This Row],[IVA]]</f>
        <v>3200</v>
      </c>
      <c r="K1744" s="7">
        <f t="shared" si="50"/>
        <v>3200</v>
      </c>
      <c r="L1744" t="s">
        <v>237</v>
      </c>
    </row>
    <row r="1745" spans="1:12" x14ac:dyDescent="0.35">
      <c r="A1745" s="13">
        <v>45958</v>
      </c>
      <c r="B1745" t="s">
        <v>12</v>
      </c>
      <c r="C1745" t="s">
        <v>15</v>
      </c>
      <c r="E1745" s="8">
        <v>1</v>
      </c>
      <c r="F1745" s="1">
        <v>3200</v>
      </c>
      <c r="H1745">
        <v>1</v>
      </c>
      <c r="J1745" s="2">
        <f>+DATAIN_COMPRAS__2[[#This Row],[$/ UN NETO]]*DATAIN_COMPRAS__2[[#This Row],[IVA]]</f>
        <v>3200</v>
      </c>
      <c r="K1745" s="7">
        <f t="shared" si="50"/>
        <v>3200</v>
      </c>
      <c r="L1745" t="s">
        <v>158</v>
      </c>
    </row>
    <row r="1746" spans="1:12" x14ac:dyDescent="0.35">
      <c r="A1746" s="13">
        <v>45958</v>
      </c>
      <c r="B1746" t="s">
        <v>12</v>
      </c>
      <c r="C1746" t="s">
        <v>332</v>
      </c>
      <c r="E1746" s="8">
        <v>14</v>
      </c>
      <c r="F1746" s="1">
        <v>1000</v>
      </c>
      <c r="H1746">
        <v>1</v>
      </c>
      <c r="J1746" s="2">
        <f>+DATAIN_COMPRAS__2[[#This Row],[$/ UN NETO]]*DATAIN_COMPRAS__2[[#This Row],[IVA]]</f>
        <v>1000</v>
      </c>
      <c r="K1746" s="7">
        <f t="shared" si="50"/>
        <v>14000</v>
      </c>
      <c r="L1746" t="s">
        <v>237</v>
      </c>
    </row>
    <row r="1747" spans="1:12" x14ac:dyDescent="0.35">
      <c r="A1747" s="13">
        <v>45958</v>
      </c>
      <c r="B1747" t="s">
        <v>12</v>
      </c>
      <c r="C1747" t="s">
        <v>19</v>
      </c>
      <c r="E1747" s="8">
        <v>6</v>
      </c>
      <c r="F1747" s="1">
        <v>6800</v>
      </c>
      <c r="H1747">
        <v>1</v>
      </c>
      <c r="J1747" s="2">
        <f>+DATAIN_COMPRAS__2[[#This Row],[$/ UN NETO]]*DATAIN_COMPRAS__2[[#This Row],[IVA]]</f>
        <v>6800</v>
      </c>
      <c r="K1747" s="7">
        <f t="shared" si="50"/>
        <v>40800</v>
      </c>
      <c r="L1747" t="s">
        <v>237</v>
      </c>
    </row>
    <row r="1748" spans="1:12" x14ac:dyDescent="0.35">
      <c r="A1748" s="13">
        <v>45958</v>
      </c>
      <c r="B1748" t="s">
        <v>12</v>
      </c>
      <c r="C1748" t="s">
        <v>17</v>
      </c>
      <c r="E1748" s="8">
        <v>1</v>
      </c>
      <c r="F1748" s="1">
        <v>3200</v>
      </c>
      <c r="H1748">
        <v>1</v>
      </c>
      <c r="J1748" s="2">
        <f>+DATAIN_COMPRAS__2[[#This Row],[$/ UN NETO]]*DATAIN_COMPRAS__2[[#This Row],[IVA]]</f>
        <v>3200</v>
      </c>
      <c r="K1748" s="7">
        <f t="shared" si="50"/>
        <v>3200</v>
      </c>
      <c r="L1748" t="s">
        <v>158</v>
      </c>
    </row>
    <row r="1749" spans="1:12" x14ac:dyDescent="0.35">
      <c r="A1749" s="13">
        <v>45958</v>
      </c>
      <c r="B1749" t="s">
        <v>12</v>
      </c>
      <c r="C1749" t="s">
        <v>28</v>
      </c>
      <c r="E1749" s="8">
        <v>2</v>
      </c>
      <c r="F1749" s="1">
        <v>1500</v>
      </c>
      <c r="H1749">
        <v>1</v>
      </c>
      <c r="J1749" s="2">
        <f>+DATAIN_COMPRAS__2[[#This Row],[$/ UN NETO]]*DATAIN_COMPRAS__2[[#This Row],[IVA]]</f>
        <v>1500</v>
      </c>
      <c r="K1749" s="7">
        <f t="shared" si="50"/>
        <v>3000</v>
      </c>
      <c r="L1749" t="s">
        <v>237</v>
      </c>
    </row>
    <row r="1750" spans="1:12" x14ac:dyDescent="0.35">
      <c r="A1750" s="13">
        <v>45958</v>
      </c>
      <c r="B1750" t="s">
        <v>12</v>
      </c>
      <c r="C1750" t="s">
        <v>18</v>
      </c>
      <c r="E1750" s="8">
        <v>2</v>
      </c>
      <c r="F1750" s="1">
        <v>5800</v>
      </c>
      <c r="H1750">
        <v>1</v>
      </c>
      <c r="J1750" s="2">
        <f>+DATAIN_COMPRAS__2[[#This Row],[$/ UN NETO]]*DATAIN_COMPRAS__2[[#This Row],[IVA]]</f>
        <v>5800</v>
      </c>
      <c r="K1750" s="7">
        <f t="shared" si="50"/>
        <v>11600</v>
      </c>
      <c r="L1750" t="s">
        <v>237</v>
      </c>
    </row>
    <row r="1751" spans="1:12" x14ac:dyDescent="0.35">
      <c r="A1751" s="13">
        <v>45958</v>
      </c>
      <c r="B1751" t="s">
        <v>12</v>
      </c>
      <c r="C1751" t="s">
        <v>20</v>
      </c>
      <c r="E1751" s="8">
        <v>1</v>
      </c>
      <c r="F1751" s="1">
        <v>2300</v>
      </c>
      <c r="H1751">
        <v>1</v>
      </c>
      <c r="J1751" s="2">
        <f>+DATAIN_COMPRAS__2[[#This Row],[$/ UN NETO]]*DATAIN_COMPRAS__2[[#This Row],[IVA]]</f>
        <v>2300</v>
      </c>
      <c r="K1751" s="7">
        <f t="shared" si="50"/>
        <v>2300</v>
      </c>
      <c r="L1751" t="s">
        <v>237</v>
      </c>
    </row>
    <row r="1752" spans="1:12" x14ac:dyDescent="0.35">
      <c r="A1752" s="13">
        <v>45958</v>
      </c>
      <c r="B1752" t="s">
        <v>12</v>
      </c>
      <c r="C1752" t="s">
        <v>30</v>
      </c>
      <c r="E1752" s="8">
        <v>1</v>
      </c>
      <c r="F1752" s="1">
        <v>950</v>
      </c>
      <c r="H1752">
        <v>1</v>
      </c>
      <c r="J1752" s="2">
        <f>+DATAIN_COMPRAS__2[[#This Row],[$/ UN NETO]]*DATAIN_COMPRAS__2[[#This Row],[IVA]]</f>
        <v>950</v>
      </c>
      <c r="K1752" s="7">
        <f t="shared" si="50"/>
        <v>950</v>
      </c>
      <c r="L1752" t="s">
        <v>237</v>
      </c>
    </row>
    <row r="1753" spans="1:12" x14ac:dyDescent="0.35">
      <c r="A1753" s="13">
        <v>45958</v>
      </c>
      <c r="B1753" t="s">
        <v>179</v>
      </c>
      <c r="C1753" t="s">
        <v>180</v>
      </c>
      <c r="E1753" s="8">
        <v>10</v>
      </c>
      <c r="F1753" s="1">
        <f>35291.2/10</f>
        <v>3529.12</v>
      </c>
      <c r="H1753">
        <v>1.21</v>
      </c>
      <c r="I1753">
        <v>0.05</v>
      </c>
      <c r="J1753" s="2">
        <f>+DATAIN_COMPRAS__2[[#This Row],[$/ UN NETO]]*DATAIN_COMPRAS__2[[#This Row],[IVA]]</f>
        <v>4270.2352000000001</v>
      </c>
      <c r="K1753" s="7">
        <f t="shared" si="50"/>
        <v>40567.234399999987</v>
      </c>
      <c r="L1753" t="s">
        <v>158</v>
      </c>
    </row>
    <row r="1754" spans="1:12" x14ac:dyDescent="0.35">
      <c r="A1754" s="13">
        <v>45958</v>
      </c>
      <c r="B1754" t="s">
        <v>797</v>
      </c>
      <c r="C1754" t="s">
        <v>193</v>
      </c>
      <c r="E1754" s="8">
        <v>1</v>
      </c>
      <c r="F1754" s="1">
        <v>24958.68</v>
      </c>
      <c r="H1754">
        <v>1.21</v>
      </c>
      <c r="J1754" s="2">
        <f>+DATAIN_COMPRAS__2[[#This Row],[$/ UN NETO]]*DATAIN_COMPRAS__2[[#This Row],[IVA]]</f>
        <v>30200.002799999998</v>
      </c>
      <c r="K1754" s="7">
        <f t="shared" si="50"/>
        <v>30200.002799999998</v>
      </c>
      <c r="L1754" t="s">
        <v>158</v>
      </c>
    </row>
    <row r="1755" spans="1:12" x14ac:dyDescent="0.35">
      <c r="A1755" s="13">
        <v>45958</v>
      </c>
      <c r="B1755" t="s">
        <v>75</v>
      </c>
      <c r="C1755" t="s">
        <v>76</v>
      </c>
      <c r="E1755" s="8">
        <v>72</v>
      </c>
      <c r="F1755" s="1">
        <v>1157.1600000000001</v>
      </c>
      <c r="H1755">
        <v>1.21</v>
      </c>
      <c r="J1755" s="2">
        <f>+DATAIN_COMPRAS__2[[#This Row],[$/ UN NETO]]*DATAIN_COMPRAS__2[[#This Row],[IVA]]</f>
        <v>1400.1636000000001</v>
      </c>
      <c r="K1755" s="7">
        <f t="shared" si="50"/>
        <v>100811.7792</v>
      </c>
      <c r="L1755" t="s">
        <v>237</v>
      </c>
    </row>
    <row r="1756" spans="1:12" x14ac:dyDescent="0.35">
      <c r="A1756" s="13">
        <v>45958</v>
      </c>
      <c r="B1756" t="s">
        <v>801</v>
      </c>
      <c r="C1756" t="s">
        <v>136</v>
      </c>
      <c r="E1756" s="8">
        <v>3</v>
      </c>
      <c r="F1756" s="1">
        <v>4400</v>
      </c>
      <c r="H1756">
        <v>1</v>
      </c>
      <c r="J1756" s="2">
        <f>+DATAIN_COMPRAS__2[[#This Row],[$/ UN NETO]]*DATAIN_COMPRAS__2[[#This Row],[IVA]]</f>
        <v>4400</v>
      </c>
      <c r="K1756" s="7">
        <f t="shared" si="50"/>
        <v>13200</v>
      </c>
      <c r="L1756" t="s">
        <v>158</v>
      </c>
    </row>
    <row r="1757" spans="1:12" x14ac:dyDescent="0.35">
      <c r="A1757" s="13">
        <v>45959</v>
      </c>
      <c r="B1757" t="s">
        <v>185</v>
      </c>
      <c r="C1757" t="s">
        <v>187</v>
      </c>
      <c r="E1757" s="8">
        <v>25</v>
      </c>
      <c r="F1757" s="1">
        <v>1069.1199999999999</v>
      </c>
      <c r="H1757">
        <v>1</v>
      </c>
      <c r="J1757" s="2">
        <f>+DATAIN_COMPRAS__2[[#This Row],[$/ UN NETO]]*DATAIN_COMPRAS__2[[#This Row],[IVA]]</f>
        <v>1069.1199999999999</v>
      </c>
      <c r="K1757" s="7">
        <f t="shared" si="50"/>
        <v>26727.999999999996</v>
      </c>
      <c r="L1757" t="s">
        <v>158</v>
      </c>
    </row>
    <row r="1758" spans="1:12" x14ac:dyDescent="0.35">
      <c r="A1758" s="13">
        <v>45959</v>
      </c>
      <c r="B1758" t="s">
        <v>185</v>
      </c>
      <c r="C1758" t="s">
        <v>188</v>
      </c>
      <c r="E1758" s="8">
        <v>25</v>
      </c>
      <c r="F1758" s="1">
        <f>38175/25</f>
        <v>1527</v>
      </c>
      <c r="H1758">
        <v>1</v>
      </c>
      <c r="J1758" s="2">
        <f>+DATAIN_COMPRAS__2[[#This Row],[$/ UN NETO]]*DATAIN_COMPRAS__2[[#This Row],[IVA]]</f>
        <v>1527</v>
      </c>
      <c r="K1758" s="7">
        <f t="shared" si="50"/>
        <v>38175</v>
      </c>
      <c r="L1758" t="s">
        <v>158</v>
      </c>
    </row>
    <row r="1759" spans="1:12" x14ac:dyDescent="0.35">
      <c r="A1759" s="13">
        <v>45959</v>
      </c>
      <c r="B1759" t="s">
        <v>796</v>
      </c>
      <c r="C1759" t="s">
        <v>825</v>
      </c>
      <c r="E1759" s="8"/>
      <c r="F1759" s="1"/>
      <c r="J1759" s="2"/>
      <c r="K1759" s="7">
        <f>4710+21892</f>
        <v>26602</v>
      </c>
      <c r="L1759" t="s">
        <v>237</v>
      </c>
    </row>
    <row r="1760" spans="1:12" x14ac:dyDescent="0.35">
      <c r="A1760" s="13">
        <v>45959</v>
      </c>
      <c r="B1760" t="s">
        <v>104</v>
      </c>
      <c r="C1760" t="s">
        <v>108</v>
      </c>
      <c r="E1760" s="8">
        <v>1</v>
      </c>
      <c r="F1760" s="1">
        <v>9300</v>
      </c>
      <c r="H1760">
        <v>1</v>
      </c>
      <c r="J1760" s="2">
        <f>+DATAIN_COMPRAS__2[[#This Row],[$/ UN NETO]]*DATAIN_COMPRAS__2[[#This Row],[IVA]]</f>
        <v>9300</v>
      </c>
      <c r="K1760" s="7">
        <f t="shared" ref="K1760:K1766" si="51">(E1760*F1760)*(1-I1760)*(H1760)</f>
        <v>9300</v>
      </c>
      <c r="L1760" t="s">
        <v>158</v>
      </c>
    </row>
    <row r="1761" spans="1:12" x14ac:dyDescent="0.35">
      <c r="A1761" s="13">
        <v>45959</v>
      </c>
      <c r="B1761" t="s">
        <v>104</v>
      </c>
      <c r="C1761" t="s">
        <v>105</v>
      </c>
      <c r="E1761" s="8">
        <v>1</v>
      </c>
      <c r="F1761" s="1">
        <v>11990</v>
      </c>
      <c r="H1761">
        <v>1</v>
      </c>
      <c r="J1761" s="2">
        <f>+DATAIN_COMPRAS__2[[#This Row],[$/ UN NETO]]*DATAIN_COMPRAS__2[[#This Row],[IVA]]</f>
        <v>11990</v>
      </c>
      <c r="K1761" s="7">
        <f t="shared" si="51"/>
        <v>11990</v>
      </c>
      <c r="L1761" t="s">
        <v>158</v>
      </c>
    </row>
    <row r="1762" spans="1:12" x14ac:dyDescent="0.35">
      <c r="A1762" s="13">
        <v>45959</v>
      </c>
      <c r="B1762" t="s">
        <v>256</v>
      </c>
      <c r="C1762" t="str">
        <f>+UPPER("Crema Balde x 5Lt 44% MILKAUT")</f>
        <v>CREMA BALDE X 5LT 44% MILKAUT</v>
      </c>
      <c r="E1762" s="8">
        <v>5</v>
      </c>
      <c r="F1762" s="1">
        <f>37250.145/5</f>
        <v>7450.0289999999995</v>
      </c>
      <c r="H1762">
        <v>1.21</v>
      </c>
      <c r="J1762" s="2">
        <f>+DATAIN_COMPRAS__2[[#This Row],[$/ UN NETO]]*DATAIN_COMPRAS__2[[#This Row],[IVA]]</f>
        <v>9014.5350899999994</v>
      </c>
      <c r="K1762" s="7">
        <f t="shared" si="51"/>
        <v>45072.675449999995</v>
      </c>
      <c r="L1762" t="s">
        <v>158</v>
      </c>
    </row>
    <row r="1763" spans="1:12" x14ac:dyDescent="0.35">
      <c r="A1763" s="13">
        <v>45959</v>
      </c>
      <c r="B1763" t="s">
        <v>256</v>
      </c>
      <c r="C1763" t="s">
        <v>160</v>
      </c>
      <c r="E1763" s="8">
        <v>3.53</v>
      </c>
      <c r="F1763" s="1">
        <v>8503.5478999999996</v>
      </c>
      <c r="H1763">
        <v>1.21</v>
      </c>
      <c r="J1763" s="2">
        <f>+DATAIN_COMPRAS__2[[#This Row],[$/ UN NETO]]*DATAIN_COMPRAS__2[[#This Row],[IVA]]</f>
        <v>10289.292958999999</v>
      </c>
      <c r="K1763" s="7">
        <f t="shared" si="51"/>
        <v>36321.20414527</v>
      </c>
      <c r="L1763" t="s">
        <v>158</v>
      </c>
    </row>
    <row r="1764" spans="1:12" x14ac:dyDescent="0.35">
      <c r="A1764" s="13">
        <v>45959</v>
      </c>
      <c r="B1764" t="s">
        <v>827</v>
      </c>
      <c r="C1764" t="s">
        <v>103</v>
      </c>
      <c r="E1764" s="8">
        <v>180</v>
      </c>
      <c r="F1764" s="1">
        <f>33500/180</f>
        <v>186.11111111111111</v>
      </c>
      <c r="H1764">
        <v>1</v>
      </c>
      <c r="J1764" s="2">
        <f>+DATAIN_COMPRAS__2[[#This Row],[$/ UN NETO]]*DATAIN_COMPRAS__2[[#This Row],[IVA]]</f>
        <v>186.11111111111111</v>
      </c>
      <c r="K1764" s="7">
        <f t="shared" si="51"/>
        <v>33500</v>
      </c>
      <c r="L1764" t="s">
        <v>158</v>
      </c>
    </row>
    <row r="1765" spans="1:12" x14ac:dyDescent="0.35">
      <c r="A1765" s="13">
        <v>45960</v>
      </c>
      <c r="B1765" t="s">
        <v>124</v>
      </c>
      <c r="C1765" t="s">
        <v>829</v>
      </c>
      <c r="E1765" s="8">
        <v>6</v>
      </c>
      <c r="F1765" s="1">
        <v>36000</v>
      </c>
      <c r="H1765">
        <v>1</v>
      </c>
      <c r="J1765" s="2">
        <f>+DATAIN_COMPRAS__2[[#This Row],[$/ UN NETO]]*DATAIN_COMPRAS__2[[#This Row],[IVA]]</f>
        <v>36000</v>
      </c>
      <c r="K1765" s="7">
        <f t="shared" si="51"/>
        <v>216000</v>
      </c>
      <c r="L1765" t="s">
        <v>237</v>
      </c>
    </row>
    <row r="1766" spans="1:12" x14ac:dyDescent="0.35">
      <c r="A1766" s="13">
        <v>45960</v>
      </c>
      <c r="B1766" t="s">
        <v>124</v>
      </c>
      <c r="C1766" t="s">
        <v>126</v>
      </c>
      <c r="E1766" s="8">
        <v>0.5</v>
      </c>
      <c r="F1766" s="1">
        <f>(16940+20570)*2</f>
        <v>75020</v>
      </c>
      <c r="H1766">
        <v>1</v>
      </c>
      <c r="J1766" s="2">
        <f>+DATAIN_COMPRAS__2[[#This Row],[$/ UN NETO]]*DATAIN_COMPRAS__2[[#This Row],[IVA]]</f>
        <v>75020</v>
      </c>
      <c r="K1766" s="7">
        <f t="shared" si="51"/>
        <v>37510</v>
      </c>
      <c r="L1766" t="s">
        <v>237</v>
      </c>
    </row>
    <row r="1767" spans="1:12" x14ac:dyDescent="0.35">
      <c r="A1767" s="13">
        <v>45960</v>
      </c>
      <c r="B1767" t="s">
        <v>796</v>
      </c>
      <c r="C1767" t="s">
        <v>825</v>
      </c>
      <c r="E1767" s="8"/>
      <c r="F1767" s="1"/>
      <c r="J1767" s="2"/>
      <c r="K1767" s="7">
        <v>47454.32</v>
      </c>
      <c r="L1767" t="s">
        <v>237</v>
      </c>
    </row>
    <row r="1768" spans="1:12" x14ac:dyDescent="0.35">
      <c r="A1768" s="13">
        <v>45960</v>
      </c>
      <c r="B1768" t="s">
        <v>48</v>
      </c>
      <c r="C1768" t="s">
        <v>52</v>
      </c>
      <c r="E1768" s="8">
        <v>3.63</v>
      </c>
      <c r="F1768" s="1">
        <v>6650.2920000000004</v>
      </c>
      <c r="H1768">
        <v>1.21</v>
      </c>
      <c r="J1768" s="2">
        <f>+DATAIN_COMPRAS__2[[#This Row],[$/ UN NETO]]*DATAIN_COMPRAS__2[[#This Row],[IVA]]</f>
        <v>8046.8533200000002</v>
      </c>
      <c r="K1768" s="7">
        <f t="shared" ref="K1768:K1787" si="52">(E1768*F1768)*(1-I1768)*(H1768)</f>
        <v>29210.077551600003</v>
      </c>
      <c r="L1768" t="s">
        <v>237</v>
      </c>
    </row>
    <row r="1769" spans="1:12" x14ac:dyDescent="0.35">
      <c r="A1769" s="13">
        <v>45960</v>
      </c>
      <c r="B1769" t="s">
        <v>48</v>
      </c>
      <c r="C1769" t="s">
        <v>49</v>
      </c>
      <c r="E1769" s="8">
        <v>4</v>
      </c>
      <c r="F1769" s="1">
        <f>20024.3261/4</f>
        <v>5006.0815249999996</v>
      </c>
      <c r="H1769">
        <v>1.21</v>
      </c>
      <c r="I1769">
        <v>0.06</v>
      </c>
      <c r="J1769" s="2">
        <f>+DATAIN_COMPRAS__2[[#This Row],[$/ UN NETO]]*DATAIN_COMPRAS__2[[#This Row],[IVA]]</f>
        <v>6057.3586452499994</v>
      </c>
      <c r="K1769" s="7">
        <f t="shared" si="52"/>
        <v>22775.668506139995</v>
      </c>
      <c r="L1769" t="s">
        <v>158</v>
      </c>
    </row>
    <row r="1770" spans="1:12" x14ac:dyDescent="0.35">
      <c r="A1770" s="13">
        <v>45960</v>
      </c>
      <c r="B1770" t="s">
        <v>359</v>
      </c>
      <c r="C1770" t="s">
        <v>191</v>
      </c>
      <c r="E1770" s="8">
        <v>2</v>
      </c>
      <c r="F1770" s="1">
        <v>2748.6</v>
      </c>
      <c r="H1770">
        <v>1.21</v>
      </c>
      <c r="J1770" s="2">
        <f>+DATAIN_COMPRAS__2[[#This Row],[$/ UN NETO]]*DATAIN_COMPRAS__2[[#This Row],[IVA]]</f>
        <v>3325.8059999999996</v>
      </c>
      <c r="K1770" s="7">
        <f t="shared" si="52"/>
        <v>6651.6119999999992</v>
      </c>
      <c r="L1770" t="s">
        <v>158</v>
      </c>
    </row>
    <row r="1771" spans="1:12" x14ac:dyDescent="0.35">
      <c r="A1771" s="13">
        <v>45960</v>
      </c>
      <c r="B1771" t="s">
        <v>174</v>
      </c>
      <c r="C1771" t="s">
        <v>175</v>
      </c>
      <c r="E1771" s="8">
        <v>2</v>
      </c>
      <c r="F1771" s="1">
        <v>9743.7999999999993</v>
      </c>
      <c r="H1771">
        <v>1.21</v>
      </c>
      <c r="J1771" s="2">
        <f>+DATAIN_COMPRAS__2[[#This Row],[$/ UN NETO]]*DATAIN_COMPRAS__2[[#This Row],[IVA]]</f>
        <v>11789.998</v>
      </c>
      <c r="K1771" s="7">
        <f t="shared" si="52"/>
        <v>23579.995999999999</v>
      </c>
      <c r="L1771" t="s">
        <v>158</v>
      </c>
    </row>
    <row r="1772" spans="1:12" x14ac:dyDescent="0.35">
      <c r="A1772" s="13">
        <v>45960</v>
      </c>
      <c r="B1772" t="s">
        <v>174</v>
      </c>
      <c r="C1772" t="s">
        <v>177</v>
      </c>
      <c r="E1772" s="8">
        <v>3</v>
      </c>
      <c r="F1772" s="1">
        <v>1287.5999999999999</v>
      </c>
      <c r="H1772">
        <v>1.21</v>
      </c>
      <c r="J1772" s="2">
        <f>+DATAIN_COMPRAS__2[[#This Row],[$/ UN NETO]]*DATAIN_COMPRAS__2[[#This Row],[IVA]]</f>
        <v>1557.9959999999999</v>
      </c>
      <c r="K1772" s="7">
        <f t="shared" si="52"/>
        <v>4673.9879999999994</v>
      </c>
      <c r="L1772" t="s">
        <v>158</v>
      </c>
    </row>
    <row r="1773" spans="1:12" x14ac:dyDescent="0.35">
      <c r="A1773" s="13">
        <v>45960</v>
      </c>
      <c r="B1773" t="s">
        <v>174</v>
      </c>
      <c r="C1773" t="s">
        <v>177</v>
      </c>
      <c r="E1773" s="8">
        <v>1</v>
      </c>
      <c r="F1773" s="1">
        <v>991.74</v>
      </c>
      <c r="H1773">
        <v>1.21</v>
      </c>
      <c r="J1773" s="2">
        <f>+DATAIN_COMPRAS__2[[#This Row],[$/ UN NETO]]*DATAIN_COMPRAS__2[[#This Row],[IVA]]</f>
        <v>1200.0054</v>
      </c>
      <c r="K1773" s="7">
        <f t="shared" si="52"/>
        <v>1200.0054</v>
      </c>
      <c r="L1773" t="s">
        <v>158</v>
      </c>
    </row>
    <row r="1774" spans="1:12" x14ac:dyDescent="0.35">
      <c r="A1774" s="13">
        <v>45960</v>
      </c>
      <c r="B1774" t="s">
        <v>80</v>
      </c>
      <c r="C1774" t="s">
        <v>87</v>
      </c>
      <c r="E1774" s="8">
        <v>1</v>
      </c>
      <c r="F1774" s="1">
        <v>5702.48</v>
      </c>
      <c r="H1774">
        <v>1.21</v>
      </c>
      <c r="J1774" s="2">
        <f>+DATAIN_COMPRAS__2[[#This Row],[$/ UN NETO]]*DATAIN_COMPRAS__2[[#This Row],[IVA]]</f>
        <v>6900.0007999999989</v>
      </c>
      <c r="K1774" s="7">
        <f t="shared" si="52"/>
        <v>6900.0007999999989</v>
      </c>
      <c r="L1774" t="s">
        <v>158</v>
      </c>
    </row>
    <row r="1775" spans="1:12" x14ac:dyDescent="0.35">
      <c r="A1775" s="13">
        <v>45960</v>
      </c>
      <c r="B1775" t="s">
        <v>80</v>
      </c>
      <c r="C1775" t="s">
        <v>86</v>
      </c>
      <c r="E1775" s="8">
        <v>50</v>
      </c>
      <c r="F1775" s="1">
        <v>173.95</v>
      </c>
      <c r="H1775">
        <v>1.21</v>
      </c>
      <c r="J1775" s="2">
        <f>+DATAIN_COMPRAS__2[[#This Row],[$/ UN NETO]]*DATAIN_COMPRAS__2[[#This Row],[IVA]]</f>
        <v>210.47949999999997</v>
      </c>
      <c r="K1775" s="7">
        <f t="shared" si="52"/>
        <v>10523.975</v>
      </c>
      <c r="L1775" t="s">
        <v>237</v>
      </c>
    </row>
    <row r="1776" spans="1:12" x14ac:dyDescent="0.35">
      <c r="A1776" s="13">
        <v>45960</v>
      </c>
      <c r="B1776" t="s">
        <v>80</v>
      </c>
      <c r="C1776" t="s">
        <v>89</v>
      </c>
      <c r="E1776" s="8">
        <v>2</v>
      </c>
      <c r="F1776" s="1">
        <v>743.8</v>
      </c>
      <c r="H1776">
        <v>1.21</v>
      </c>
      <c r="J1776" s="2">
        <f>+DATAIN_COMPRAS__2[[#This Row],[$/ UN NETO]]*DATAIN_COMPRAS__2[[#This Row],[IVA]]</f>
        <v>899.99799999999993</v>
      </c>
      <c r="K1776" s="7">
        <f t="shared" si="52"/>
        <v>1799.9959999999999</v>
      </c>
      <c r="L1776" t="s">
        <v>237</v>
      </c>
    </row>
    <row r="1777" spans="1:14" x14ac:dyDescent="0.35">
      <c r="A1777" s="13">
        <v>45960</v>
      </c>
      <c r="B1777" t="s">
        <v>80</v>
      </c>
      <c r="C1777" t="s">
        <v>90</v>
      </c>
      <c r="E1777" s="8">
        <v>1</v>
      </c>
      <c r="F1777" s="1">
        <v>8264.4599999999991</v>
      </c>
      <c r="H1777">
        <v>1.21</v>
      </c>
      <c r="J1777" s="2">
        <f>+DATAIN_COMPRAS__2[[#This Row],[$/ UN NETO]]*DATAIN_COMPRAS__2[[#This Row],[IVA]]</f>
        <v>9999.9965999999986</v>
      </c>
      <c r="K1777" s="7">
        <f t="shared" si="52"/>
        <v>9999.9965999999986</v>
      </c>
      <c r="L1777" t="s">
        <v>158</v>
      </c>
    </row>
    <row r="1778" spans="1:14" x14ac:dyDescent="0.35">
      <c r="A1778" s="13">
        <v>45960</v>
      </c>
      <c r="B1778" t="s">
        <v>80</v>
      </c>
      <c r="C1778" t="s">
        <v>852</v>
      </c>
      <c r="E1778" s="8">
        <v>2</v>
      </c>
      <c r="F1778" s="1">
        <v>991.74</v>
      </c>
      <c r="H1778">
        <v>1.21</v>
      </c>
      <c r="J1778" s="2">
        <f>+DATAIN_COMPRAS__2[[#This Row],[$/ UN NETO]]*DATAIN_COMPRAS__2[[#This Row],[IVA]]</f>
        <v>1200.0054</v>
      </c>
      <c r="K1778" s="7">
        <f t="shared" si="52"/>
        <v>2400.0108</v>
      </c>
      <c r="L1778" t="s">
        <v>158</v>
      </c>
    </row>
    <row r="1779" spans="1:14" x14ac:dyDescent="0.35">
      <c r="A1779" s="13">
        <v>45960</v>
      </c>
      <c r="B1779" t="s">
        <v>80</v>
      </c>
      <c r="C1779" t="s">
        <v>98</v>
      </c>
      <c r="E1779" s="8">
        <v>50</v>
      </c>
      <c r="F1779" s="1">
        <f>8264.46/50</f>
        <v>165.28919999999999</v>
      </c>
      <c r="H1779">
        <v>1.21</v>
      </c>
      <c r="J1779" s="2">
        <f>+DATAIN_COMPRAS__2[[#This Row],[$/ UN NETO]]*DATAIN_COMPRAS__2[[#This Row],[IVA]]</f>
        <v>199.99993199999997</v>
      </c>
      <c r="K1779" s="7">
        <f t="shared" si="52"/>
        <v>9999.9965999999986</v>
      </c>
      <c r="L1779" t="s">
        <v>237</v>
      </c>
    </row>
    <row r="1780" spans="1:14" x14ac:dyDescent="0.35">
      <c r="A1780" s="13">
        <v>45960</v>
      </c>
      <c r="B1780" t="s">
        <v>80</v>
      </c>
      <c r="C1780" t="s">
        <v>304</v>
      </c>
      <c r="E1780" s="8">
        <v>30</v>
      </c>
      <c r="F1780" s="1">
        <v>90.91</v>
      </c>
      <c r="H1780">
        <v>1.21</v>
      </c>
      <c r="J1780" s="2">
        <f>+DATAIN_COMPRAS__2[[#This Row],[$/ UN NETO]]*DATAIN_COMPRAS__2[[#This Row],[IVA]]</f>
        <v>110.00109999999999</v>
      </c>
      <c r="K1780" s="7">
        <f t="shared" si="52"/>
        <v>3300.0329999999994</v>
      </c>
      <c r="L1780" t="s">
        <v>237</v>
      </c>
    </row>
    <row r="1781" spans="1:14" x14ac:dyDescent="0.35">
      <c r="A1781" s="13">
        <v>45960</v>
      </c>
      <c r="B1781" t="s">
        <v>80</v>
      </c>
      <c r="C1781" t="s">
        <v>303</v>
      </c>
      <c r="E1781" s="8">
        <v>30</v>
      </c>
      <c r="F1781" s="1">
        <v>233.14</v>
      </c>
      <c r="H1781">
        <v>1.21</v>
      </c>
      <c r="J1781" s="2">
        <f>+DATAIN_COMPRAS__2[[#This Row],[$/ UN NETO]]*DATAIN_COMPRAS__2[[#This Row],[IVA]]</f>
        <v>282.0994</v>
      </c>
      <c r="K1781" s="7">
        <f t="shared" si="52"/>
        <v>8462.982</v>
      </c>
      <c r="L1781" t="s">
        <v>237</v>
      </c>
    </row>
    <row r="1782" spans="1:14" x14ac:dyDescent="0.35">
      <c r="A1782" s="13">
        <v>45960</v>
      </c>
      <c r="B1782" t="s">
        <v>110</v>
      </c>
      <c r="C1782" t="s">
        <v>112</v>
      </c>
      <c r="E1782" s="8">
        <v>0.5</v>
      </c>
      <c r="F1782" s="1">
        <f>4200*2</f>
        <v>8400</v>
      </c>
      <c r="H1782">
        <v>1.21</v>
      </c>
      <c r="J1782" s="2">
        <f>+DATAIN_COMPRAS__2[[#This Row],[$/ UN NETO]]*DATAIN_COMPRAS__2[[#This Row],[IVA]]</f>
        <v>10164</v>
      </c>
      <c r="K1782" s="7">
        <f t="shared" si="52"/>
        <v>5082</v>
      </c>
      <c r="L1782" t="s">
        <v>158</v>
      </c>
    </row>
    <row r="1783" spans="1:14" x14ac:dyDescent="0.35">
      <c r="A1783" s="13">
        <v>45960</v>
      </c>
      <c r="B1783" t="s">
        <v>110</v>
      </c>
      <c r="C1783" t="s">
        <v>195</v>
      </c>
      <c r="E1783" s="8">
        <v>9.1999999999999993</v>
      </c>
      <c r="F1783" s="1">
        <f>32200.3/9.2</f>
        <v>3500.0326086956525</v>
      </c>
      <c r="H1783">
        <v>1.21</v>
      </c>
      <c r="J1783" s="2">
        <f>+DATAIN_COMPRAS__2[[#This Row],[$/ UN NETO]]*DATAIN_COMPRAS__2[[#This Row],[IVA]]</f>
        <v>4235.0394565217393</v>
      </c>
      <c r="K1783" s="7">
        <f t="shared" si="52"/>
        <v>38962.362999999998</v>
      </c>
      <c r="L1783" t="s">
        <v>237</v>
      </c>
    </row>
    <row r="1784" spans="1:14" x14ac:dyDescent="0.35">
      <c r="A1784" s="13">
        <v>45960</v>
      </c>
      <c r="B1784" t="s">
        <v>12</v>
      </c>
      <c r="C1784" t="s">
        <v>109</v>
      </c>
      <c r="E1784" s="8">
        <v>0.56000000000000005</v>
      </c>
      <c r="F1784" s="1">
        <v>4368</v>
      </c>
      <c r="H1784">
        <v>1</v>
      </c>
      <c r="J1784" s="2">
        <f>+DATAIN_COMPRAS__2[[#This Row],[$/ UN NETO]]*DATAIN_COMPRAS__2[[#This Row],[IVA]]</f>
        <v>4368</v>
      </c>
      <c r="K1784" s="7">
        <f t="shared" si="52"/>
        <v>2446.0800000000004</v>
      </c>
      <c r="L1784" t="s">
        <v>237</v>
      </c>
      <c r="N1784">
        <f>8200+12874</f>
        <v>21074</v>
      </c>
    </row>
    <row r="1785" spans="1:14" x14ac:dyDescent="0.35">
      <c r="A1785" s="13">
        <v>45960</v>
      </c>
      <c r="B1785" t="s">
        <v>12</v>
      </c>
      <c r="C1785" t="s">
        <v>15</v>
      </c>
      <c r="E1785" s="8">
        <v>1.415</v>
      </c>
      <c r="F1785" s="1">
        <v>4528</v>
      </c>
      <c r="H1785">
        <v>1</v>
      </c>
      <c r="J1785" s="2">
        <f>+DATAIN_COMPRAS__2[[#This Row],[$/ UN NETO]]*DATAIN_COMPRAS__2[[#This Row],[IVA]]</f>
        <v>4528</v>
      </c>
      <c r="K1785" s="7">
        <f t="shared" si="52"/>
        <v>6407.12</v>
      </c>
      <c r="L1785" t="s">
        <v>237</v>
      </c>
    </row>
    <row r="1786" spans="1:14" x14ac:dyDescent="0.35">
      <c r="A1786" s="13">
        <v>45960</v>
      </c>
      <c r="B1786" t="s">
        <v>12</v>
      </c>
      <c r="C1786" t="s">
        <v>17</v>
      </c>
      <c r="E1786" s="8">
        <v>1.8</v>
      </c>
      <c r="F1786" s="1">
        <v>5760</v>
      </c>
      <c r="H1786">
        <v>1</v>
      </c>
      <c r="J1786" s="2">
        <f>+DATAIN_COMPRAS__2[[#This Row],[$/ UN NETO]]*DATAIN_COMPRAS__2[[#This Row],[IVA]]</f>
        <v>5760</v>
      </c>
      <c r="K1786" s="7">
        <f t="shared" si="52"/>
        <v>10368</v>
      </c>
      <c r="L1786" t="s">
        <v>237</v>
      </c>
    </row>
    <row r="1787" spans="1:14" x14ac:dyDescent="0.35">
      <c r="A1787" s="13">
        <v>45960</v>
      </c>
      <c r="B1787" t="s">
        <v>12</v>
      </c>
      <c r="C1787" t="s">
        <v>30</v>
      </c>
      <c r="E1787" s="8">
        <v>1.1000000000000001</v>
      </c>
      <c r="F1787" s="1">
        <v>1045</v>
      </c>
      <c r="H1787">
        <v>1</v>
      </c>
      <c r="J1787" s="2">
        <f>+DATAIN_COMPRAS__2[[#This Row],[$/ UN NETO]]*DATAIN_COMPRAS__2[[#This Row],[IVA]]</f>
        <v>1045</v>
      </c>
      <c r="K1787" s="7">
        <f t="shared" si="52"/>
        <v>1149.5</v>
      </c>
      <c r="L1787" t="s">
        <v>237</v>
      </c>
    </row>
    <row r="1788" spans="1:14" x14ac:dyDescent="0.35">
      <c r="A1788" s="13">
        <v>45961</v>
      </c>
      <c r="B1788" t="s">
        <v>796</v>
      </c>
      <c r="C1788" t="s">
        <v>825</v>
      </c>
      <c r="E1788" s="8"/>
      <c r="F1788" s="1"/>
      <c r="J1788" s="2"/>
      <c r="K1788" s="7">
        <v>22170</v>
      </c>
      <c r="L1788" t="s">
        <v>237</v>
      </c>
    </row>
    <row r="1789" spans="1:14" x14ac:dyDescent="0.35">
      <c r="A1789" s="13">
        <v>45961</v>
      </c>
      <c r="B1789" t="s">
        <v>796</v>
      </c>
      <c r="C1789" t="s">
        <v>825</v>
      </c>
      <c r="E1789" s="8"/>
      <c r="F1789" s="1"/>
      <c r="J1789" s="2"/>
      <c r="K1789" s="7">
        <v>52877</v>
      </c>
      <c r="L1789" t="s">
        <v>237</v>
      </c>
    </row>
    <row r="1790" spans="1:14" x14ac:dyDescent="0.35">
      <c r="A1790" s="13">
        <v>45962</v>
      </c>
      <c r="B1790" t="s">
        <v>796</v>
      </c>
      <c r="C1790" t="s">
        <v>825</v>
      </c>
      <c r="E1790" s="8"/>
      <c r="F1790" s="1"/>
      <c r="J1790" s="2"/>
      <c r="K1790" s="7">
        <v>3140</v>
      </c>
      <c r="L1790" t="s">
        <v>237</v>
      </c>
    </row>
    <row r="1791" spans="1:14" x14ac:dyDescent="0.35">
      <c r="A1791" s="13">
        <v>45962</v>
      </c>
      <c r="B1791" t="s">
        <v>796</v>
      </c>
      <c r="C1791" t="s">
        <v>825</v>
      </c>
      <c r="E1791" s="8"/>
      <c r="F1791" s="1"/>
      <c r="J1791" s="2"/>
      <c r="K1791" s="7">
        <v>65689.94</v>
      </c>
      <c r="L1791" t="s">
        <v>237</v>
      </c>
    </row>
    <row r="1792" spans="1:14" x14ac:dyDescent="0.35">
      <c r="A1792" s="13">
        <v>45962</v>
      </c>
      <c r="B1792" t="s">
        <v>48</v>
      </c>
      <c r="C1792" t="s">
        <v>776</v>
      </c>
      <c r="D1792" t="s">
        <v>368</v>
      </c>
      <c r="E1792" s="8">
        <v>5</v>
      </c>
      <c r="F1792" s="1">
        <f>63010.5408/5</f>
        <v>12602.10816</v>
      </c>
      <c r="H1792">
        <v>1.21</v>
      </c>
      <c r="I1792">
        <v>0.06</v>
      </c>
      <c r="J1792" s="2">
        <f>+DATAIN_COMPRAS__2[[#This Row],[$/ UN NETO]]*DATAIN_COMPRAS__2[[#This Row],[IVA]]</f>
        <v>15248.550873599999</v>
      </c>
      <c r="K1792" s="7">
        <f>(E1792*F1792)*(1-I1792)*(H1792)</f>
        <v>71668.189105919999</v>
      </c>
      <c r="L1792" t="s">
        <v>158</v>
      </c>
    </row>
    <row r="1793" spans="1:12" x14ac:dyDescent="0.35">
      <c r="A1793" s="13">
        <v>45962</v>
      </c>
      <c r="B1793" t="s">
        <v>174</v>
      </c>
      <c r="C1793" t="s">
        <v>164</v>
      </c>
      <c r="E1793" s="8">
        <v>1</v>
      </c>
      <c r="F1793" s="1">
        <v>5909</v>
      </c>
      <c r="H1793">
        <v>1.21</v>
      </c>
      <c r="J1793" s="2">
        <f>+DATAIN_COMPRAS__2[[#This Row],[$/ UN NETO]]*DATAIN_COMPRAS__2[[#This Row],[IVA]]</f>
        <v>7149.8899999999994</v>
      </c>
      <c r="K1793" s="7">
        <f>(E1793*F1793)*(1-I1793)*(H1793)</f>
        <v>7149.8899999999994</v>
      </c>
      <c r="L1793" t="s">
        <v>158</v>
      </c>
    </row>
    <row r="1794" spans="1:12" x14ac:dyDescent="0.35">
      <c r="A1794" s="13">
        <v>45962</v>
      </c>
      <c r="B1794" t="s">
        <v>132</v>
      </c>
      <c r="C1794" t="s">
        <v>133</v>
      </c>
      <c r="D1794" t="s">
        <v>368</v>
      </c>
      <c r="E1794" s="8">
        <v>7.0000000000000007E-2</v>
      </c>
      <c r="F1794" s="1">
        <f>4000/0.07</f>
        <v>57142.857142857138</v>
      </c>
      <c r="H1794">
        <v>1</v>
      </c>
      <c r="J1794" s="2">
        <f>+DATAIN_COMPRAS__2[[#This Row],[$/ UN NETO]]*DATAIN_COMPRAS__2[[#This Row],[IVA]]</f>
        <v>57142.857142857138</v>
      </c>
      <c r="K1794" s="7">
        <f>(E1794*F1794)*(1-I1794)*(H1794)</f>
        <v>4000</v>
      </c>
      <c r="L1794" t="s">
        <v>237</v>
      </c>
    </row>
    <row r="1795" spans="1:12" x14ac:dyDescent="0.35">
      <c r="A1795" s="13">
        <v>45963</v>
      </c>
      <c r="B1795" t="s">
        <v>796</v>
      </c>
      <c r="C1795" t="s">
        <v>825</v>
      </c>
      <c r="E1795" s="8"/>
      <c r="F1795" s="1"/>
      <c r="J1795" s="2"/>
      <c r="K1795" s="7">
        <v>49224</v>
      </c>
      <c r="L1795" t="s">
        <v>237</v>
      </c>
    </row>
    <row r="1796" spans="1:12" x14ac:dyDescent="0.35">
      <c r="A1796" s="13">
        <v>45963</v>
      </c>
      <c r="B1796" t="s">
        <v>796</v>
      </c>
      <c r="C1796" t="s">
        <v>825</v>
      </c>
      <c r="E1796" s="8"/>
      <c r="F1796" s="1"/>
      <c r="J1796" s="2"/>
      <c r="K1796" s="7">
        <v>8388</v>
      </c>
      <c r="L1796" t="s">
        <v>237</v>
      </c>
    </row>
    <row r="1797" spans="1:12" x14ac:dyDescent="0.35">
      <c r="A1797" s="13">
        <v>45963</v>
      </c>
      <c r="B1797" t="s">
        <v>796</v>
      </c>
      <c r="C1797" t="s">
        <v>825</v>
      </c>
      <c r="E1797" s="8"/>
      <c r="F1797" s="1"/>
      <c r="J1797" s="2"/>
      <c r="K1797" s="7">
        <v>7068</v>
      </c>
      <c r="L1797" t="s">
        <v>237</v>
      </c>
    </row>
    <row r="1798" spans="1:12" x14ac:dyDescent="0.35">
      <c r="A1798" s="13">
        <v>45963</v>
      </c>
      <c r="B1798" t="s">
        <v>796</v>
      </c>
      <c r="C1798" t="s">
        <v>825</v>
      </c>
      <c r="E1798" s="8"/>
      <c r="F1798" s="1"/>
      <c r="J1798" s="2"/>
      <c r="K1798" s="7">
        <v>9420</v>
      </c>
      <c r="L1798" t="s">
        <v>237</v>
      </c>
    </row>
    <row r="1799" spans="1:12" x14ac:dyDescent="0.35">
      <c r="A1799" s="13">
        <v>45963</v>
      </c>
      <c r="B1799" t="s">
        <v>12</v>
      </c>
      <c r="C1799" t="s">
        <v>26</v>
      </c>
      <c r="E1799" s="8">
        <v>1.835</v>
      </c>
      <c r="F1799" s="1">
        <v>2986.43</v>
      </c>
      <c r="H1799">
        <v>1.105</v>
      </c>
      <c r="J1799" s="2">
        <f>+DATAIN_COMPRAS__2[[#This Row],[$/ UN NETO]]*DATAIN_COMPRAS__2[[#This Row],[IVA]]</f>
        <v>3300.00515</v>
      </c>
      <c r="K1799" s="7">
        <f t="shared" ref="K1799:K1836" si="53">(E1799*F1799)*(1-I1799)*(H1799)</f>
        <v>6055.5094502499996</v>
      </c>
      <c r="L1799" t="s">
        <v>237</v>
      </c>
    </row>
    <row r="1800" spans="1:12" x14ac:dyDescent="0.35">
      <c r="A1800" s="13">
        <v>45963</v>
      </c>
      <c r="B1800" t="s">
        <v>12</v>
      </c>
      <c r="C1800" t="s">
        <v>25</v>
      </c>
      <c r="E1800" s="8">
        <v>0.48499999999999999</v>
      </c>
      <c r="F1800" s="1">
        <v>7511.31</v>
      </c>
      <c r="H1800">
        <v>1.105</v>
      </c>
      <c r="J1800" s="2">
        <f>+DATAIN_COMPRAS__2[[#This Row],[$/ UN NETO]]*DATAIN_COMPRAS__2[[#This Row],[IVA]]</f>
        <v>8299.99755</v>
      </c>
      <c r="K1800" s="7">
        <f t="shared" si="53"/>
        <v>4025.4988117499997</v>
      </c>
      <c r="L1800" t="s">
        <v>237</v>
      </c>
    </row>
    <row r="1801" spans="1:12" x14ac:dyDescent="0.35">
      <c r="A1801" s="13">
        <v>45964</v>
      </c>
      <c r="B1801" t="s">
        <v>48</v>
      </c>
      <c r="C1801" t="s">
        <v>52</v>
      </c>
      <c r="E1801" s="8">
        <v>3.55</v>
      </c>
      <c r="F1801" s="1">
        <v>6650.2920000000004</v>
      </c>
      <c r="H1801">
        <v>1.21</v>
      </c>
      <c r="J1801" s="2">
        <f>+DATAIN_COMPRAS__2[[#This Row],[$/ UN NETO]]*DATAIN_COMPRAS__2[[#This Row],[IVA]]</f>
        <v>8046.8533200000002</v>
      </c>
      <c r="K1801" s="7">
        <f t="shared" si="53"/>
        <v>28566.329286</v>
      </c>
      <c r="L1801" t="s">
        <v>237</v>
      </c>
    </row>
    <row r="1802" spans="1:12" x14ac:dyDescent="0.35">
      <c r="A1802" s="13">
        <v>45964</v>
      </c>
      <c r="B1802" t="s">
        <v>359</v>
      </c>
      <c r="C1802" t="s">
        <v>153</v>
      </c>
      <c r="E1802" s="8">
        <v>1</v>
      </c>
      <c r="F1802" s="1">
        <v>2591.7399999999998</v>
      </c>
      <c r="H1802">
        <v>1.21</v>
      </c>
      <c r="J1802" s="2">
        <f>+DATAIN_COMPRAS__2[[#This Row],[$/ UN NETO]]*DATAIN_COMPRAS__2[[#This Row],[IVA]]</f>
        <v>3136.0053999999996</v>
      </c>
      <c r="K1802" s="7">
        <f t="shared" si="53"/>
        <v>3136.0053999999996</v>
      </c>
      <c r="L1802" t="s">
        <v>237</v>
      </c>
    </row>
    <row r="1803" spans="1:12" x14ac:dyDescent="0.35">
      <c r="A1803" s="13">
        <v>45964</v>
      </c>
      <c r="B1803" t="s">
        <v>12</v>
      </c>
      <c r="C1803" t="s">
        <v>26</v>
      </c>
      <c r="E1803" s="8">
        <v>2</v>
      </c>
      <c r="F1803" s="1">
        <v>2200</v>
      </c>
      <c r="H1803">
        <v>1</v>
      </c>
      <c r="J1803" s="2">
        <f>+DATAIN_COMPRAS__2[[#This Row],[$/ UN NETO]]*DATAIN_COMPRAS__2[[#This Row],[IVA]]</f>
        <v>2200</v>
      </c>
      <c r="K1803" s="7">
        <f t="shared" si="53"/>
        <v>4400</v>
      </c>
      <c r="L1803" t="s">
        <v>237</v>
      </c>
    </row>
    <row r="1804" spans="1:12" x14ac:dyDescent="0.35">
      <c r="A1804" s="13">
        <v>45964</v>
      </c>
      <c r="B1804" t="s">
        <v>12</v>
      </c>
      <c r="C1804" t="s">
        <v>316</v>
      </c>
      <c r="E1804" s="8">
        <v>0.5</v>
      </c>
      <c r="F1804" s="1">
        <v>8800</v>
      </c>
      <c r="H1804">
        <v>1</v>
      </c>
      <c r="J1804" s="2">
        <f>+DATAIN_COMPRAS__2[[#This Row],[$/ UN NETO]]*DATAIN_COMPRAS__2[[#This Row],[IVA]]</f>
        <v>8800</v>
      </c>
      <c r="K1804" s="7">
        <f t="shared" si="53"/>
        <v>4400</v>
      </c>
      <c r="L1804" t="s">
        <v>237</v>
      </c>
    </row>
    <row r="1805" spans="1:12" x14ac:dyDescent="0.35">
      <c r="A1805" s="13">
        <v>45964</v>
      </c>
      <c r="B1805" t="s">
        <v>12</v>
      </c>
      <c r="C1805" t="s">
        <v>23</v>
      </c>
      <c r="E1805" s="8">
        <v>0.5</v>
      </c>
      <c r="F1805" s="1">
        <v>8800</v>
      </c>
      <c r="H1805">
        <v>1</v>
      </c>
      <c r="J1805" s="2">
        <f>+DATAIN_COMPRAS__2[[#This Row],[$/ UN NETO]]*DATAIN_COMPRAS__2[[#This Row],[IVA]]</f>
        <v>8800</v>
      </c>
      <c r="K1805" s="7">
        <f t="shared" si="53"/>
        <v>4400</v>
      </c>
      <c r="L1805" t="s">
        <v>158</v>
      </c>
    </row>
    <row r="1806" spans="1:12" x14ac:dyDescent="0.35">
      <c r="A1806" s="13">
        <v>45964</v>
      </c>
      <c r="B1806" t="s">
        <v>12</v>
      </c>
      <c r="C1806" t="s">
        <v>35</v>
      </c>
      <c r="E1806" s="8">
        <v>0.12</v>
      </c>
      <c r="F1806" s="1">
        <v>3000</v>
      </c>
      <c r="H1806">
        <v>1</v>
      </c>
      <c r="J1806" s="2">
        <f>+DATAIN_COMPRAS__2[[#This Row],[$/ UN NETO]]*DATAIN_COMPRAS__2[[#This Row],[IVA]]</f>
        <v>3000</v>
      </c>
      <c r="K1806" s="7">
        <f t="shared" si="53"/>
        <v>360</v>
      </c>
      <c r="L1806" t="s">
        <v>158</v>
      </c>
    </row>
    <row r="1807" spans="1:12" x14ac:dyDescent="0.35">
      <c r="A1807" s="13">
        <v>45964</v>
      </c>
      <c r="B1807" t="s">
        <v>12</v>
      </c>
      <c r="C1807" t="s">
        <v>331</v>
      </c>
      <c r="E1807" s="8">
        <v>7</v>
      </c>
      <c r="F1807" s="1">
        <v>2857.1428571428573</v>
      </c>
      <c r="H1807">
        <v>1</v>
      </c>
      <c r="J1807" s="2">
        <f>+DATAIN_COMPRAS__2[[#This Row],[$/ UN NETO]]*DATAIN_COMPRAS__2[[#This Row],[IVA]]</f>
        <v>2857.1428571428573</v>
      </c>
      <c r="K1807" s="7">
        <f t="shared" si="53"/>
        <v>20000</v>
      </c>
      <c r="L1807" t="s">
        <v>158</v>
      </c>
    </row>
    <row r="1808" spans="1:12" x14ac:dyDescent="0.35">
      <c r="A1808" s="13">
        <v>45964</v>
      </c>
      <c r="B1808" t="s">
        <v>12</v>
      </c>
      <c r="C1808" t="s">
        <v>331</v>
      </c>
      <c r="E1808" s="8">
        <v>14</v>
      </c>
      <c r="F1808" s="1">
        <f>40000/14</f>
        <v>2857.1428571428573</v>
      </c>
      <c r="H1808">
        <v>1</v>
      </c>
      <c r="J1808" s="2">
        <f>+DATAIN_COMPRAS__2[[#This Row],[$/ UN NETO]]*DATAIN_COMPRAS__2[[#This Row],[IVA]]</f>
        <v>2857.1428571428573</v>
      </c>
      <c r="K1808" s="7">
        <f t="shared" si="53"/>
        <v>40000</v>
      </c>
      <c r="L1808" t="s">
        <v>237</v>
      </c>
    </row>
    <row r="1809" spans="1:12" x14ac:dyDescent="0.35">
      <c r="A1809" s="13">
        <v>45964</v>
      </c>
      <c r="B1809" t="s">
        <v>12</v>
      </c>
      <c r="C1809" t="s">
        <v>15</v>
      </c>
      <c r="E1809" s="8">
        <v>2</v>
      </c>
      <c r="F1809" s="1">
        <v>3200</v>
      </c>
      <c r="H1809">
        <v>1</v>
      </c>
      <c r="J1809" s="2">
        <f>+DATAIN_COMPRAS__2[[#This Row],[$/ UN NETO]]*DATAIN_COMPRAS__2[[#This Row],[IVA]]</f>
        <v>3200</v>
      </c>
      <c r="K1809" s="7">
        <f t="shared" si="53"/>
        <v>6400</v>
      </c>
      <c r="L1809" t="s">
        <v>158</v>
      </c>
    </row>
    <row r="1810" spans="1:12" x14ac:dyDescent="0.35">
      <c r="A1810" s="13">
        <v>45964</v>
      </c>
      <c r="B1810" t="s">
        <v>12</v>
      </c>
      <c r="C1810" t="s">
        <v>19</v>
      </c>
      <c r="E1810" s="8">
        <v>4</v>
      </c>
      <c r="F1810" s="1">
        <v>6800</v>
      </c>
      <c r="H1810">
        <v>1</v>
      </c>
      <c r="J1810" s="2">
        <f>+DATAIN_COMPRAS__2[[#This Row],[$/ UN NETO]]*DATAIN_COMPRAS__2[[#This Row],[IVA]]</f>
        <v>6800</v>
      </c>
      <c r="K1810" s="7">
        <f t="shared" si="53"/>
        <v>27200</v>
      </c>
      <c r="L1810" t="s">
        <v>237</v>
      </c>
    </row>
    <row r="1811" spans="1:12" x14ac:dyDescent="0.35">
      <c r="A1811" s="13">
        <v>45964</v>
      </c>
      <c r="B1811" t="s">
        <v>12</v>
      </c>
      <c r="C1811" t="s">
        <v>17</v>
      </c>
      <c r="E1811" s="8">
        <v>1</v>
      </c>
      <c r="F1811" s="1">
        <v>3200</v>
      </c>
      <c r="H1811">
        <v>1</v>
      </c>
      <c r="J1811" s="2">
        <f>+DATAIN_COMPRAS__2[[#This Row],[$/ UN NETO]]*DATAIN_COMPRAS__2[[#This Row],[IVA]]</f>
        <v>3200</v>
      </c>
      <c r="K1811" s="7">
        <f t="shared" si="53"/>
        <v>3200</v>
      </c>
      <c r="L1811" t="s">
        <v>158</v>
      </c>
    </row>
    <row r="1812" spans="1:12" x14ac:dyDescent="0.35">
      <c r="A1812" s="13">
        <v>45964</v>
      </c>
      <c r="B1812" t="s">
        <v>12</v>
      </c>
      <c r="C1812" t="s">
        <v>17</v>
      </c>
      <c r="E1812" s="8">
        <v>1</v>
      </c>
      <c r="F1812" s="1">
        <v>3200</v>
      </c>
      <c r="H1812">
        <v>1</v>
      </c>
      <c r="J1812" s="2">
        <f>+DATAIN_COMPRAS__2[[#This Row],[$/ UN NETO]]*DATAIN_COMPRAS__2[[#This Row],[IVA]]</f>
        <v>3200</v>
      </c>
      <c r="K1812" s="7">
        <f t="shared" si="53"/>
        <v>3200</v>
      </c>
      <c r="L1812" t="s">
        <v>237</v>
      </c>
    </row>
    <row r="1813" spans="1:12" x14ac:dyDescent="0.35">
      <c r="A1813" s="13">
        <v>45965</v>
      </c>
      <c r="B1813" t="s">
        <v>48</v>
      </c>
      <c r="C1813" t="s">
        <v>55</v>
      </c>
      <c r="E1813" s="8">
        <v>1</v>
      </c>
      <c r="F1813" s="1">
        <f>933.1543*2</f>
        <v>1866.3086000000001</v>
      </c>
      <c r="H1813">
        <v>1.21</v>
      </c>
      <c r="I1813">
        <v>0.06</v>
      </c>
      <c r="J1813" s="2">
        <f>+DATAIN_COMPRAS__2[[#This Row],[$/ UN NETO]]*DATAIN_COMPRAS__2[[#This Row],[IVA]]</f>
        <v>2258.2334059999998</v>
      </c>
      <c r="K1813" s="7">
        <f t="shared" si="53"/>
        <v>2122.7394016399999</v>
      </c>
      <c r="L1813" t="s">
        <v>237</v>
      </c>
    </row>
    <row r="1814" spans="1:12" x14ac:dyDescent="0.35">
      <c r="A1814" s="13">
        <v>45965</v>
      </c>
      <c r="B1814" t="s">
        <v>48</v>
      </c>
      <c r="C1814" t="s">
        <v>51</v>
      </c>
      <c r="E1814" s="8">
        <v>3.46</v>
      </c>
      <c r="F1814" s="1">
        <v>10723.9195</v>
      </c>
      <c r="H1814">
        <v>1.21</v>
      </c>
      <c r="I1814">
        <v>0.06</v>
      </c>
      <c r="J1814" s="2">
        <f>+DATAIN_COMPRAS__2[[#This Row],[$/ UN NETO]]*DATAIN_COMPRAS__2[[#This Row],[IVA]]</f>
        <v>12975.942595</v>
      </c>
      <c r="K1814" s="7">
        <f t="shared" si="53"/>
        <v>42202.955695977987</v>
      </c>
      <c r="L1814" t="s">
        <v>237</v>
      </c>
    </row>
    <row r="1815" spans="1:12" x14ac:dyDescent="0.35">
      <c r="A1815" s="13">
        <v>45965</v>
      </c>
      <c r="B1815" t="s">
        <v>48</v>
      </c>
      <c r="C1815" t="s">
        <v>321</v>
      </c>
      <c r="E1815" s="8">
        <f>0.395*2</f>
        <v>0.79</v>
      </c>
      <c r="F1815" s="1">
        <f>3138.8701/DATAIN_COMPRAS__2[[#This Row],[CANT]]</f>
        <v>3973.2532911392404</v>
      </c>
      <c r="H1815">
        <v>1.21</v>
      </c>
      <c r="I1815">
        <v>0.06</v>
      </c>
      <c r="J1815" s="2">
        <f>+DATAIN_COMPRAS__2[[#This Row],[$/ UN NETO]]*DATAIN_COMPRAS__2[[#This Row],[IVA]]</f>
        <v>4807.6364822784808</v>
      </c>
      <c r="K1815" s="7">
        <f t="shared" si="53"/>
        <v>3570.1508517399998</v>
      </c>
      <c r="L1815" t="s">
        <v>158</v>
      </c>
    </row>
    <row r="1816" spans="1:12" x14ac:dyDescent="0.35">
      <c r="A1816" s="13">
        <v>45965</v>
      </c>
      <c r="B1816" t="s">
        <v>48</v>
      </c>
      <c r="C1816" t="s">
        <v>776</v>
      </c>
      <c r="E1816" s="8">
        <v>5</v>
      </c>
      <c r="F1816" s="1">
        <f>63010.5408/5</f>
        <v>12602.10816</v>
      </c>
      <c r="H1816">
        <v>1.21</v>
      </c>
      <c r="I1816">
        <v>0.06</v>
      </c>
      <c r="J1816" s="2">
        <f>+DATAIN_COMPRAS__2[[#This Row],[$/ UN NETO]]*DATAIN_COMPRAS__2[[#This Row],[IVA]]</f>
        <v>15248.550873599999</v>
      </c>
      <c r="K1816" s="7">
        <f t="shared" si="53"/>
        <v>71668.189105919999</v>
      </c>
      <c r="L1816" t="s">
        <v>158</v>
      </c>
    </row>
    <row r="1817" spans="1:12" x14ac:dyDescent="0.35">
      <c r="A1817" s="13">
        <v>45965</v>
      </c>
      <c r="B1817" t="s">
        <v>48</v>
      </c>
      <c r="C1817" t="s">
        <v>58</v>
      </c>
      <c r="E1817" s="8">
        <v>6</v>
      </c>
      <c r="F1817" s="1">
        <v>3660.3333333333335</v>
      </c>
      <c r="H1817">
        <v>1.21</v>
      </c>
      <c r="I1817">
        <v>0.06</v>
      </c>
      <c r="J1817" s="2">
        <f>+DATAIN_COMPRAS__2[[#This Row],[$/ UN NETO]]*DATAIN_COMPRAS__2[[#This Row],[IVA]]</f>
        <v>4429.0033333333331</v>
      </c>
      <c r="K1817" s="7">
        <f t="shared" si="53"/>
        <v>24979.578799999999</v>
      </c>
      <c r="L1817" t="s">
        <v>237</v>
      </c>
    </row>
    <row r="1818" spans="1:12" x14ac:dyDescent="0.35">
      <c r="A1818" s="13">
        <v>45965</v>
      </c>
      <c r="B1818" t="s">
        <v>48</v>
      </c>
      <c r="C1818" t="s">
        <v>49</v>
      </c>
      <c r="E1818" s="8">
        <v>4</v>
      </c>
      <c r="F1818" s="1">
        <f>20024.3261/4</f>
        <v>5006.0815249999996</v>
      </c>
      <c r="H1818">
        <v>1.21</v>
      </c>
      <c r="I1818">
        <v>0.06</v>
      </c>
      <c r="J1818" s="2">
        <f>+DATAIN_COMPRAS__2[[#This Row],[$/ UN NETO]]*DATAIN_COMPRAS__2[[#This Row],[IVA]]</f>
        <v>6057.3586452499994</v>
      </c>
      <c r="K1818" s="7">
        <f t="shared" si="53"/>
        <v>22775.668506139995</v>
      </c>
      <c r="L1818" t="s">
        <v>237</v>
      </c>
    </row>
    <row r="1819" spans="1:12" x14ac:dyDescent="0.35">
      <c r="A1819" s="13">
        <v>45965</v>
      </c>
      <c r="B1819" t="s">
        <v>48</v>
      </c>
      <c r="C1819" t="s">
        <v>248</v>
      </c>
      <c r="E1819" s="8">
        <v>24</v>
      </c>
      <c r="F1819" s="1">
        <f>857.34/12</f>
        <v>71.445000000000007</v>
      </c>
      <c r="H1819">
        <v>1.21</v>
      </c>
      <c r="J1819" s="2">
        <f>+DATAIN_COMPRAS__2[[#This Row],[$/ UN NETO]]*DATAIN_COMPRAS__2[[#This Row],[IVA]]</f>
        <v>86.448450000000008</v>
      </c>
      <c r="K1819" s="7">
        <f t="shared" si="53"/>
        <v>2074.7628000000004</v>
      </c>
      <c r="L1819" t="s">
        <v>237</v>
      </c>
    </row>
    <row r="1820" spans="1:12" x14ac:dyDescent="0.35">
      <c r="A1820" s="13">
        <v>45965</v>
      </c>
      <c r="B1820" t="s">
        <v>48</v>
      </c>
      <c r="C1820" t="s">
        <v>54</v>
      </c>
      <c r="E1820" s="8">
        <v>2</v>
      </c>
      <c r="F1820" s="1">
        <f>833.1421</f>
        <v>833.14210000000003</v>
      </c>
      <c r="H1820">
        <v>1.21</v>
      </c>
      <c r="I1820">
        <v>0.06</v>
      </c>
      <c r="J1820" s="2">
        <f>+DATAIN_COMPRAS__2[[#This Row],[$/ UN NETO]]*DATAIN_COMPRAS__2[[#This Row],[IVA]]</f>
        <v>1008.101941</v>
      </c>
      <c r="K1820" s="7">
        <f t="shared" si="53"/>
        <v>1895.2316490799999</v>
      </c>
      <c r="L1820" t="s">
        <v>237</v>
      </c>
    </row>
    <row r="1821" spans="1:12" x14ac:dyDescent="0.35">
      <c r="A1821" s="13">
        <v>45965</v>
      </c>
      <c r="B1821" t="s">
        <v>359</v>
      </c>
      <c r="C1821" t="s">
        <v>777</v>
      </c>
      <c r="E1821" s="8">
        <v>3</v>
      </c>
      <c r="F1821" s="1">
        <f>5393.4/3</f>
        <v>1797.8</v>
      </c>
      <c r="H1821">
        <v>1.21</v>
      </c>
      <c r="J1821" s="2">
        <f>+DATAIN_COMPRAS__2[[#This Row],[$/ UN NETO]]*DATAIN_COMPRAS__2[[#This Row],[IVA]]</f>
        <v>2175.3379999999997</v>
      </c>
      <c r="K1821" s="7">
        <f t="shared" si="53"/>
        <v>6526.0139999999992</v>
      </c>
      <c r="L1821" t="s">
        <v>158</v>
      </c>
    </row>
    <row r="1822" spans="1:12" x14ac:dyDescent="0.35">
      <c r="A1822" s="13">
        <v>45965</v>
      </c>
      <c r="B1822" t="s">
        <v>359</v>
      </c>
      <c r="C1822" t="s">
        <v>145</v>
      </c>
      <c r="E1822" s="8">
        <v>1</v>
      </c>
      <c r="F1822" s="1">
        <v>11176.86</v>
      </c>
      <c r="H1822">
        <v>1.21</v>
      </c>
      <c r="J1822" s="2">
        <f>+DATAIN_COMPRAS__2[[#This Row],[$/ UN NETO]]*DATAIN_COMPRAS__2[[#This Row],[IVA]]</f>
        <v>13524.000600000001</v>
      </c>
      <c r="K1822" s="7">
        <f t="shared" si="53"/>
        <v>13524.000600000001</v>
      </c>
      <c r="L1822" t="s">
        <v>158</v>
      </c>
    </row>
    <row r="1823" spans="1:12" x14ac:dyDescent="0.35">
      <c r="A1823" s="13">
        <v>45965</v>
      </c>
      <c r="B1823" t="s">
        <v>174</v>
      </c>
      <c r="C1823" t="s">
        <v>176</v>
      </c>
      <c r="E1823" s="8">
        <v>3</v>
      </c>
      <c r="F1823" s="1">
        <v>9743.7999999999993</v>
      </c>
      <c r="H1823">
        <v>1.21</v>
      </c>
      <c r="J1823" s="2">
        <f>+DATAIN_COMPRAS__2[[#This Row],[$/ UN NETO]]*DATAIN_COMPRAS__2[[#This Row],[IVA]]</f>
        <v>11789.998</v>
      </c>
      <c r="K1823" s="7">
        <f t="shared" si="53"/>
        <v>35369.993999999999</v>
      </c>
      <c r="L1823" t="s">
        <v>158</v>
      </c>
    </row>
    <row r="1824" spans="1:12" x14ac:dyDescent="0.35">
      <c r="A1824" s="13">
        <v>45965</v>
      </c>
      <c r="B1824" t="s">
        <v>174</v>
      </c>
      <c r="C1824" t="s">
        <v>175</v>
      </c>
      <c r="E1824" s="8">
        <v>2</v>
      </c>
      <c r="F1824" s="1">
        <v>9743.7999999999993</v>
      </c>
      <c r="H1824">
        <v>1.21</v>
      </c>
      <c r="J1824" s="2">
        <f>+DATAIN_COMPRAS__2[[#This Row],[$/ UN NETO]]*DATAIN_COMPRAS__2[[#This Row],[IVA]]</f>
        <v>11789.998</v>
      </c>
      <c r="K1824" s="7">
        <f t="shared" si="53"/>
        <v>23579.995999999999</v>
      </c>
      <c r="L1824" t="s">
        <v>158</v>
      </c>
    </row>
    <row r="1825" spans="1:12" x14ac:dyDescent="0.35">
      <c r="A1825" s="13">
        <v>45965</v>
      </c>
      <c r="B1825" t="s">
        <v>174</v>
      </c>
      <c r="C1825" t="s">
        <v>200</v>
      </c>
      <c r="E1825" s="8">
        <v>0.5</v>
      </c>
      <c r="F1825" s="1">
        <f>7024.79/DATAIN_COMPRAS__2[[#This Row],[CANT]]</f>
        <v>14049.58</v>
      </c>
      <c r="H1825">
        <v>1.21</v>
      </c>
      <c r="J1825" s="2">
        <f>+DATAIN_COMPRAS__2[[#This Row],[$/ UN NETO]]*DATAIN_COMPRAS__2[[#This Row],[IVA]]</f>
        <v>16999.9918</v>
      </c>
      <c r="K1825" s="7">
        <f t="shared" si="53"/>
        <v>8499.9958999999999</v>
      </c>
      <c r="L1825" t="s">
        <v>158</v>
      </c>
    </row>
    <row r="1826" spans="1:12" x14ac:dyDescent="0.35">
      <c r="A1826" s="13">
        <v>45965</v>
      </c>
      <c r="B1826" t="s">
        <v>174</v>
      </c>
      <c r="C1826" t="s">
        <v>233</v>
      </c>
      <c r="E1826" s="8">
        <v>1</v>
      </c>
      <c r="F1826" s="1">
        <v>2231.4</v>
      </c>
      <c r="H1826">
        <v>1.21</v>
      </c>
      <c r="J1826" s="2">
        <f>+DATAIN_COMPRAS__2[[#This Row],[$/ UN NETO]]*DATAIN_COMPRAS__2[[#This Row],[IVA]]</f>
        <v>2699.9940000000001</v>
      </c>
      <c r="K1826" s="7">
        <f t="shared" si="53"/>
        <v>2699.9940000000001</v>
      </c>
      <c r="L1826" t="s">
        <v>158</v>
      </c>
    </row>
    <row r="1827" spans="1:12" x14ac:dyDescent="0.35">
      <c r="A1827" s="13">
        <v>45965</v>
      </c>
      <c r="B1827" t="s">
        <v>174</v>
      </c>
      <c r="C1827" t="s">
        <v>178</v>
      </c>
      <c r="E1827" s="8">
        <v>10</v>
      </c>
      <c r="F1827" s="1">
        <v>355.37</v>
      </c>
      <c r="H1827">
        <v>1.21</v>
      </c>
      <c r="J1827" s="2">
        <f>+DATAIN_COMPRAS__2[[#This Row],[$/ UN NETO]]*DATAIN_COMPRAS__2[[#This Row],[IVA]]</f>
        <v>429.99770000000001</v>
      </c>
      <c r="K1827" s="7">
        <f t="shared" si="53"/>
        <v>4299.9769999999999</v>
      </c>
      <c r="L1827" t="s">
        <v>158</v>
      </c>
    </row>
    <row r="1828" spans="1:12" x14ac:dyDescent="0.35">
      <c r="A1828" s="13">
        <v>45965</v>
      </c>
      <c r="B1828" t="s">
        <v>154</v>
      </c>
      <c r="C1828" t="s">
        <v>157</v>
      </c>
      <c r="E1828" s="8">
        <v>12</v>
      </c>
      <c r="F1828" s="1">
        <v>544.07439999999997</v>
      </c>
      <c r="H1828">
        <v>1.21</v>
      </c>
      <c r="J1828" s="2">
        <f>+DATAIN_COMPRAS__2[[#This Row],[$/ UN NETO]]*DATAIN_COMPRAS__2[[#This Row],[IVA]]</f>
        <v>658.33002399999998</v>
      </c>
      <c r="K1828" s="7">
        <f t="shared" si="53"/>
        <v>7899.9602879999993</v>
      </c>
      <c r="L1828" t="s">
        <v>237</v>
      </c>
    </row>
    <row r="1829" spans="1:12" x14ac:dyDescent="0.35">
      <c r="A1829" s="13">
        <v>45965</v>
      </c>
      <c r="B1829" t="s">
        <v>154</v>
      </c>
      <c r="C1829" t="s">
        <v>156</v>
      </c>
      <c r="E1829" s="8">
        <v>12</v>
      </c>
      <c r="F1829" s="1">
        <v>599.17359999999996</v>
      </c>
      <c r="H1829">
        <v>1.21</v>
      </c>
      <c r="J1829" s="2">
        <f>+DATAIN_COMPRAS__2[[#This Row],[$/ UN NETO]]*DATAIN_COMPRAS__2[[#This Row],[IVA]]</f>
        <v>725.00005599999997</v>
      </c>
      <c r="K1829" s="7">
        <f t="shared" si="53"/>
        <v>8700.0006719999983</v>
      </c>
      <c r="L1829" t="s">
        <v>237</v>
      </c>
    </row>
    <row r="1830" spans="1:12" x14ac:dyDescent="0.35">
      <c r="A1830" s="13">
        <v>45965</v>
      </c>
      <c r="B1830" t="s">
        <v>110</v>
      </c>
      <c r="C1830" s="14" t="s">
        <v>163</v>
      </c>
      <c r="E1830" s="8">
        <v>5</v>
      </c>
      <c r="F1830" s="1">
        <v>1948.8</v>
      </c>
      <c r="H1830">
        <v>1.21</v>
      </c>
      <c r="J1830" s="2">
        <f>+DATAIN_COMPRAS__2[[#This Row],[$/ UN NETO]]*DATAIN_COMPRAS__2[[#This Row],[IVA]]</f>
        <v>2358.0479999999998</v>
      </c>
      <c r="K1830" s="7">
        <f t="shared" si="53"/>
        <v>11790.24</v>
      </c>
      <c r="L1830" t="s">
        <v>158</v>
      </c>
    </row>
    <row r="1831" spans="1:12" x14ac:dyDescent="0.35">
      <c r="A1831" s="13">
        <v>45965</v>
      </c>
      <c r="B1831" t="s">
        <v>110</v>
      </c>
      <c r="C1831" s="14" t="s">
        <v>165</v>
      </c>
      <c r="E1831" s="8">
        <v>10</v>
      </c>
      <c r="F1831" s="1">
        <f>12852.3/10</f>
        <v>1285.23</v>
      </c>
      <c r="H1831">
        <v>1.21</v>
      </c>
      <c r="J1831" s="2">
        <f>+DATAIN_COMPRAS__2[[#This Row],[$/ UN NETO]]*DATAIN_COMPRAS__2[[#This Row],[IVA]]</f>
        <v>1555.1283000000001</v>
      </c>
      <c r="K1831" s="7">
        <f t="shared" si="53"/>
        <v>15551.282999999999</v>
      </c>
      <c r="L1831" t="s">
        <v>158</v>
      </c>
    </row>
    <row r="1832" spans="1:12" x14ac:dyDescent="0.35">
      <c r="A1832" s="13">
        <v>45965</v>
      </c>
      <c r="B1832" t="s">
        <v>110</v>
      </c>
      <c r="C1832" s="14" t="s">
        <v>167</v>
      </c>
      <c r="E1832" s="8">
        <v>25</v>
      </c>
      <c r="F1832" s="1">
        <f>50625/25</f>
        <v>2025</v>
      </c>
      <c r="H1832">
        <v>1.21</v>
      </c>
      <c r="J1832" s="2">
        <f>+DATAIN_COMPRAS__2[[#This Row],[$/ UN NETO]]*DATAIN_COMPRAS__2[[#This Row],[IVA]]</f>
        <v>2450.25</v>
      </c>
      <c r="K1832" s="7">
        <f t="shared" si="53"/>
        <v>61256.25</v>
      </c>
      <c r="L1832" t="s">
        <v>158</v>
      </c>
    </row>
    <row r="1833" spans="1:12" x14ac:dyDescent="0.35">
      <c r="A1833" s="13">
        <v>45965</v>
      </c>
      <c r="B1833" t="s">
        <v>110</v>
      </c>
      <c r="C1833" s="14" t="s">
        <v>898</v>
      </c>
      <c r="E1833" s="8">
        <v>2</v>
      </c>
      <c r="F1833" s="1">
        <f>10292.5/2</f>
        <v>5146.25</v>
      </c>
      <c r="H1833">
        <v>1.21</v>
      </c>
      <c r="J1833" s="2">
        <f>+DATAIN_COMPRAS__2[[#This Row],[$/ UN NETO]]*DATAIN_COMPRAS__2[[#This Row],[IVA]]</f>
        <v>6226.9624999999996</v>
      </c>
      <c r="K1833" s="7">
        <f t="shared" si="53"/>
        <v>12453.924999999999</v>
      </c>
      <c r="L1833" t="s">
        <v>237</v>
      </c>
    </row>
    <row r="1834" spans="1:12" x14ac:dyDescent="0.35">
      <c r="A1834" s="13">
        <v>45965</v>
      </c>
      <c r="B1834" t="s">
        <v>71</v>
      </c>
      <c r="C1834" s="14" t="s">
        <v>224</v>
      </c>
      <c r="E1834" s="8">
        <v>500</v>
      </c>
      <c r="F1834" s="1">
        <v>22.867999999999999</v>
      </c>
      <c r="H1834">
        <v>1</v>
      </c>
      <c r="J1834" s="2">
        <f>+DATAIN_COMPRAS__2[[#This Row],[$/ UN NETO]]*DATAIN_COMPRAS__2[[#This Row],[IVA]]</f>
        <v>22.867999999999999</v>
      </c>
      <c r="K1834" s="7">
        <f t="shared" si="53"/>
        <v>11434</v>
      </c>
      <c r="L1834" t="s">
        <v>237</v>
      </c>
    </row>
    <row r="1835" spans="1:12" x14ac:dyDescent="0.35">
      <c r="A1835" s="13">
        <v>45965</v>
      </c>
      <c r="B1835" t="s">
        <v>71</v>
      </c>
      <c r="C1835" t="s">
        <v>896</v>
      </c>
      <c r="D1835" t="s">
        <v>897</v>
      </c>
      <c r="E1835" s="8">
        <v>1</v>
      </c>
      <c r="F1835" s="1">
        <v>2444</v>
      </c>
      <c r="H1835">
        <v>1</v>
      </c>
      <c r="J1835" s="2">
        <f>+DATAIN_COMPRAS__2[[#This Row],[$/ UN NETO]]*DATAIN_COMPRAS__2[[#This Row],[IVA]]</f>
        <v>2444</v>
      </c>
      <c r="K1835" s="7">
        <f t="shared" si="53"/>
        <v>2444</v>
      </c>
      <c r="L1835" t="s">
        <v>158</v>
      </c>
    </row>
    <row r="1836" spans="1:12" x14ac:dyDescent="0.35">
      <c r="A1836" s="13">
        <v>45965</v>
      </c>
      <c r="B1836" t="s">
        <v>71</v>
      </c>
      <c r="C1836" t="s">
        <v>74</v>
      </c>
      <c r="E1836" s="8">
        <v>1</v>
      </c>
      <c r="F1836" s="1">
        <v>9556</v>
      </c>
      <c r="H1836">
        <v>1</v>
      </c>
      <c r="J1836" s="2">
        <f>+DATAIN_COMPRAS__2[[#This Row],[$/ UN NETO]]*DATAIN_COMPRAS__2[[#This Row],[IVA]]</f>
        <v>9556</v>
      </c>
      <c r="K1836" s="7">
        <f t="shared" si="53"/>
        <v>9556</v>
      </c>
      <c r="L1836" t="s">
        <v>237</v>
      </c>
    </row>
    <row r="1837" spans="1:12" x14ac:dyDescent="0.35">
      <c r="A1837" s="13">
        <v>45966</v>
      </c>
      <c r="B1837" t="s">
        <v>796</v>
      </c>
      <c r="C1837" t="s">
        <v>825</v>
      </c>
      <c r="E1837" s="8"/>
      <c r="F1837" s="1"/>
      <c r="J1837" s="2"/>
      <c r="K1837" s="2">
        <v>42963.82</v>
      </c>
      <c r="L1837" t="s">
        <v>237</v>
      </c>
    </row>
    <row r="1838" spans="1:12" x14ac:dyDescent="0.35">
      <c r="A1838" s="13">
        <v>45965</v>
      </c>
      <c r="B1838" t="s">
        <v>75</v>
      </c>
      <c r="C1838" t="s">
        <v>76</v>
      </c>
      <c r="E1838" s="8">
        <v>72</v>
      </c>
      <c r="F1838" s="1">
        <v>1157.1600000000001</v>
      </c>
      <c r="H1838">
        <v>1.21</v>
      </c>
      <c r="J1838" s="2">
        <f>+DATAIN_COMPRAS__2[[#This Row],[$/ UN NETO]]*DATAIN_COMPRAS__2[[#This Row],[IVA]]</f>
        <v>1400.1636000000001</v>
      </c>
      <c r="K1838" s="7">
        <f t="shared" ref="K1838" si="54">(E1838*F1838)*(1-I1838)*(H1838)</f>
        <v>100811.7792</v>
      </c>
      <c r="L1838" t="s">
        <v>237</v>
      </c>
    </row>
    <row r="1839" spans="1:12" x14ac:dyDescent="0.35">
      <c r="A1839" s="13">
        <v>45965</v>
      </c>
      <c r="B1839" t="s">
        <v>75</v>
      </c>
      <c r="C1839" t="s">
        <v>76</v>
      </c>
      <c r="E1839" s="8">
        <v>24</v>
      </c>
      <c r="F1839" s="1">
        <v>1157.1600000000001</v>
      </c>
      <c r="H1839">
        <v>1.21</v>
      </c>
      <c r="J1839" s="2">
        <f>+DATAIN_COMPRAS__2[[#This Row],[$/ UN NETO]]*DATAIN_COMPRAS__2[[#This Row],[IVA]]</f>
        <v>1400.1636000000001</v>
      </c>
      <c r="K1839" s="7">
        <f t="shared" ref="K1839" si="55">(E1839*F1839)*(1-I1839)*(H1839)</f>
        <v>33603.926400000004</v>
      </c>
      <c r="L1839" t="s">
        <v>237</v>
      </c>
    </row>
    <row r="1840" spans="1:12" x14ac:dyDescent="0.35">
      <c r="A1840" s="13">
        <v>45966</v>
      </c>
      <c r="B1840" t="s">
        <v>124</v>
      </c>
      <c r="C1840" t="s">
        <v>125</v>
      </c>
      <c r="E1840" s="8">
        <v>6</v>
      </c>
      <c r="F1840" s="1">
        <f>219000/6</f>
        <v>36500</v>
      </c>
      <c r="H1840">
        <v>1</v>
      </c>
      <c r="J1840" s="2">
        <f>+DATAIN_COMPRAS__2[[#This Row],[$/ UN NETO]]*DATAIN_COMPRAS__2[[#This Row],[IVA]]</f>
        <v>36500</v>
      </c>
      <c r="K1840" s="7">
        <f t="shared" ref="K1840:K1842" si="56">(E1840*F1840)*(1-I1840)*(H1840)</f>
        <v>219000</v>
      </c>
      <c r="L1840" t="s">
        <v>237</v>
      </c>
    </row>
    <row r="1841" spans="1:12" x14ac:dyDescent="0.35">
      <c r="A1841" s="13">
        <v>45966</v>
      </c>
      <c r="B1841" t="s">
        <v>124</v>
      </c>
      <c r="C1841" t="s">
        <v>126</v>
      </c>
      <c r="E1841" s="8">
        <v>0.75</v>
      </c>
      <c r="F1841" s="1">
        <f>58685/0.75</f>
        <v>78246.666666666672</v>
      </c>
      <c r="H1841">
        <v>1</v>
      </c>
      <c r="J1841" s="2">
        <f>+DATAIN_COMPRAS__2[[#This Row],[$/ UN NETO]]*DATAIN_COMPRAS__2[[#This Row],[IVA]]</f>
        <v>78246.666666666672</v>
      </c>
      <c r="K1841" s="7">
        <f t="shared" si="56"/>
        <v>58685</v>
      </c>
      <c r="L1841" t="s">
        <v>237</v>
      </c>
    </row>
    <row r="1842" spans="1:12" x14ac:dyDescent="0.35">
      <c r="A1842" s="13">
        <v>45965</v>
      </c>
      <c r="B1842" t="s">
        <v>104</v>
      </c>
      <c r="C1842" t="s">
        <v>105</v>
      </c>
      <c r="E1842" s="8">
        <v>2</v>
      </c>
      <c r="F1842" s="1">
        <v>11990</v>
      </c>
      <c r="H1842">
        <v>1</v>
      </c>
      <c r="J1842" s="2">
        <f>+DATAIN_COMPRAS__2[[#This Row],[$/ UN NETO]]*DATAIN_COMPRAS__2[[#This Row],[IVA]]</f>
        <v>11990</v>
      </c>
      <c r="K1842" s="7">
        <f t="shared" si="56"/>
        <v>23980</v>
      </c>
      <c r="L1842" t="s">
        <v>237</v>
      </c>
    </row>
    <row r="1843" spans="1:12" x14ac:dyDescent="0.35">
      <c r="A1843" s="13">
        <v>45966</v>
      </c>
      <c r="B1843" t="s">
        <v>827</v>
      </c>
      <c r="C1843" t="s">
        <v>103</v>
      </c>
      <c r="E1843" s="8">
        <v>180</v>
      </c>
      <c r="F1843" s="1">
        <f>33500/180</f>
        <v>186.11111111111111</v>
      </c>
      <c r="H1843">
        <v>1</v>
      </c>
      <c r="J1843" s="2">
        <f>+DATAIN_COMPRAS__2[[#This Row],[$/ UN NETO]]*DATAIN_COMPRAS__2[[#This Row],[IVA]]</f>
        <v>186.11111111111111</v>
      </c>
      <c r="K1843" s="7">
        <f t="shared" ref="K1843" si="57">(E1843*F1843)*(1-I1843)*(H1843)</f>
        <v>33500</v>
      </c>
      <c r="L1843" t="s">
        <v>237</v>
      </c>
    </row>
    <row r="1844" spans="1:12" x14ac:dyDescent="0.35">
      <c r="A1844" s="13">
        <v>45966</v>
      </c>
      <c r="B1844" t="s">
        <v>185</v>
      </c>
      <c r="C1844" t="s">
        <v>187</v>
      </c>
      <c r="E1844" s="8">
        <v>25</v>
      </c>
      <c r="F1844" s="1">
        <v>1069.1199999999999</v>
      </c>
      <c r="H1844">
        <v>1</v>
      </c>
      <c r="J1844" s="2">
        <f>+DATAIN_COMPRAS__2[[#This Row],[$/ UN NETO]]*DATAIN_COMPRAS__2[[#This Row],[IVA]]</f>
        <v>1069.1199999999999</v>
      </c>
      <c r="K1844" s="7">
        <f t="shared" ref="K1844:K1845" si="58">(E1844*F1844)*(1-I1844)*(H1844)</f>
        <v>26727.999999999996</v>
      </c>
      <c r="L1844" t="s">
        <v>158</v>
      </c>
    </row>
    <row r="1845" spans="1:12" x14ac:dyDescent="0.35">
      <c r="A1845" s="13">
        <v>45966</v>
      </c>
      <c r="B1845" t="s">
        <v>185</v>
      </c>
      <c r="C1845" t="s">
        <v>186</v>
      </c>
      <c r="E1845" s="8">
        <v>25</v>
      </c>
      <c r="F1845" s="1">
        <v>1138.1199999999999</v>
      </c>
      <c r="H1845">
        <v>1</v>
      </c>
      <c r="J1845" s="2">
        <f>+DATAIN_COMPRAS__2[[#This Row],[$/ UN NETO]]*DATAIN_COMPRAS__2[[#This Row],[IVA]]</f>
        <v>1138.1199999999999</v>
      </c>
      <c r="K1845" s="7">
        <f t="shared" si="58"/>
        <v>28452.999999999996</v>
      </c>
      <c r="L1845" t="s">
        <v>158</v>
      </c>
    </row>
    <row r="1846" spans="1:12" x14ac:dyDescent="0.35">
      <c r="A1846" s="13">
        <v>45967</v>
      </c>
      <c r="B1846" t="s">
        <v>256</v>
      </c>
      <c r="C1846" t="s">
        <v>160</v>
      </c>
      <c r="E1846" s="8">
        <v>2.97</v>
      </c>
      <c r="F1846" s="1">
        <v>10882.302</v>
      </c>
      <c r="H1846">
        <v>1.21</v>
      </c>
      <c r="I1846">
        <v>0.05</v>
      </c>
      <c r="J1846" s="2">
        <f>+DATAIN_COMPRAS__2[[#This Row],[$/ UN NETO]]*DATAIN_COMPRAS__2[[#This Row],[IVA]]</f>
        <v>13167.585419999999</v>
      </c>
      <c r="K1846" s="7">
        <f t="shared" ref="K1846:K1847" si="59">(E1846*F1846)*(1-I1846)*(H1846)</f>
        <v>37152.342262530001</v>
      </c>
      <c r="L1846" t="s">
        <v>158</v>
      </c>
    </row>
    <row r="1847" spans="1:12" x14ac:dyDescent="0.35">
      <c r="A1847" s="13">
        <v>45967</v>
      </c>
      <c r="B1847" t="s">
        <v>256</v>
      </c>
      <c r="C1847" t="str">
        <f>+UPPER("Manteca Pilon 5kg MILKAUT")</f>
        <v>MANTECA PILON 5KG MILKAUT</v>
      </c>
      <c r="E1847" s="8">
        <v>10</v>
      </c>
      <c r="F1847" s="1">
        <f>54578.252/5</f>
        <v>10915.6504</v>
      </c>
      <c r="H1847">
        <v>1.21</v>
      </c>
      <c r="I1847">
        <v>0.05</v>
      </c>
      <c r="J1847" s="2">
        <f>+DATAIN_COMPRAS__2[[#This Row],[$/ UN NETO]]*DATAIN_COMPRAS__2[[#This Row],[IVA]]</f>
        <v>13207.936984</v>
      </c>
      <c r="K1847" s="7">
        <f t="shared" si="59"/>
        <v>125475.40134799998</v>
      </c>
      <c r="L1847" t="s">
        <v>158</v>
      </c>
    </row>
    <row r="1848" spans="1:12" x14ac:dyDescent="0.35">
      <c r="A1848" s="13">
        <v>45967</v>
      </c>
      <c r="B1848" t="s">
        <v>796</v>
      </c>
      <c r="C1848" t="s">
        <v>825</v>
      </c>
      <c r="E1848" s="8"/>
      <c r="F1848" s="1"/>
      <c r="J1848" s="21"/>
      <c r="K1848" s="7">
        <v>49359.62</v>
      </c>
      <c r="L1848" t="s">
        <v>237</v>
      </c>
    </row>
    <row r="1849" spans="1:12" x14ac:dyDescent="0.35">
      <c r="A1849" s="13">
        <v>45968</v>
      </c>
      <c r="B1849" t="s">
        <v>242</v>
      </c>
      <c r="C1849" t="s">
        <v>245</v>
      </c>
      <c r="E1849" s="8">
        <v>1</v>
      </c>
      <c r="F1849" s="1">
        <f>39000/2</f>
        <v>19500</v>
      </c>
      <c r="H1849">
        <v>1</v>
      </c>
      <c r="J1849" s="2">
        <f>+DATAIN_COMPRAS__2[[#This Row],[$/ UN NETO]]*DATAIN_COMPRAS__2[[#This Row],[IVA]]</f>
        <v>19500</v>
      </c>
      <c r="K1849" s="7">
        <f t="shared" ref="K1849:K1850" si="60">(E1849*F1849)*(1-I1849)*(H1849)</f>
        <v>19500</v>
      </c>
      <c r="L1849" t="s">
        <v>237</v>
      </c>
    </row>
    <row r="1850" spans="1:12" x14ac:dyDescent="0.35">
      <c r="A1850" s="13">
        <v>45968</v>
      </c>
      <c r="B1850" t="s">
        <v>242</v>
      </c>
      <c r="C1850" t="s">
        <v>243</v>
      </c>
      <c r="E1850" s="8">
        <v>1</v>
      </c>
      <c r="F1850" s="1">
        <f>39000/2</f>
        <v>19500</v>
      </c>
      <c r="H1850">
        <v>1</v>
      </c>
      <c r="J1850" s="2">
        <f>+DATAIN_COMPRAS__2[[#This Row],[$/ UN NETO]]*DATAIN_COMPRAS__2[[#This Row],[IVA]]</f>
        <v>19500</v>
      </c>
      <c r="K1850" s="7">
        <f t="shared" si="60"/>
        <v>19500</v>
      </c>
      <c r="L1850" t="s">
        <v>237</v>
      </c>
    </row>
    <row r="1851" spans="1:12" x14ac:dyDescent="0.35">
      <c r="A1851" s="13">
        <v>45968</v>
      </c>
      <c r="B1851" t="s">
        <v>12</v>
      </c>
      <c r="C1851" t="s">
        <v>18</v>
      </c>
      <c r="E1851" s="8">
        <v>0.5</v>
      </c>
      <c r="F1851" s="1">
        <v>4800</v>
      </c>
      <c r="H1851">
        <v>1</v>
      </c>
      <c r="J1851" s="2">
        <f>+DATAIN_COMPRAS__2[[#This Row],[$/ UN NETO]]*DATAIN_COMPRAS__2[[#This Row],[IVA]]</f>
        <v>4800</v>
      </c>
      <c r="K1851" s="7">
        <f t="shared" ref="K1851:K1855" si="61">(E1851*F1851)*(1-I1851)*(H1851)</f>
        <v>2400</v>
      </c>
      <c r="L1851" t="s">
        <v>237</v>
      </c>
    </row>
    <row r="1852" spans="1:12" x14ac:dyDescent="0.35">
      <c r="A1852" s="13">
        <v>45968</v>
      </c>
      <c r="B1852" t="s">
        <v>12</v>
      </c>
      <c r="C1852" t="s">
        <v>28</v>
      </c>
      <c r="E1852" s="8">
        <v>1</v>
      </c>
      <c r="F1852" s="1">
        <v>0.01</v>
      </c>
      <c r="H1852">
        <v>1</v>
      </c>
      <c r="J1852" s="2">
        <f>+DATAIN_COMPRAS__2[[#This Row],[$/ UN NETO]]*DATAIN_COMPRAS__2[[#This Row],[IVA]]</f>
        <v>0.01</v>
      </c>
      <c r="K1852" s="7">
        <f t="shared" si="61"/>
        <v>0.01</v>
      </c>
      <c r="L1852" t="s">
        <v>237</v>
      </c>
    </row>
    <row r="1853" spans="1:12" x14ac:dyDescent="0.35">
      <c r="A1853" s="13">
        <v>45968</v>
      </c>
      <c r="B1853" t="s">
        <v>12</v>
      </c>
      <c r="C1853" t="s">
        <v>26</v>
      </c>
      <c r="E1853" s="8">
        <v>3</v>
      </c>
      <c r="F1853" s="1">
        <v>2200</v>
      </c>
      <c r="H1853">
        <v>1</v>
      </c>
      <c r="J1853" s="2">
        <f>+DATAIN_COMPRAS__2[[#This Row],[$/ UN NETO]]*DATAIN_COMPRAS__2[[#This Row],[IVA]]</f>
        <v>2200</v>
      </c>
      <c r="K1853" s="7">
        <f t="shared" si="61"/>
        <v>6600</v>
      </c>
      <c r="L1853" t="s">
        <v>237</v>
      </c>
    </row>
    <row r="1854" spans="1:12" x14ac:dyDescent="0.35">
      <c r="A1854" s="13">
        <v>45968</v>
      </c>
      <c r="B1854" t="s">
        <v>12</v>
      </c>
      <c r="C1854" t="s">
        <v>17</v>
      </c>
      <c r="E1854" s="8">
        <v>1</v>
      </c>
      <c r="F1854" s="1">
        <v>3200</v>
      </c>
      <c r="H1854">
        <v>1</v>
      </c>
      <c r="J1854" s="2">
        <f>+DATAIN_COMPRAS__2[[#This Row],[$/ UN NETO]]*DATAIN_COMPRAS__2[[#This Row],[IVA]]</f>
        <v>3200</v>
      </c>
      <c r="K1854" s="7">
        <f t="shared" si="61"/>
        <v>3200</v>
      </c>
      <c r="L1854" t="s">
        <v>237</v>
      </c>
    </row>
    <row r="1855" spans="1:12" x14ac:dyDescent="0.35">
      <c r="A1855" s="13">
        <v>45968</v>
      </c>
      <c r="B1855" t="s">
        <v>12</v>
      </c>
      <c r="C1855" t="s">
        <v>25</v>
      </c>
      <c r="E1855" s="8">
        <v>1</v>
      </c>
      <c r="F1855" s="1">
        <v>8300</v>
      </c>
      <c r="H1855">
        <v>1</v>
      </c>
      <c r="J1855" s="2">
        <f>+DATAIN_COMPRAS__2[[#This Row],[$/ UN NETO]]*DATAIN_COMPRAS__2[[#This Row],[IVA]]</f>
        <v>8300</v>
      </c>
      <c r="K1855" s="7">
        <f t="shared" si="61"/>
        <v>8300</v>
      </c>
      <c r="L1855" t="s">
        <v>237</v>
      </c>
    </row>
    <row r="1856" spans="1:12" x14ac:dyDescent="0.35">
      <c r="A1856" s="13">
        <v>45968</v>
      </c>
      <c r="B1856" t="s">
        <v>80</v>
      </c>
      <c r="C1856" t="s">
        <v>303</v>
      </c>
      <c r="E1856" s="8">
        <v>50</v>
      </c>
      <c r="F1856" s="1">
        <v>223.14</v>
      </c>
      <c r="H1856">
        <v>1.21</v>
      </c>
      <c r="J1856" s="2">
        <f>+DATAIN_COMPRAS__2[[#This Row],[$/ UN NETO]]*DATAIN_COMPRAS__2[[#This Row],[IVA]]</f>
        <v>269.99939999999998</v>
      </c>
      <c r="K1856" s="7">
        <f t="shared" ref="K1856:K1863" si="62">(E1856*F1856)*(1-I1856)*(H1856)</f>
        <v>13499.97</v>
      </c>
      <c r="L1856" t="s">
        <v>237</v>
      </c>
    </row>
    <row r="1857" spans="1:12" x14ac:dyDescent="0.35">
      <c r="A1857" s="13">
        <v>45968</v>
      </c>
      <c r="B1857" t="s">
        <v>80</v>
      </c>
      <c r="C1857" t="s">
        <v>304</v>
      </c>
      <c r="E1857" s="8">
        <v>50</v>
      </c>
      <c r="F1857" s="1">
        <v>90.91</v>
      </c>
      <c r="H1857">
        <v>1.21</v>
      </c>
      <c r="J1857" s="2">
        <f>+DATAIN_COMPRAS__2[[#This Row],[$/ UN NETO]]*DATAIN_COMPRAS__2[[#This Row],[IVA]]</f>
        <v>110.00109999999999</v>
      </c>
      <c r="K1857" s="7">
        <f t="shared" si="62"/>
        <v>5500.0550000000003</v>
      </c>
      <c r="L1857" t="s">
        <v>237</v>
      </c>
    </row>
    <row r="1858" spans="1:12" x14ac:dyDescent="0.35">
      <c r="A1858" s="13">
        <v>45968</v>
      </c>
      <c r="B1858" t="s">
        <v>80</v>
      </c>
      <c r="C1858" t="s">
        <v>88</v>
      </c>
      <c r="E1858" s="8">
        <v>100</v>
      </c>
      <c r="F1858" s="1">
        <f>1652.89/100</f>
        <v>16.5289</v>
      </c>
      <c r="H1858">
        <v>1.21</v>
      </c>
      <c r="J1858" s="2">
        <f>+DATAIN_COMPRAS__2[[#This Row],[$/ UN NETO]]*DATAIN_COMPRAS__2[[#This Row],[IVA]]</f>
        <v>19.999969</v>
      </c>
      <c r="K1858" s="7">
        <f t="shared" si="62"/>
        <v>1999.9969000000001</v>
      </c>
      <c r="L1858" t="s">
        <v>237</v>
      </c>
    </row>
    <row r="1859" spans="1:12" x14ac:dyDescent="0.35">
      <c r="A1859" s="13">
        <v>45968</v>
      </c>
      <c r="B1859" t="s">
        <v>80</v>
      </c>
      <c r="C1859" t="s">
        <v>91</v>
      </c>
      <c r="E1859" s="8">
        <v>3</v>
      </c>
      <c r="F1859" s="1">
        <v>826.45</v>
      </c>
      <c r="H1859">
        <v>1.21</v>
      </c>
      <c r="J1859" s="2">
        <f>+DATAIN_COMPRAS__2[[#This Row],[$/ UN NETO]]*DATAIN_COMPRAS__2[[#This Row],[IVA]]</f>
        <v>1000.0045</v>
      </c>
      <c r="K1859" s="7">
        <f t="shared" si="62"/>
        <v>3000.0135000000005</v>
      </c>
      <c r="L1859" t="s">
        <v>237</v>
      </c>
    </row>
    <row r="1860" spans="1:12" x14ac:dyDescent="0.35">
      <c r="A1860" s="13">
        <v>45968</v>
      </c>
      <c r="B1860" t="s">
        <v>80</v>
      </c>
      <c r="C1860" s="14" t="s">
        <v>207</v>
      </c>
      <c r="E1860" s="8">
        <v>30</v>
      </c>
      <c r="F1860" s="1">
        <v>107.44</v>
      </c>
      <c r="H1860">
        <v>1.21</v>
      </c>
      <c r="J1860" s="2">
        <f>+DATAIN_COMPRAS__2[[#This Row],[$/ UN NETO]]*DATAIN_COMPRAS__2[[#This Row],[IVA]]</f>
        <v>130.00239999999999</v>
      </c>
      <c r="K1860" s="7">
        <f t="shared" si="62"/>
        <v>3900.0719999999997</v>
      </c>
      <c r="L1860" t="s">
        <v>237</v>
      </c>
    </row>
    <row r="1861" spans="1:12" x14ac:dyDescent="0.35">
      <c r="A1861" s="13">
        <v>45968</v>
      </c>
      <c r="B1861" t="s">
        <v>80</v>
      </c>
      <c r="C1861" t="s">
        <v>101</v>
      </c>
      <c r="E1861" s="8">
        <v>20</v>
      </c>
      <c r="F1861" s="1">
        <v>454.55</v>
      </c>
      <c r="H1861">
        <v>1.21</v>
      </c>
      <c r="J1861" s="2">
        <f>+DATAIN_COMPRAS__2[[#This Row],[$/ UN NETO]]*DATAIN_COMPRAS__2[[#This Row],[IVA]]</f>
        <v>550.00549999999998</v>
      </c>
      <c r="K1861" s="7">
        <f t="shared" si="62"/>
        <v>11000.11</v>
      </c>
      <c r="L1861" t="s">
        <v>237</v>
      </c>
    </row>
    <row r="1862" spans="1:12" x14ac:dyDescent="0.35">
      <c r="A1862" s="13">
        <v>45968</v>
      </c>
      <c r="B1862" t="s">
        <v>80</v>
      </c>
      <c r="C1862" t="s">
        <v>282</v>
      </c>
      <c r="E1862" s="8">
        <v>30</v>
      </c>
      <c r="F1862" s="1">
        <v>49.59</v>
      </c>
      <c r="H1862">
        <v>1.21</v>
      </c>
      <c r="J1862" s="2">
        <f>+DATAIN_COMPRAS__2[[#This Row],[$/ UN NETO]]*DATAIN_COMPRAS__2[[#This Row],[IVA]]</f>
        <v>60.003900000000002</v>
      </c>
      <c r="K1862" s="7">
        <f t="shared" si="62"/>
        <v>1800.117</v>
      </c>
      <c r="L1862" t="s">
        <v>237</v>
      </c>
    </row>
    <row r="1863" spans="1:12" x14ac:dyDescent="0.35">
      <c r="A1863" s="13">
        <v>45968</v>
      </c>
      <c r="B1863" t="s">
        <v>80</v>
      </c>
      <c r="C1863" t="s">
        <v>899</v>
      </c>
      <c r="E1863" s="8">
        <v>15</v>
      </c>
      <c r="F1863" s="1">
        <v>864.79</v>
      </c>
      <c r="H1863">
        <v>1.21</v>
      </c>
      <c r="J1863" s="2">
        <f>+DATAIN_COMPRAS__2[[#This Row],[$/ UN NETO]]*DATAIN_COMPRAS__2[[#This Row],[IVA]]</f>
        <v>1046.3959</v>
      </c>
      <c r="K1863" s="7">
        <f t="shared" si="62"/>
        <v>15695.938499999998</v>
      </c>
      <c r="L1863" t="s">
        <v>237</v>
      </c>
    </row>
    <row r="1864" spans="1:12" x14ac:dyDescent="0.35">
      <c r="A1864" s="13">
        <v>45968</v>
      </c>
      <c r="B1864" t="s">
        <v>796</v>
      </c>
      <c r="C1864" t="s">
        <v>825</v>
      </c>
      <c r="E1864" s="8"/>
      <c r="F1864" s="1"/>
      <c r="J1864" s="2"/>
      <c r="K1864" s="7">
        <v>61024.639999999999</v>
      </c>
      <c r="L1864" t="s">
        <v>237</v>
      </c>
    </row>
    <row r="1865" spans="1:12" x14ac:dyDescent="0.35">
      <c r="A1865" s="13">
        <v>45968</v>
      </c>
      <c r="B1865" t="s">
        <v>48</v>
      </c>
      <c r="C1865" t="s">
        <v>51</v>
      </c>
      <c r="E1865" s="8">
        <v>3.51</v>
      </c>
      <c r="F1865" s="1">
        <v>10723.9195</v>
      </c>
      <c r="H1865">
        <v>1.21</v>
      </c>
      <c r="I1865">
        <v>0.06</v>
      </c>
      <c r="J1865" s="2">
        <f>+DATAIN_COMPRAS__2[[#This Row],[$/ UN NETO]]*DATAIN_COMPRAS__2[[#This Row],[IVA]]</f>
        <v>12975.942595</v>
      </c>
      <c r="K1865" s="7">
        <f t="shared" ref="K1865:K1868" si="63">(E1865*F1865)*(1-I1865)*(H1865)</f>
        <v>42812.824997943004</v>
      </c>
      <c r="L1865" t="s">
        <v>237</v>
      </c>
    </row>
    <row r="1866" spans="1:12" x14ac:dyDescent="0.35">
      <c r="A1866" s="13">
        <v>45968</v>
      </c>
      <c r="B1866" t="s">
        <v>48</v>
      </c>
      <c r="C1866" t="s">
        <v>52</v>
      </c>
      <c r="E1866" s="8">
        <v>3.72</v>
      </c>
      <c r="F1866" s="1">
        <v>6650.2920000000004</v>
      </c>
      <c r="H1866">
        <v>1.21</v>
      </c>
      <c r="J1866" s="2">
        <f>+DATAIN_COMPRAS__2[[#This Row],[$/ UN NETO]]*DATAIN_COMPRAS__2[[#This Row],[IVA]]</f>
        <v>8046.8533200000002</v>
      </c>
      <c r="K1866" s="7">
        <f t="shared" si="63"/>
        <v>29934.294350400003</v>
      </c>
      <c r="L1866" t="s">
        <v>237</v>
      </c>
    </row>
    <row r="1867" spans="1:12" x14ac:dyDescent="0.35">
      <c r="A1867" s="13">
        <v>45968</v>
      </c>
      <c r="B1867" t="s">
        <v>48</v>
      </c>
      <c r="C1867" t="s">
        <v>900</v>
      </c>
      <c r="E1867" s="8">
        <v>0.74</v>
      </c>
      <c r="F1867" s="1">
        <v>15136.2243</v>
      </c>
      <c r="H1867">
        <v>1.21</v>
      </c>
      <c r="I1867">
        <v>0.06</v>
      </c>
      <c r="J1867" s="2">
        <f>+DATAIN_COMPRAS__2[[#This Row],[$/ UN NETO]]*DATAIN_COMPRAS__2[[#This Row],[IVA]]</f>
        <v>18314.831403</v>
      </c>
      <c r="K1867" s="7">
        <f t="shared" si="63"/>
        <v>12739.796723926798</v>
      </c>
      <c r="L1867" t="s">
        <v>237</v>
      </c>
    </row>
    <row r="1868" spans="1:12" x14ac:dyDescent="0.35">
      <c r="A1868" s="13">
        <v>45968</v>
      </c>
      <c r="B1868" t="s">
        <v>48</v>
      </c>
      <c r="C1868" t="s">
        <v>79</v>
      </c>
      <c r="E1868" s="8">
        <v>0.25</v>
      </c>
      <c r="F1868" s="1">
        <f>4644.6433/DATAIN_COMPRAS__2[[#This Row],[CANT]]</f>
        <v>18578.573199999999</v>
      </c>
      <c r="H1868">
        <v>1.21</v>
      </c>
      <c r="I1868">
        <v>0.06</v>
      </c>
      <c r="J1868" s="2">
        <f>+DATAIN_COMPRAS__2[[#This Row],[$/ UN NETO]]*DATAIN_COMPRAS__2[[#This Row],[IVA]]</f>
        <v>22480.073571999998</v>
      </c>
      <c r="K1868" s="7">
        <f t="shared" si="63"/>
        <v>5282.8172894199988</v>
      </c>
      <c r="L1868" t="s">
        <v>237</v>
      </c>
    </row>
    <row r="1869" spans="1:12" x14ac:dyDescent="0.35">
      <c r="A1869" s="13">
        <v>45969</v>
      </c>
      <c r="B1869" t="s">
        <v>801</v>
      </c>
      <c r="C1869" t="s">
        <v>901</v>
      </c>
      <c r="E1869" s="8">
        <v>0.3</v>
      </c>
      <c r="F1869" s="1">
        <f>2999/DATAIN_COMPRAS__2[[#This Row],[CANT]]</f>
        <v>9996.6666666666679</v>
      </c>
      <c r="H1869">
        <v>1</v>
      </c>
      <c r="J1869" s="2">
        <f>+DATAIN_COMPRAS__2[[#This Row],[$/ UN NETO]]*DATAIN_COMPRAS__2[[#This Row],[IVA]]</f>
        <v>9996.6666666666679</v>
      </c>
      <c r="K1869" s="7">
        <f t="shared" ref="K1869" si="64">(E1869*F1869)*(1-I1869)*(H1869)</f>
        <v>2999.0000000000005</v>
      </c>
      <c r="L1869" t="s">
        <v>237</v>
      </c>
    </row>
    <row r="1870" spans="1:12" x14ac:dyDescent="0.35">
      <c r="A1870" s="13">
        <v>45969</v>
      </c>
      <c r="B1870" t="s">
        <v>796</v>
      </c>
      <c r="C1870" t="s">
        <v>825</v>
      </c>
      <c r="E1870" s="8"/>
      <c r="F1870" s="1"/>
      <c r="J1870" s="2"/>
      <c r="K1870" s="7">
        <v>57912.639999999999</v>
      </c>
      <c r="L1870" t="s">
        <v>237</v>
      </c>
    </row>
    <row r="1871" spans="1:12" x14ac:dyDescent="0.35">
      <c r="A1871" s="13">
        <v>45970</v>
      </c>
      <c r="B1871" t="s">
        <v>12</v>
      </c>
      <c r="C1871" t="s">
        <v>332</v>
      </c>
      <c r="E1871" s="8">
        <v>14</v>
      </c>
      <c r="F1871" s="1">
        <v>1000</v>
      </c>
      <c r="H1871">
        <v>1</v>
      </c>
      <c r="J1871" s="2">
        <f>+DATAIN_COMPRAS__2[[#This Row],[$/ UN NETO]]*DATAIN_COMPRAS__2[[#This Row],[IVA]]</f>
        <v>1000</v>
      </c>
      <c r="K1871" s="7">
        <f t="shared" ref="K1871" si="65">(E1871*F1871)*(1-I1871)*(H1871)</f>
        <v>14000</v>
      </c>
      <c r="L1871" t="s">
        <v>237</v>
      </c>
    </row>
    <row r="1872" spans="1:12" x14ac:dyDescent="0.35">
      <c r="A1872" s="13">
        <v>45970</v>
      </c>
      <c r="B1872" t="s">
        <v>12</v>
      </c>
      <c r="C1872" t="s">
        <v>18</v>
      </c>
      <c r="E1872" s="8">
        <v>0.5</v>
      </c>
      <c r="F1872" s="1">
        <v>4800</v>
      </c>
      <c r="H1872">
        <v>1</v>
      </c>
      <c r="J1872" s="2">
        <f>+DATAIN_COMPRAS__2[[#This Row],[$/ UN NETO]]*DATAIN_COMPRAS__2[[#This Row],[IVA]]</f>
        <v>4800</v>
      </c>
      <c r="K1872" s="7">
        <f t="shared" ref="K1872" si="66">(E1872*F1872)*(1-I1872)*(H1872)</f>
        <v>2400</v>
      </c>
      <c r="L1872" t="s">
        <v>237</v>
      </c>
    </row>
    <row r="1873" spans="1:12" x14ac:dyDescent="0.35">
      <c r="A1873" s="13">
        <v>45970</v>
      </c>
      <c r="B1873" t="s">
        <v>12</v>
      </c>
      <c r="C1873" t="s">
        <v>41</v>
      </c>
      <c r="E1873" s="8">
        <v>0.5</v>
      </c>
      <c r="F1873" s="1">
        <f>999.9*2</f>
        <v>1999.8</v>
      </c>
      <c r="H1873">
        <v>1</v>
      </c>
      <c r="J1873" s="2">
        <f>+DATAIN_COMPRAS__2[[#This Row],[$/ UN NETO]]*DATAIN_COMPRAS__2[[#This Row],[IVA]]</f>
        <v>1999.8</v>
      </c>
      <c r="K1873" s="7">
        <f t="shared" ref="K1873" si="67">(E1873*F1873)*(1-I1873)*(H1873)</f>
        <v>999.9</v>
      </c>
      <c r="L1873" t="s">
        <v>237</v>
      </c>
    </row>
    <row r="1874" spans="1:12" x14ac:dyDescent="0.35">
      <c r="A1874" s="13">
        <v>45970</v>
      </c>
      <c r="B1874" t="s">
        <v>12</v>
      </c>
      <c r="C1874" t="s">
        <v>28</v>
      </c>
      <c r="E1874" s="8">
        <v>0.27500000000000002</v>
      </c>
      <c r="F1874" s="1">
        <f>3000/DATAIN_COMPRAS__2[[#This Row],[CANT]]</f>
        <v>10909.090909090908</v>
      </c>
      <c r="H1874">
        <v>1</v>
      </c>
      <c r="J1874" s="2">
        <f>+DATAIN_COMPRAS__2[[#This Row],[$/ UN NETO]]*DATAIN_COMPRAS__2[[#This Row],[IVA]]</f>
        <v>10909.090909090908</v>
      </c>
      <c r="K1874" s="7">
        <f t="shared" ref="K1874:K1875" si="68">(E1874*F1874)*(1-I1874)*(H1874)</f>
        <v>3000</v>
      </c>
      <c r="L1874" t="s">
        <v>237</v>
      </c>
    </row>
    <row r="1875" spans="1:12" x14ac:dyDescent="0.35">
      <c r="A1875" s="13">
        <v>45970</v>
      </c>
      <c r="B1875" t="s">
        <v>12</v>
      </c>
      <c r="C1875" t="s">
        <v>23</v>
      </c>
      <c r="E1875" s="8">
        <v>0.5</v>
      </c>
      <c r="F1875" s="1">
        <v>8800</v>
      </c>
      <c r="H1875">
        <v>1</v>
      </c>
      <c r="J1875" s="2">
        <f>+DATAIN_COMPRAS__2[[#This Row],[$/ UN NETO]]*DATAIN_COMPRAS__2[[#This Row],[IVA]]</f>
        <v>8800</v>
      </c>
      <c r="K1875" s="7">
        <f t="shared" si="68"/>
        <v>4400</v>
      </c>
      <c r="L1875" t="s">
        <v>237</v>
      </c>
    </row>
    <row r="1876" spans="1:12" x14ac:dyDescent="0.35">
      <c r="A1876" s="13">
        <v>45970</v>
      </c>
      <c r="B1876" t="s">
        <v>796</v>
      </c>
      <c r="C1876" t="s">
        <v>825</v>
      </c>
      <c r="E1876" s="8"/>
      <c r="F1876" s="1"/>
      <c r="J1876" s="2"/>
      <c r="K1876" s="7">
        <v>62992</v>
      </c>
      <c r="L1876" t="s">
        <v>237</v>
      </c>
    </row>
    <row r="1877" spans="1:12" x14ac:dyDescent="0.35">
      <c r="A1877" s="13">
        <v>45972</v>
      </c>
      <c r="B1877" t="s">
        <v>904</v>
      </c>
      <c r="C1877" t="s">
        <v>903</v>
      </c>
      <c r="E1877" s="8">
        <v>10</v>
      </c>
      <c r="F1877" s="1">
        <v>43498.29</v>
      </c>
      <c r="H1877">
        <v>1</v>
      </c>
      <c r="J1877" s="2">
        <f>+DATAIN_COMPRAS__2[[#This Row],[$/ UN NETO]]*DATAIN_COMPRAS__2[[#This Row],[IVA]]</f>
        <v>43498.29</v>
      </c>
      <c r="K1877" s="7">
        <f t="shared" ref="K1877:K1878" si="69">(E1877*F1877)*(1-I1877)*(H1877)</f>
        <v>434982.9</v>
      </c>
      <c r="L1877" t="s">
        <v>237</v>
      </c>
    </row>
    <row r="1878" spans="1:12" x14ac:dyDescent="0.35">
      <c r="A1878" s="13">
        <v>45972</v>
      </c>
      <c r="B1878" t="s">
        <v>904</v>
      </c>
      <c r="C1878" t="s">
        <v>126</v>
      </c>
      <c r="E1878" s="8">
        <v>0.5</v>
      </c>
      <c r="F1878" s="1">
        <f>(24005.19+22913.77)*2</f>
        <v>93837.92</v>
      </c>
      <c r="H1878">
        <v>1</v>
      </c>
      <c r="J1878" s="2">
        <f>+DATAIN_COMPRAS__2[[#This Row],[$/ UN NETO]]*DATAIN_COMPRAS__2[[#This Row],[IVA]]</f>
        <v>93837.92</v>
      </c>
      <c r="K1878" s="7">
        <f t="shared" si="69"/>
        <v>46918.96</v>
      </c>
      <c r="L1878" t="s">
        <v>237</v>
      </c>
    </row>
    <row r="1879" spans="1:12" x14ac:dyDescent="0.35">
      <c r="A1879" s="13"/>
      <c r="E1879" s="8"/>
      <c r="F1879" s="1"/>
      <c r="J1879" s="2"/>
      <c r="K1879" s="7"/>
    </row>
    <row r="1880" spans="1:12" x14ac:dyDescent="0.35">
      <c r="A1880" s="13"/>
      <c r="E1880" s="8"/>
      <c r="F1880" s="1"/>
      <c r="J1880" s="2"/>
      <c r="K1880" s="7"/>
    </row>
    <row r="1881" spans="1:12" x14ac:dyDescent="0.35">
      <c r="A1881" s="13"/>
      <c r="E1881" s="8"/>
      <c r="F1881" s="1"/>
      <c r="J1881" s="2"/>
      <c r="K1881" s="7"/>
    </row>
    <row r="1882" spans="1:12" x14ac:dyDescent="0.35">
      <c r="A1882" s="13"/>
      <c r="E1882" s="8"/>
      <c r="F1882" s="1"/>
      <c r="J1882" s="2"/>
      <c r="K1882" s="7"/>
    </row>
    <row r="1883" spans="1:12" x14ac:dyDescent="0.35">
      <c r="A1883" s="13"/>
      <c r="E1883" s="8"/>
      <c r="F1883" s="1"/>
      <c r="J1883" s="2"/>
      <c r="K1883" s="7"/>
    </row>
    <row r="1884" spans="1:12" x14ac:dyDescent="0.35">
      <c r="A1884" s="13"/>
      <c r="E1884" s="8"/>
      <c r="F1884" s="1"/>
      <c r="J1884" s="2"/>
      <c r="K1884" s="7"/>
    </row>
    <row r="1885" spans="1:12" x14ac:dyDescent="0.35">
      <c r="A1885" s="13"/>
      <c r="E1885" s="8"/>
      <c r="F1885" s="1"/>
      <c r="J1885" s="2"/>
      <c r="K1885" s="7"/>
    </row>
    <row r="1886" spans="1:12" x14ac:dyDescent="0.35">
      <c r="A1886" s="13"/>
      <c r="E1886" s="8"/>
      <c r="F1886" s="1"/>
      <c r="J1886" s="2"/>
      <c r="K1886" s="7"/>
    </row>
    <row r="1887" spans="1:12" x14ac:dyDescent="0.35">
      <c r="A1887" s="13"/>
      <c r="E1887" s="8"/>
      <c r="F1887" s="1"/>
      <c r="J1887" s="2"/>
      <c r="K1887" s="7"/>
    </row>
    <row r="1888" spans="1:12" x14ac:dyDescent="0.35">
      <c r="A1888" s="13"/>
      <c r="E1888" s="8"/>
      <c r="F1888" s="1"/>
      <c r="J1888" s="2"/>
      <c r="K1888" s="7"/>
    </row>
    <row r="1889" spans="1:11" x14ac:dyDescent="0.35">
      <c r="A1889" s="13"/>
      <c r="E1889" s="8"/>
      <c r="F1889" s="1"/>
      <c r="J1889" s="2"/>
      <c r="K1889" s="7"/>
    </row>
    <row r="1890" spans="1:11" x14ac:dyDescent="0.35">
      <c r="A1890" s="13"/>
      <c r="E1890" s="8"/>
      <c r="F1890" s="1"/>
      <c r="J1890" s="2"/>
      <c r="K1890" s="7"/>
    </row>
    <row r="1891" spans="1:11" x14ac:dyDescent="0.35">
      <c r="A1891" s="13"/>
      <c r="E1891" s="8"/>
      <c r="F1891" s="1"/>
      <c r="J1891" s="2"/>
      <c r="K1891" s="7"/>
    </row>
    <row r="1892" spans="1:11" x14ac:dyDescent="0.35">
      <c r="A1892" s="13"/>
      <c r="E1892" s="8"/>
      <c r="F1892" s="1"/>
      <c r="J1892" s="2"/>
      <c r="K1892" s="7"/>
    </row>
    <row r="1893" spans="1:11" x14ac:dyDescent="0.35">
      <c r="A1893" s="13"/>
      <c r="E1893" s="8"/>
      <c r="F1893" s="1"/>
      <c r="J1893" s="2"/>
      <c r="K1893" s="7"/>
    </row>
    <row r="1894" spans="1:11" x14ac:dyDescent="0.35">
      <c r="A1894" s="13"/>
      <c r="E1894" s="8"/>
      <c r="F1894" s="1"/>
      <c r="J1894" s="2"/>
      <c r="K1894" s="7"/>
    </row>
    <row r="1895" spans="1:11" x14ac:dyDescent="0.35">
      <c r="A1895" s="13"/>
      <c r="E1895" s="8"/>
      <c r="F1895" s="1"/>
      <c r="J1895" s="2"/>
      <c r="K1895" s="7"/>
    </row>
    <row r="1896" spans="1:11" x14ac:dyDescent="0.35">
      <c r="A1896" s="13"/>
      <c r="E1896" s="8"/>
      <c r="F1896" s="1"/>
      <c r="J1896" s="2"/>
      <c r="K1896" s="7"/>
    </row>
    <row r="1897" spans="1:11" x14ac:dyDescent="0.35">
      <c r="A1897" s="13"/>
      <c r="E1897" s="8"/>
      <c r="F1897" s="1"/>
      <c r="J1897" s="2"/>
      <c r="K1897" s="7"/>
    </row>
    <row r="1898" spans="1:11" x14ac:dyDescent="0.35">
      <c r="A1898" s="13"/>
      <c r="E1898" s="8"/>
      <c r="F1898" s="1"/>
      <c r="J1898" s="2"/>
      <c r="K1898" s="7"/>
    </row>
    <row r="1899" spans="1:11" x14ac:dyDescent="0.35">
      <c r="A1899" s="13"/>
      <c r="E1899" s="8"/>
      <c r="F1899" s="1"/>
      <c r="J1899" s="2"/>
      <c r="K1899" s="7"/>
    </row>
    <row r="1900" spans="1:11" x14ac:dyDescent="0.35">
      <c r="A1900" s="13"/>
      <c r="E1900" s="8"/>
      <c r="F1900" s="1"/>
      <c r="J1900" s="2"/>
      <c r="K1900" s="7"/>
    </row>
    <row r="1901" spans="1:11" x14ac:dyDescent="0.35">
      <c r="A1901" s="13"/>
      <c r="E1901" s="8"/>
      <c r="F1901" s="1"/>
      <c r="J1901" s="2"/>
      <c r="K1901" s="7"/>
    </row>
    <row r="1902" spans="1:11" x14ac:dyDescent="0.35">
      <c r="A1902" s="13"/>
      <c r="E1902" s="8"/>
      <c r="F1902" s="1"/>
      <c r="J1902" s="2"/>
      <c r="K1902" s="7"/>
    </row>
    <row r="1903" spans="1:11" x14ac:dyDescent="0.35">
      <c r="A1903" s="13"/>
      <c r="E1903" s="8"/>
      <c r="F1903" s="1"/>
      <c r="J1903" s="2"/>
      <c r="K1903" s="7"/>
    </row>
    <row r="1904" spans="1:11" x14ac:dyDescent="0.35">
      <c r="A1904" s="13"/>
      <c r="E1904" s="8"/>
      <c r="F1904" s="1"/>
      <c r="J1904" s="2"/>
      <c r="K1904" s="7"/>
    </row>
    <row r="1905" spans="1:11" x14ac:dyDescent="0.35">
      <c r="A1905" s="13"/>
      <c r="E1905" s="8"/>
      <c r="F1905" s="1"/>
      <c r="J1905" s="2"/>
      <c r="K1905" s="7"/>
    </row>
    <row r="1906" spans="1:11" x14ac:dyDescent="0.35">
      <c r="A1906" s="13"/>
      <c r="E1906" s="8"/>
      <c r="F1906" s="1"/>
      <c r="J1906" s="2"/>
      <c r="K1906" s="7"/>
    </row>
    <row r="1907" spans="1:11" x14ac:dyDescent="0.35">
      <c r="A1907" s="13"/>
      <c r="E1907" s="8"/>
      <c r="F1907" s="1"/>
      <c r="J1907" s="2"/>
      <c r="K1907" s="7"/>
    </row>
    <row r="1908" spans="1:11" x14ac:dyDescent="0.35">
      <c r="A1908" s="13"/>
      <c r="E1908" s="8"/>
      <c r="F1908" s="1"/>
      <c r="J1908" s="2"/>
      <c r="K1908" s="7"/>
    </row>
    <row r="1909" spans="1:11" x14ac:dyDescent="0.35">
      <c r="A1909" s="13"/>
      <c r="E1909" s="8"/>
      <c r="F1909" s="1"/>
      <c r="J1909" s="2"/>
      <c r="K1909" s="7"/>
    </row>
    <row r="1910" spans="1:11" x14ac:dyDescent="0.35">
      <c r="A1910" s="13"/>
      <c r="E1910" s="8"/>
      <c r="F1910" s="1"/>
      <c r="J1910" s="2"/>
      <c r="K1910" s="7"/>
    </row>
    <row r="1911" spans="1:11" x14ac:dyDescent="0.35">
      <c r="A1911" s="13"/>
      <c r="E1911" s="8"/>
      <c r="F1911" s="1"/>
      <c r="J1911" s="2"/>
      <c r="K1911" s="7"/>
    </row>
    <row r="1912" spans="1:11" x14ac:dyDescent="0.35">
      <c r="A1912" s="13"/>
      <c r="E1912" s="8"/>
      <c r="F1912" s="1"/>
      <c r="J1912" s="2"/>
      <c r="K1912" s="7"/>
    </row>
    <row r="1913" spans="1:11" x14ac:dyDescent="0.35">
      <c r="A1913" s="13"/>
      <c r="E1913" s="8"/>
      <c r="F1913" s="1"/>
      <c r="J1913" s="2"/>
      <c r="K1913" s="7"/>
    </row>
    <row r="1914" spans="1:11" x14ac:dyDescent="0.35">
      <c r="A1914" s="13"/>
      <c r="E1914" s="8"/>
      <c r="F1914" s="1"/>
      <c r="J1914" s="2"/>
      <c r="K1914" s="7"/>
    </row>
    <row r="1915" spans="1:11" x14ac:dyDescent="0.35">
      <c r="A1915" s="13"/>
      <c r="E1915" s="8"/>
      <c r="F1915" s="1"/>
      <c r="J1915" s="2"/>
      <c r="K1915" s="7"/>
    </row>
    <row r="1916" spans="1:11" x14ac:dyDescent="0.35">
      <c r="A1916" s="13"/>
      <c r="E1916" s="8"/>
      <c r="F1916" s="1"/>
      <c r="J1916" s="2"/>
      <c r="K1916" s="7"/>
    </row>
    <row r="1917" spans="1:11" x14ac:dyDescent="0.35">
      <c r="A1917" s="13"/>
      <c r="E1917" s="8"/>
      <c r="F1917" s="1"/>
      <c r="J1917" s="2"/>
      <c r="K1917" s="7"/>
    </row>
    <row r="1918" spans="1:11" x14ac:dyDescent="0.35">
      <c r="A1918" s="13"/>
      <c r="E1918" s="8"/>
      <c r="F1918" s="1"/>
      <c r="J1918" s="2"/>
      <c r="K1918" s="7"/>
    </row>
    <row r="1919" spans="1:11" x14ac:dyDescent="0.35">
      <c r="A1919" s="13"/>
      <c r="E1919" s="8"/>
      <c r="F1919" s="1"/>
      <c r="J1919" s="2"/>
      <c r="K1919" s="7"/>
    </row>
    <row r="1920" spans="1:11" x14ac:dyDescent="0.35">
      <c r="A1920" s="13"/>
      <c r="E1920" s="8"/>
      <c r="F1920" s="1"/>
      <c r="J1920" s="2"/>
      <c r="K1920" s="7"/>
    </row>
    <row r="1921" spans="1:11" x14ac:dyDescent="0.35">
      <c r="A1921" s="13"/>
      <c r="E1921" s="8"/>
      <c r="F1921" s="1"/>
      <c r="J1921" s="2"/>
      <c r="K1921" s="7"/>
    </row>
    <row r="1922" spans="1:11" x14ac:dyDescent="0.35">
      <c r="A1922" s="13"/>
      <c r="E1922" s="8"/>
      <c r="F1922" s="1"/>
      <c r="J1922" s="2"/>
      <c r="K1922" s="7"/>
    </row>
    <row r="1923" spans="1:11" x14ac:dyDescent="0.35">
      <c r="A1923" s="13"/>
      <c r="E1923" s="8"/>
      <c r="F1923" s="1"/>
      <c r="J1923" s="2"/>
      <c r="K1923" s="7"/>
    </row>
    <row r="1924" spans="1:11" x14ac:dyDescent="0.35">
      <c r="A1924" s="13"/>
      <c r="E1924" s="8"/>
      <c r="F1924" s="1"/>
      <c r="J1924" s="2"/>
      <c r="K1924" s="7"/>
    </row>
    <row r="1925" spans="1:11" x14ac:dyDescent="0.35">
      <c r="A1925" s="13"/>
      <c r="E1925" s="8"/>
      <c r="F1925" s="1"/>
      <c r="J1925" s="2"/>
      <c r="K1925" s="7"/>
    </row>
    <row r="1926" spans="1:11" x14ac:dyDescent="0.35">
      <c r="A1926" s="13"/>
      <c r="E1926" s="8"/>
      <c r="F1926" s="1"/>
      <c r="J1926" s="2"/>
      <c r="K1926" s="7"/>
    </row>
    <row r="1927" spans="1:11" x14ac:dyDescent="0.35">
      <c r="A1927" s="13"/>
      <c r="E1927" s="8"/>
      <c r="F1927" s="1"/>
      <c r="J1927" s="2"/>
      <c r="K1927" s="7"/>
    </row>
    <row r="1928" spans="1:11" x14ac:dyDescent="0.35">
      <c r="A1928" s="13"/>
      <c r="E1928" s="8"/>
      <c r="F1928" s="1"/>
      <c r="J1928" s="2"/>
      <c r="K1928" s="7"/>
    </row>
    <row r="1929" spans="1:11" x14ac:dyDescent="0.35">
      <c r="A1929" s="13"/>
      <c r="E1929" s="8"/>
      <c r="F1929" s="1"/>
      <c r="J1929" s="2"/>
      <c r="K1929" s="7"/>
    </row>
    <row r="1930" spans="1:11" x14ac:dyDescent="0.35">
      <c r="A1930" s="13"/>
      <c r="E1930" s="8"/>
      <c r="F1930" s="1"/>
      <c r="J1930" s="2"/>
      <c r="K1930" s="7"/>
    </row>
    <row r="1931" spans="1:11" x14ac:dyDescent="0.35">
      <c r="A1931" s="13"/>
      <c r="E1931" s="8"/>
      <c r="F1931" s="1"/>
      <c r="J1931" s="2"/>
      <c r="K1931" s="7"/>
    </row>
    <row r="1932" spans="1:11" x14ac:dyDescent="0.35">
      <c r="A1932" s="13"/>
      <c r="E1932" s="8"/>
      <c r="F1932" s="1"/>
      <c r="J1932" s="2"/>
      <c r="K1932" s="7"/>
    </row>
    <row r="1933" spans="1:11" x14ac:dyDescent="0.35">
      <c r="A1933" s="13"/>
      <c r="E1933" s="8"/>
      <c r="F1933" s="1"/>
      <c r="J1933" s="2"/>
      <c r="K1933" s="7"/>
    </row>
    <row r="1934" spans="1:11" x14ac:dyDescent="0.35">
      <c r="A1934" s="13"/>
      <c r="E1934" s="8"/>
      <c r="F1934" s="1"/>
      <c r="J1934" s="2"/>
      <c r="K1934" s="7"/>
    </row>
    <row r="1935" spans="1:11" x14ac:dyDescent="0.35">
      <c r="A1935" s="13"/>
      <c r="E1935" s="8"/>
      <c r="F1935" s="1"/>
      <c r="J1935" s="2"/>
      <c r="K1935" s="7"/>
    </row>
    <row r="1936" spans="1:11" x14ac:dyDescent="0.35">
      <c r="A1936" s="13"/>
      <c r="E1936" s="8"/>
      <c r="F1936" s="1"/>
      <c r="J1936" s="2"/>
      <c r="K1936" s="7"/>
    </row>
    <row r="1937" spans="1:11" x14ac:dyDescent="0.35">
      <c r="A1937" s="13"/>
      <c r="E1937" s="8"/>
      <c r="F1937" s="1"/>
      <c r="J1937" s="2"/>
      <c r="K1937" s="7"/>
    </row>
    <row r="1938" spans="1:11" x14ac:dyDescent="0.35">
      <c r="A1938" s="13"/>
      <c r="E1938" s="8"/>
      <c r="F1938" s="1"/>
      <c r="J1938" s="2"/>
      <c r="K1938" s="7"/>
    </row>
    <row r="1939" spans="1:11" x14ac:dyDescent="0.35">
      <c r="A1939" s="13"/>
      <c r="E1939" s="8"/>
      <c r="F1939" s="1"/>
      <c r="J1939" s="2"/>
      <c r="K1939" s="7"/>
    </row>
    <row r="1940" spans="1:11" x14ac:dyDescent="0.35">
      <c r="A1940" s="13"/>
      <c r="E1940" s="8"/>
      <c r="F1940" s="1"/>
      <c r="J1940" s="2"/>
      <c r="K1940" s="7"/>
    </row>
    <row r="1941" spans="1:11" x14ac:dyDescent="0.35">
      <c r="A1941" s="13"/>
      <c r="E1941" s="8"/>
      <c r="F1941" s="1"/>
      <c r="J1941" s="2"/>
      <c r="K1941" s="7"/>
    </row>
    <row r="1942" spans="1:11" x14ac:dyDescent="0.35">
      <c r="A1942" s="13"/>
      <c r="E1942" s="8"/>
      <c r="F1942" s="1"/>
      <c r="J1942" s="2"/>
      <c r="K1942" s="7"/>
    </row>
    <row r="1943" spans="1:11" x14ac:dyDescent="0.35">
      <c r="A1943" s="13"/>
      <c r="E1943" s="8"/>
      <c r="F1943" s="1"/>
      <c r="J1943" s="2"/>
      <c r="K1943" s="7"/>
    </row>
    <row r="1944" spans="1:11" x14ac:dyDescent="0.35">
      <c r="A1944" s="13"/>
      <c r="E1944" s="8"/>
      <c r="F1944" s="1"/>
      <c r="J1944" s="2"/>
      <c r="K1944" s="7"/>
    </row>
    <row r="1945" spans="1:11" x14ac:dyDescent="0.35">
      <c r="A1945" s="13"/>
      <c r="E1945" s="8"/>
      <c r="F1945" s="1"/>
      <c r="J1945" s="2"/>
      <c r="K1945" s="7"/>
    </row>
    <row r="1946" spans="1:11" x14ac:dyDescent="0.35">
      <c r="A1946" s="13"/>
      <c r="E1946" s="8"/>
      <c r="F1946" s="1"/>
      <c r="J1946" s="2"/>
      <c r="K1946" s="7"/>
    </row>
    <row r="1947" spans="1:11" x14ac:dyDescent="0.35">
      <c r="A1947" s="13"/>
      <c r="E1947" s="8"/>
      <c r="F1947" s="1"/>
      <c r="J1947" s="2"/>
      <c r="K1947" s="7"/>
    </row>
    <row r="1948" spans="1:11" x14ac:dyDescent="0.35">
      <c r="A1948" s="13"/>
      <c r="E1948" s="8"/>
      <c r="F1948" s="1"/>
      <c r="J1948" s="2"/>
      <c r="K1948" s="7"/>
    </row>
    <row r="1949" spans="1:11" x14ac:dyDescent="0.35">
      <c r="A1949" s="13"/>
      <c r="E1949" s="8"/>
      <c r="F1949" s="1"/>
      <c r="J1949" s="2"/>
      <c r="K1949" s="7"/>
    </row>
    <row r="1950" spans="1:11" x14ac:dyDescent="0.35">
      <c r="A1950" s="13"/>
      <c r="E1950" s="8"/>
      <c r="F1950" s="1"/>
      <c r="J1950" s="2"/>
      <c r="K1950" s="7"/>
    </row>
    <row r="1951" spans="1:11" x14ac:dyDescent="0.35">
      <c r="A1951" s="13"/>
      <c r="E1951" s="8"/>
      <c r="F1951" s="1"/>
      <c r="J1951" s="2"/>
      <c r="K1951" s="7"/>
    </row>
    <row r="1952" spans="1:11" x14ac:dyDescent="0.35">
      <c r="A1952" s="13"/>
      <c r="E1952" s="8"/>
      <c r="F1952" s="1"/>
      <c r="J1952" s="2"/>
      <c r="K1952" s="7"/>
    </row>
    <row r="1953" spans="1:11" x14ac:dyDescent="0.35">
      <c r="A1953" s="13"/>
      <c r="E1953" s="8"/>
      <c r="F1953" s="1"/>
      <c r="J1953" s="2"/>
      <c r="K1953" s="7"/>
    </row>
    <row r="1954" spans="1:11" x14ac:dyDescent="0.35">
      <c r="A1954" s="13"/>
      <c r="E1954" s="8"/>
      <c r="F1954" s="1"/>
      <c r="J1954" s="2"/>
      <c r="K1954" s="7"/>
    </row>
    <row r="1955" spans="1:11" x14ac:dyDescent="0.35">
      <c r="A1955" s="13"/>
      <c r="E1955" s="8"/>
      <c r="F1955" s="1"/>
      <c r="J1955" s="2"/>
      <c r="K1955" s="7"/>
    </row>
    <row r="1956" spans="1:11" x14ac:dyDescent="0.35">
      <c r="A1956" s="13"/>
      <c r="E1956" s="8"/>
      <c r="F1956" s="1"/>
      <c r="J1956" s="2"/>
      <c r="K1956" s="7"/>
    </row>
    <row r="1957" spans="1:11" x14ac:dyDescent="0.35">
      <c r="A1957" s="13"/>
      <c r="E1957" s="8"/>
      <c r="F1957" s="1"/>
      <c r="J1957" s="2"/>
      <c r="K1957" s="7"/>
    </row>
    <row r="1958" spans="1:11" x14ac:dyDescent="0.35">
      <c r="A1958" s="13"/>
      <c r="E1958" s="8"/>
      <c r="F1958" s="1"/>
      <c r="J1958" s="2"/>
      <c r="K1958" s="7"/>
    </row>
    <row r="1959" spans="1:11" x14ac:dyDescent="0.35">
      <c r="A1959" s="13"/>
      <c r="E1959" s="8"/>
      <c r="F1959" s="1"/>
      <c r="J1959" s="2"/>
      <c r="K1959" s="7"/>
    </row>
    <row r="1960" spans="1:11" x14ac:dyDescent="0.35">
      <c r="A1960" s="13"/>
      <c r="E1960" s="8"/>
      <c r="F1960" s="1"/>
      <c r="J1960" s="2"/>
      <c r="K1960" s="7"/>
    </row>
    <row r="1961" spans="1:11" x14ac:dyDescent="0.35">
      <c r="A1961" s="13"/>
      <c r="E1961" s="8"/>
      <c r="F1961" s="1"/>
      <c r="J1961" s="2"/>
      <c r="K1961" s="7"/>
    </row>
    <row r="1962" spans="1:11" x14ac:dyDescent="0.35">
      <c r="A1962" s="13"/>
      <c r="E1962" s="8"/>
      <c r="F1962" s="1"/>
      <c r="J1962" s="2"/>
      <c r="K1962" s="7"/>
    </row>
    <row r="1963" spans="1:11" x14ac:dyDescent="0.35">
      <c r="A1963" s="13"/>
      <c r="E1963" s="8"/>
      <c r="F1963" s="1"/>
      <c r="J1963" s="2"/>
      <c r="K1963" s="7"/>
    </row>
    <row r="1964" spans="1:11" x14ac:dyDescent="0.35">
      <c r="A1964" s="13"/>
      <c r="E1964" s="8"/>
      <c r="F1964" s="1"/>
      <c r="J1964" s="2"/>
      <c r="K1964" s="7"/>
    </row>
    <row r="1965" spans="1:11" x14ac:dyDescent="0.35">
      <c r="A1965" s="13"/>
      <c r="E1965" s="8"/>
      <c r="F1965" s="1"/>
      <c r="J1965" s="2"/>
      <c r="K1965" s="7"/>
    </row>
    <row r="1966" spans="1:11" x14ac:dyDescent="0.35">
      <c r="A1966" s="13"/>
      <c r="E1966" s="8"/>
      <c r="F1966" s="1"/>
      <c r="J1966" s="2"/>
      <c r="K1966" s="7"/>
    </row>
    <row r="1967" spans="1:11" x14ac:dyDescent="0.35">
      <c r="A1967" s="13"/>
      <c r="E1967" s="8"/>
      <c r="F1967" s="1"/>
      <c r="J1967" s="2"/>
      <c r="K1967" s="7"/>
    </row>
    <row r="1968" spans="1:11" x14ac:dyDescent="0.35">
      <c r="A1968" s="13"/>
      <c r="E1968" s="8"/>
      <c r="F1968" s="1"/>
      <c r="J1968" s="2"/>
      <c r="K1968" s="7"/>
    </row>
    <row r="1969" spans="1:11" x14ac:dyDescent="0.35">
      <c r="A1969" s="13"/>
      <c r="E1969" s="8"/>
      <c r="F1969" s="1"/>
      <c r="J1969" s="2"/>
      <c r="K1969" s="7"/>
    </row>
    <row r="1970" spans="1:11" x14ac:dyDescent="0.35">
      <c r="A1970" s="13"/>
      <c r="E1970" s="8"/>
      <c r="F1970" s="1"/>
      <c r="J1970" s="2"/>
      <c r="K1970" s="7"/>
    </row>
    <row r="1971" spans="1:11" x14ac:dyDescent="0.35">
      <c r="A1971" s="13"/>
      <c r="E1971" s="8"/>
      <c r="F1971" s="1"/>
      <c r="J1971" s="2"/>
      <c r="K1971" s="7"/>
    </row>
    <row r="1972" spans="1:11" x14ac:dyDescent="0.35">
      <c r="A1972" s="13"/>
      <c r="E1972" s="8"/>
      <c r="F1972" s="1"/>
      <c r="J1972" s="2"/>
      <c r="K1972" s="7"/>
    </row>
    <row r="1973" spans="1:11" x14ac:dyDescent="0.35">
      <c r="A1973" s="13"/>
      <c r="E1973" s="8"/>
      <c r="F1973" s="1"/>
      <c r="J1973" s="2"/>
      <c r="K1973" s="7"/>
    </row>
    <row r="1974" spans="1:11" x14ac:dyDescent="0.35">
      <c r="A1974" s="13"/>
      <c r="E1974" s="8"/>
      <c r="F1974" s="1"/>
      <c r="J1974" s="2"/>
      <c r="K1974" s="7"/>
    </row>
    <row r="1975" spans="1:11" x14ac:dyDescent="0.35">
      <c r="A1975" s="13"/>
      <c r="E1975" s="8"/>
      <c r="F1975" s="1"/>
      <c r="J1975" s="2"/>
      <c r="K1975" s="7"/>
    </row>
    <row r="1976" spans="1:11" x14ac:dyDescent="0.35">
      <c r="A1976" s="13"/>
      <c r="E1976" s="8"/>
      <c r="F1976" s="1"/>
      <c r="J1976" s="2"/>
      <c r="K1976" s="7"/>
    </row>
    <row r="1977" spans="1:11" x14ac:dyDescent="0.35">
      <c r="A1977" s="13"/>
      <c r="E1977" s="8"/>
      <c r="F1977" s="1"/>
      <c r="J1977" s="2"/>
      <c r="K1977" s="7"/>
    </row>
    <row r="1978" spans="1:11" x14ac:dyDescent="0.35">
      <c r="A1978" s="13"/>
      <c r="E1978" s="8"/>
      <c r="F1978" s="1"/>
      <c r="J1978" s="2"/>
      <c r="K1978" s="7"/>
    </row>
    <row r="1979" spans="1:11" x14ac:dyDescent="0.35">
      <c r="A1979" s="13"/>
      <c r="E1979" s="8"/>
      <c r="F1979" s="1"/>
      <c r="J1979" s="2"/>
      <c r="K1979" s="7"/>
    </row>
    <row r="1980" spans="1:11" x14ac:dyDescent="0.35">
      <c r="A1980" s="13"/>
      <c r="E1980" s="8"/>
      <c r="F1980" s="1"/>
      <c r="J1980" s="2"/>
      <c r="K1980" s="7"/>
    </row>
    <row r="1981" spans="1:11" x14ac:dyDescent="0.35">
      <c r="A1981" s="13"/>
      <c r="E1981" s="8"/>
      <c r="F1981" s="1"/>
      <c r="J1981" s="2"/>
      <c r="K1981" s="7"/>
    </row>
    <row r="1982" spans="1:11" x14ac:dyDescent="0.35">
      <c r="A1982" s="13"/>
      <c r="E1982" s="8"/>
      <c r="F1982" s="1"/>
      <c r="J1982" s="2"/>
      <c r="K1982" s="7"/>
    </row>
    <row r="1983" spans="1:11" x14ac:dyDescent="0.35">
      <c r="A1983" s="13"/>
      <c r="E1983" s="8"/>
      <c r="F1983" s="1"/>
      <c r="J1983" s="2"/>
      <c r="K1983" s="7"/>
    </row>
    <row r="1984" spans="1:11" x14ac:dyDescent="0.35">
      <c r="A1984" s="13"/>
      <c r="E1984" s="8"/>
      <c r="F1984" s="1"/>
      <c r="J1984" s="2"/>
      <c r="K1984" s="7"/>
    </row>
    <row r="1985" spans="1:11" x14ac:dyDescent="0.35">
      <c r="A1985" s="13"/>
      <c r="E1985" s="8"/>
      <c r="F1985" s="1"/>
      <c r="J1985" s="2"/>
      <c r="K1985" s="7"/>
    </row>
    <row r="1986" spans="1:11" x14ac:dyDescent="0.35">
      <c r="A1986" s="13"/>
      <c r="E1986" s="8"/>
      <c r="F1986" s="1"/>
      <c r="J1986" s="2"/>
      <c r="K1986" s="7"/>
    </row>
    <row r="1987" spans="1:11" x14ac:dyDescent="0.35">
      <c r="A1987" s="13"/>
      <c r="E1987" s="8"/>
      <c r="F1987" s="1"/>
      <c r="J1987" s="2"/>
      <c r="K1987" s="7"/>
    </row>
    <row r="1988" spans="1:11" x14ac:dyDescent="0.35">
      <c r="A1988" s="13"/>
      <c r="E1988" s="8"/>
      <c r="F1988" s="1"/>
      <c r="J1988" s="2"/>
      <c r="K1988" s="7"/>
    </row>
    <row r="1989" spans="1:11" x14ac:dyDescent="0.35">
      <c r="A1989" s="13"/>
      <c r="E1989" s="8"/>
      <c r="F1989" s="1"/>
      <c r="J1989" s="2"/>
      <c r="K1989" s="7"/>
    </row>
    <row r="1990" spans="1:11" x14ac:dyDescent="0.35">
      <c r="A1990" s="13"/>
      <c r="E1990" s="8"/>
      <c r="F1990" s="1"/>
      <c r="J1990" s="2"/>
      <c r="K1990" s="7"/>
    </row>
    <row r="1991" spans="1:11" x14ac:dyDescent="0.35">
      <c r="A1991" s="13"/>
      <c r="E1991" s="8"/>
      <c r="F1991" s="1"/>
      <c r="J1991" s="2"/>
      <c r="K1991" s="7"/>
    </row>
    <row r="1992" spans="1:11" x14ac:dyDescent="0.35">
      <c r="A1992" s="13"/>
      <c r="E1992" s="8"/>
      <c r="F1992" s="1"/>
      <c r="J1992" s="2"/>
      <c r="K1992" s="7"/>
    </row>
    <row r="1993" spans="1:11" x14ac:dyDescent="0.35">
      <c r="A1993" s="13"/>
      <c r="E1993" s="8"/>
      <c r="F1993" s="1"/>
      <c r="J1993" s="2"/>
      <c r="K1993" s="7"/>
    </row>
    <row r="1994" spans="1:11" x14ac:dyDescent="0.35">
      <c r="A1994" s="13"/>
      <c r="E1994" s="8"/>
      <c r="F1994" s="1"/>
      <c r="J1994" s="2"/>
      <c r="K1994" s="7"/>
    </row>
    <row r="1995" spans="1:11" x14ac:dyDescent="0.35">
      <c r="A1995" s="13"/>
      <c r="E1995" s="8"/>
      <c r="F1995" s="1"/>
      <c r="J1995" s="2"/>
      <c r="K1995" s="7"/>
    </row>
    <row r="1996" spans="1:11" x14ac:dyDescent="0.35">
      <c r="A1996" s="13"/>
      <c r="E1996" s="8"/>
      <c r="F1996" s="1"/>
      <c r="J1996" s="2"/>
      <c r="K1996" s="7"/>
    </row>
    <row r="1997" spans="1:11" x14ac:dyDescent="0.35">
      <c r="A1997" s="13"/>
      <c r="E1997" s="8"/>
      <c r="F1997" s="1"/>
      <c r="J1997" s="2"/>
      <c r="K1997" s="7"/>
    </row>
    <row r="1998" spans="1:11" x14ac:dyDescent="0.35">
      <c r="A1998" s="13"/>
      <c r="E1998" s="8"/>
      <c r="F1998" s="1"/>
      <c r="J1998" s="2"/>
      <c r="K1998" s="7"/>
    </row>
    <row r="1999" spans="1:11" x14ac:dyDescent="0.35">
      <c r="A1999" s="13"/>
      <c r="E1999" s="8"/>
      <c r="F1999" s="1"/>
      <c r="J1999" s="2"/>
      <c r="K1999" s="7"/>
    </row>
    <row r="2000" spans="1:11" x14ac:dyDescent="0.35">
      <c r="A2000" s="13"/>
      <c r="E2000" s="8"/>
      <c r="F2000" s="1"/>
      <c r="J2000" s="2"/>
      <c r="K2000" s="7"/>
    </row>
    <row r="2001" spans="1:11" x14ac:dyDescent="0.35">
      <c r="A2001" s="13"/>
      <c r="E2001" s="8"/>
      <c r="F2001" s="1"/>
      <c r="J2001" s="2"/>
      <c r="K2001" s="7"/>
    </row>
    <row r="2002" spans="1:11" x14ac:dyDescent="0.35">
      <c r="A2002" s="13"/>
      <c r="E2002" s="8"/>
      <c r="F2002" s="1"/>
      <c r="J2002" s="2"/>
      <c r="K2002" s="7"/>
    </row>
    <row r="2003" spans="1:11" x14ac:dyDescent="0.35">
      <c r="A2003" s="13"/>
      <c r="E2003" s="8"/>
      <c r="F2003" s="1"/>
      <c r="J2003" s="2"/>
      <c r="K2003" s="7"/>
    </row>
    <row r="2004" spans="1:11" x14ac:dyDescent="0.35">
      <c r="A2004" s="13"/>
      <c r="E2004" s="8"/>
      <c r="F2004" s="1"/>
      <c r="J2004" s="2"/>
      <c r="K2004" s="7"/>
    </row>
    <row r="2005" spans="1:11" x14ac:dyDescent="0.35">
      <c r="A2005" s="13"/>
      <c r="E2005" s="8"/>
      <c r="F2005" s="1"/>
      <c r="J2005" s="2"/>
      <c r="K2005" s="7"/>
    </row>
    <row r="2006" spans="1:11" x14ac:dyDescent="0.35">
      <c r="A2006" s="13"/>
      <c r="E2006" s="8"/>
      <c r="F2006" s="1"/>
      <c r="J2006" s="2"/>
      <c r="K2006" s="7"/>
    </row>
    <row r="2007" spans="1:11" x14ac:dyDescent="0.35">
      <c r="A2007" s="13"/>
      <c r="E2007" s="8"/>
      <c r="F2007" s="1"/>
      <c r="J2007" s="2"/>
      <c r="K2007" s="7"/>
    </row>
    <row r="2008" spans="1:11" x14ac:dyDescent="0.35">
      <c r="A2008" s="13"/>
      <c r="E2008" s="8"/>
      <c r="F2008" s="1"/>
      <c r="J2008" s="2"/>
      <c r="K2008" s="7"/>
    </row>
    <row r="2009" spans="1:11" x14ac:dyDescent="0.35">
      <c r="A2009" s="13"/>
      <c r="E2009" s="8"/>
      <c r="F2009" s="1"/>
      <c r="J2009" s="2"/>
      <c r="K2009" s="7"/>
    </row>
    <row r="2010" spans="1:11" x14ac:dyDescent="0.35">
      <c r="A2010" s="13"/>
      <c r="E2010" s="8"/>
      <c r="F2010" s="1"/>
      <c r="J2010" s="2"/>
      <c r="K2010" s="7"/>
    </row>
    <row r="2011" spans="1:11" x14ac:dyDescent="0.35">
      <c r="A2011" s="13"/>
      <c r="E2011" s="8"/>
      <c r="F2011" s="1"/>
      <c r="J2011" s="2"/>
      <c r="K2011" s="7"/>
    </row>
    <row r="2012" spans="1:11" x14ac:dyDescent="0.35">
      <c r="A2012" s="13"/>
      <c r="E2012" s="8"/>
      <c r="F2012" s="1"/>
      <c r="J2012" s="2"/>
      <c r="K2012" s="7"/>
    </row>
    <row r="2013" spans="1:11" x14ac:dyDescent="0.35">
      <c r="A2013" s="13"/>
      <c r="E2013" s="8"/>
      <c r="F2013" s="1"/>
      <c r="J2013" s="2"/>
      <c r="K2013" s="7"/>
    </row>
    <row r="2014" spans="1:11" x14ac:dyDescent="0.35">
      <c r="A2014" s="13"/>
      <c r="E2014" s="8"/>
      <c r="F2014" s="1"/>
      <c r="J2014" s="2"/>
      <c r="K2014" s="7"/>
    </row>
    <row r="2015" spans="1:11" x14ac:dyDescent="0.35">
      <c r="A2015" s="13"/>
      <c r="E2015" s="8"/>
      <c r="F2015" s="1"/>
      <c r="J2015" s="2"/>
      <c r="K2015" s="7"/>
    </row>
    <row r="2016" spans="1:11" x14ac:dyDescent="0.35">
      <c r="A2016" s="13"/>
      <c r="E2016" s="8"/>
      <c r="F2016" s="1"/>
      <c r="J2016" s="2"/>
      <c r="K2016" s="7"/>
    </row>
    <row r="2017" spans="1:11" x14ac:dyDescent="0.35">
      <c r="A2017" s="13"/>
      <c r="E2017" s="8"/>
      <c r="F2017" s="1"/>
      <c r="J2017" s="2"/>
      <c r="K2017" s="7"/>
    </row>
    <row r="2018" spans="1:11" x14ac:dyDescent="0.35">
      <c r="A2018" s="13"/>
      <c r="E2018" s="8"/>
      <c r="F2018" s="1"/>
      <c r="J2018" s="2"/>
      <c r="K2018" s="7"/>
    </row>
    <row r="2019" spans="1:11" x14ac:dyDescent="0.35">
      <c r="A2019" s="13"/>
      <c r="E2019" s="8"/>
      <c r="F2019" s="1"/>
      <c r="J2019" s="2"/>
      <c r="K2019" s="7"/>
    </row>
    <row r="2020" spans="1:11" x14ac:dyDescent="0.35">
      <c r="A2020" s="13"/>
      <c r="E2020" s="8"/>
      <c r="F2020" s="1"/>
      <c r="J2020" s="2"/>
      <c r="K2020" s="7"/>
    </row>
    <row r="2021" spans="1:11" x14ac:dyDescent="0.35">
      <c r="A2021" s="13"/>
      <c r="E2021" s="8"/>
      <c r="F2021" s="1"/>
      <c r="J2021" s="2"/>
      <c r="K2021" s="7"/>
    </row>
    <row r="2022" spans="1:11" x14ac:dyDescent="0.35">
      <c r="A2022" s="13"/>
      <c r="E2022" s="8"/>
      <c r="F2022" s="1"/>
      <c r="J2022" s="2"/>
      <c r="K2022" s="7"/>
    </row>
    <row r="2023" spans="1:11" x14ac:dyDescent="0.35">
      <c r="A2023" s="13"/>
      <c r="E2023" s="8"/>
      <c r="F2023" s="1"/>
      <c r="J2023" s="2"/>
      <c r="K2023" s="7"/>
    </row>
    <row r="2024" spans="1:11" x14ac:dyDescent="0.35">
      <c r="A2024" s="13"/>
      <c r="E2024" s="8"/>
      <c r="F2024" s="1"/>
      <c r="J2024" s="2"/>
      <c r="K2024" s="7"/>
    </row>
    <row r="2025" spans="1:11" x14ac:dyDescent="0.35">
      <c r="A2025" s="13"/>
      <c r="E2025" s="8"/>
      <c r="F2025" s="1"/>
      <c r="J2025" s="2"/>
      <c r="K2025" s="7"/>
    </row>
    <row r="2026" spans="1:11" x14ac:dyDescent="0.35">
      <c r="A2026" s="13"/>
      <c r="E2026" s="8"/>
      <c r="F2026" s="1"/>
      <c r="J2026" s="2"/>
      <c r="K2026" s="7"/>
    </row>
    <row r="2027" spans="1:11" x14ac:dyDescent="0.35">
      <c r="A2027" s="13"/>
      <c r="E2027" s="8"/>
      <c r="F2027" s="1"/>
      <c r="J2027" s="2"/>
      <c r="K2027" s="7"/>
    </row>
    <row r="2028" spans="1:11" x14ac:dyDescent="0.35">
      <c r="A2028" s="13"/>
      <c r="E2028" s="8"/>
      <c r="F2028" s="1"/>
      <c r="J2028" s="2"/>
      <c r="K2028" s="7"/>
    </row>
    <row r="2029" spans="1:11" x14ac:dyDescent="0.35">
      <c r="A2029" s="13"/>
      <c r="E2029" s="8"/>
      <c r="F2029" s="1"/>
      <c r="J2029" s="2"/>
      <c r="K2029" s="7"/>
    </row>
    <row r="2030" spans="1:11" x14ac:dyDescent="0.35">
      <c r="A2030" s="13"/>
      <c r="E2030" s="8"/>
      <c r="F2030" s="1"/>
      <c r="J2030" s="2"/>
      <c r="K2030" s="7"/>
    </row>
    <row r="2031" spans="1:11" x14ac:dyDescent="0.35">
      <c r="A2031" s="13"/>
      <c r="E2031" s="8"/>
      <c r="F2031" s="1"/>
      <c r="J2031" s="2"/>
      <c r="K2031" s="7"/>
    </row>
    <row r="2032" spans="1:11" x14ac:dyDescent="0.35">
      <c r="A2032" s="13"/>
      <c r="E2032" s="8"/>
      <c r="F2032" s="1"/>
      <c r="J2032" s="2"/>
      <c r="K2032" s="7"/>
    </row>
    <row r="2033" spans="1:11" x14ac:dyDescent="0.35">
      <c r="A2033" s="13"/>
      <c r="E2033" s="8"/>
      <c r="F2033" s="1"/>
      <c r="J2033" s="2"/>
      <c r="K2033" s="7"/>
    </row>
    <row r="2034" spans="1:11" x14ac:dyDescent="0.35">
      <c r="A2034" s="13"/>
      <c r="E2034" s="8"/>
      <c r="F2034" s="1"/>
      <c r="J2034" s="2"/>
      <c r="K2034" s="7"/>
    </row>
    <row r="2035" spans="1:11" x14ac:dyDescent="0.35">
      <c r="A2035" s="13"/>
      <c r="E2035" s="8"/>
      <c r="F2035" s="1"/>
      <c r="J2035" s="2"/>
      <c r="K2035" s="7"/>
    </row>
    <row r="2036" spans="1:11" x14ac:dyDescent="0.35">
      <c r="A2036" s="13"/>
      <c r="E2036" s="8"/>
      <c r="F2036" s="1"/>
      <c r="J2036" s="2"/>
      <c r="K2036" s="7"/>
    </row>
    <row r="2037" spans="1:11" x14ac:dyDescent="0.35">
      <c r="A2037" s="13"/>
      <c r="E2037" s="8"/>
      <c r="F2037" s="1"/>
      <c r="J2037" s="2"/>
      <c r="K2037" s="7"/>
    </row>
    <row r="2038" spans="1:11" x14ac:dyDescent="0.35">
      <c r="A2038" s="13"/>
      <c r="E2038" s="8"/>
      <c r="F2038" s="1"/>
      <c r="J2038" s="2"/>
      <c r="K2038" s="7"/>
    </row>
    <row r="2039" spans="1:11" x14ac:dyDescent="0.35">
      <c r="A2039" s="13"/>
      <c r="E2039" s="8"/>
      <c r="F2039" s="1"/>
      <c r="J2039" s="2"/>
      <c r="K2039" s="7"/>
    </row>
    <row r="2040" spans="1:11" x14ac:dyDescent="0.35">
      <c r="A2040" s="13"/>
      <c r="E2040" s="8"/>
      <c r="F2040" s="1"/>
      <c r="J2040" s="2"/>
      <c r="K2040" s="7"/>
    </row>
    <row r="2041" spans="1:11" x14ac:dyDescent="0.35">
      <c r="A2041" s="13"/>
      <c r="E2041" s="8"/>
      <c r="F2041" s="1"/>
      <c r="J2041" s="2"/>
      <c r="K2041" s="7"/>
    </row>
    <row r="2042" spans="1:11" x14ac:dyDescent="0.35">
      <c r="A2042" s="13"/>
      <c r="E2042" s="8"/>
      <c r="F2042" s="1"/>
      <c r="J2042" s="2"/>
      <c r="K2042" s="7"/>
    </row>
    <row r="2043" spans="1:11" x14ac:dyDescent="0.35">
      <c r="A2043" s="13"/>
      <c r="E2043" s="8"/>
      <c r="F2043" s="1"/>
      <c r="J2043" s="2"/>
      <c r="K2043" s="7"/>
    </row>
    <row r="2044" spans="1:11" x14ac:dyDescent="0.35">
      <c r="A2044" s="13"/>
      <c r="E2044" s="8"/>
      <c r="F2044" s="1"/>
      <c r="J2044" s="2"/>
      <c r="K2044" s="7"/>
    </row>
    <row r="2045" spans="1:11" x14ac:dyDescent="0.35">
      <c r="A2045" s="13"/>
      <c r="E2045" s="8"/>
      <c r="F2045" s="1"/>
      <c r="J2045" s="2"/>
      <c r="K2045" s="7"/>
    </row>
    <row r="2046" spans="1:11" x14ac:dyDescent="0.35">
      <c r="A2046" s="13"/>
      <c r="E2046" s="8"/>
      <c r="F2046" s="1"/>
      <c r="J2046" s="2"/>
      <c r="K2046" s="7"/>
    </row>
    <row r="2047" spans="1:11" x14ac:dyDescent="0.35">
      <c r="A2047" s="13"/>
      <c r="E2047" s="8"/>
      <c r="F2047" s="1"/>
      <c r="J2047" s="2"/>
      <c r="K2047" s="7"/>
    </row>
    <row r="2048" spans="1:11" x14ac:dyDescent="0.35">
      <c r="A2048" s="13"/>
      <c r="E2048" s="8"/>
      <c r="F2048" s="1"/>
      <c r="J2048" s="2"/>
      <c r="K2048" s="7"/>
    </row>
    <row r="2049" spans="1:11" x14ac:dyDescent="0.35">
      <c r="A2049" s="13"/>
      <c r="E2049" s="8"/>
      <c r="F2049" s="1"/>
      <c r="J2049" s="2"/>
      <c r="K2049" s="7"/>
    </row>
    <row r="2050" spans="1:11" x14ac:dyDescent="0.35">
      <c r="A2050" s="13"/>
      <c r="E2050" s="8"/>
      <c r="F2050" s="1"/>
      <c r="J2050" s="2"/>
      <c r="K2050" s="7"/>
    </row>
    <row r="2051" spans="1:11" x14ac:dyDescent="0.35">
      <c r="A2051" s="13"/>
      <c r="E2051" s="8"/>
      <c r="F2051" s="1"/>
      <c r="J2051" s="2"/>
      <c r="K2051" s="7"/>
    </row>
    <row r="2052" spans="1:11" x14ac:dyDescent="0.35">
      <c r="A2052" s="13"/>
      <c r="E2052" s="8"/>
      <c r="F2052" s="1"/>
      <c r="J2052" s="2"/>
      <c r="K2052" s="7"/>
    </row>
    <row r="2053" spans="1:11" x14ac:dyDescent="0.35">
      <c r="A2053" s="13"/>
      <c r="E2053" s="8"/>
      <c r="F2053" s="1"/>
      <c r="J2053" s="2"/>
      <c r="K2053" s="7"/>
    </row>
    <row r="2054" spans="1:11" x14ac:dyDescent="0.35">
      <c r="A2054" s="13"/>
      <c r="E2054" s="8"/>
      <c r="F2054" s="1"/>
      <c r="J2054" s="2"/>
      <c r="K2054" s="7"/>
    </row>
    <row r="2055" spans="1:11" x14ac:dyDescent="0.35">
      <c r="A2055" s="13"/>
      <c r="E2055" s="8"/>
      <c r="F2055" s="1"/>
      <c r="J2055" s="2"/>
      <c r="K2055" s="7"/>
    </row>
    <row r="2056" spans="1:11" x14ac:dyDescent="0.35">
      <c r="A2056" s="13"/>
      <c r="E2056" s="8"/>
      <c r="F2056" s="1"/>
      <c r="J2056" s="2"/>
      <c r="K2056" s="7"/>
    </row>
    <row r="2057" spans="1:11" x14ac:dyDescent="0.35">
      <c r="A2057" s="13"/>
      <c r="E2057" s="8"/>
      <c r="F2057" s="1"/>
      <c r="J2057" s="2"/>
      <c r="K2057" s="7"/>
    </row>
    <row r="2058" spans="1:11" x14ac:dyDescent="0.35">
      <c r="A2058" s="13"/>
      <c r="E2058" s="8"/>
      <c r="F2058" s="1"/>
      <c r="J2058" s="2"/>
      <c r="K2058" s="7"/>
    </row>
    <row r="2059" spans="1:11" x14ac:dyDescent="0.35">
      <c r="A2059" s="13"/>
      <c r="E2059" s="8"/>
      <c r="F2059" s="1"/>
      <c r="J2059" s="2"/>
      <c r="K2059" s="7"/>
    </row>
    <row r="2060" spans="1:11" x14ac:dyDescent="0.35">
      <c r="A2060" s="13"/>
      <c r="E2060" s="8"/>
      <c r="F2060" s="1"/>
      <c r="J2060" s="2"/>
      <c r="K2060" s="7"/>
    </row>
    <row r="2061" spans="1:11" x14ac:dyDescent="0.35">
      <c r="A2061" s="13"/>
      <c r="E2061" s="8"/>
      <c r="F2061" s="1"/>
      <c r="J2061" s="2"/>
      <c r="K2061" s="7"/>
    </row>
    <row r="2062" spans="1:11" x14ac:dyDescent="0.35">
      <c r="A2062" s="13"/>
      <c r="E2062" s="8"/>
      <c r="F2062" s="1"/>
      <c r="J2062" s="2"/>
      <c r="K2062" s="7"/>
    </row>
    <row r="2063" spans="1:11" x14ac:dyDescent="0.35">
      <c r="A2063" s="13"/>
      <c r="E2063" s="8"/>
      <c r="F2063" s="1"/>
      <c r="J2063" s="2"/>
      <c r="K2063" s="7"/>
    </row>
    <row r="2064" spans="1:11" x14ac:dyDescent="0.35">
      <c r="A2064" s="13"/>
      <c r="E2064" s="8"/>
      <c r="F2064" s="1"/>
      <c r="J2064" s="2"/>
      <c r="K2064" s="7"/>
    </row>
    <row r="2065" spans="1:11" x14ac:dyDescent="0.35">
      <c r="A2065" s="13"/>
      <c r="E2065" s="8"/>
      <c r="F2065" s="1"/>
      <c r="J2065" s="2"/>
      <c r="K2065" s="7"/>
    </row>
    <row r="2066" spans="1:11" x14ac:dyDescent="0.35">
      <c r="A2066" s="13"/>
      <c r="E2066" s="8"/>
      <c r="F2066" s="1"/>
      <c r="J2066" s="2"/>
      <c r="K2066" s="7"/>
    </row>
    <row r="2067" spans="1:11" x14ac:dyDescent="0.35">
      <c r="A2067" s="13"/>
      <c r="E2067" s="8"/>
      <c r="F2067" s="1"/>
      <c r="J2067" s="2"/>
      <c r="K2067" s="7"/>
    </row>
    <row r="2068" spans="1:11" x14ac:dyDescent="0.35">
      <c r="A2068" s="13"/>
      <c r="E2068" s="8"/>
      <c r="F2068" s="1"/>
      <c r="J2068" s="2"/>
      <c r="K2068" s="7"/>
    </row>
    <row r="2069" spans="1:11" x14ac:dyDescent="0.35">
      <c r="A2069" s="13"/>
      <c r="E2069" s="8"/>
      <c r="F2069" s="1"/>
      <c r="J2069" s="2"/>
      <c r="K2069" s="7"/>
    </row>
    <row r="2070" spans="1:11" x14ac:dyDescent="0.35">
      <c r="A2070" s="13"/>
      <c r="E2070" s="8"/>
      <c r="F2070" s="1"/>
      <c r="J2070" s="2"/>
      <c r="K2070" s="7"/>
    </row>
    <row r="2071" spans="1:11" x14ac:dyDescent="0.35">
      <c r="A2071" s="13"/>
      <c r="E2071" s="8"/>
      <c r="F2071" s="1"/>
      <c r="J2071" s="2"/>
      <c r="K2071" s="7"/>
    </row>
    <row r="2072" spans="1:11" x14ac:dyDescent="0.35">
      <c r="A2072" s="13"/>
      <c r="E2072" s="8"/>
      <c r="F2072" s="1"/>
      <c r="J2072" s="2"/>
      <c r="K2072" s="7"/>
    </row>
    <row r="2073" spans="1:11" x14ac:dyDescent="0.35">
      <c r="A2073" s="13"/>
      <c r="E2073" s="8"/>
      <c r="F2073" s="1"/>
      <c r="J2073" s="2"/>
      <c r="K2073" s="7"/>
    </row>
    <row r="2074" spans="1:11" x14ac:dyDescent="0.35">
      <c r="A2074" s="13"/>
      <c r="E2074" s="8"/>
      <c r="F2074" s="1"/>
      <c r="J2074" s="2"/>
      <c r="K2074" s="7"/>
    </row>
    <row r="2075" spans="1:11" x14ac:dyDescent="0.35">
      <c r="A2075" s="13"/>
      <c r="E2075" s="8"/>
      <c r="F2075" s="1"/>
      <c r="J2075" s="2"/>
      <c r="K2075" s="7"/>
    </row>
    <row r="2076" spans="1:11" x14ac:dyDescent="0.35">
      <c r="A2076" s="13"/>
      <c r="E2076" s="8"/>
      <c r="F2076" s="1"/>
      <c r="J2076" s="2"/>
      <c r="K2076" s="7"/>
    </row>
    <row r="2077" spans="1:11" x14ac:dyDescent="0.35">
      <c r="A2077" s="13"/>
      <c r="E2077" s="8"/>
      <c r="F2077" s="1"/>
      <c r="J2077" s="2"/>
      <c r="K2077" s="7"/>
    </row>
    <row r="2078" spans="1:11" x14ac:dyDescent="0.35">
      <c r="A2078" s="13"/>
      <c r="E2078" s="8"/>
      <c r="F2078" s="1"/>
      <c r="J2078" s="2"/>
      <c r="K2078" s="7"/>
    </row>
    <row r="2079" spans="1:11" x14ac:dyDescent="0.35">
      <c r="A2079" s="13"/>
      <c r="E2079" s="8"/>
      <c r="F2079" s="1"/>
      <c r="J2079" s="2"/>
      <c r="K2079" s="7"/>
    </row>
    <row r="2080" spans="1:11" x14ac:dyDescent="0.35">
      <c r="A2080" s="13"/>
      <c r="E2080" s="8"/>
      <c r="F2080" s="1"/>
      <c r="J2080" s="2"/>
      <c r="K2080" s="7"/>
    </row>
    <row r="2081" spans="1:11" x14ac:dyDescent="0.35">
      <c r="A2081" s="13"/>
      <c r="E2081" s="8"/>
      <c r="F2081" s="1"/>
      <c r="J2081" s="2"/>
      <c r="K2081" s="7"/>
    </row>
    <row r="2082" spans="1:11" x14ac:dyDescent="0.35">
      <c r="A2082" s="13"/>
      <c r="E2082" s="8"/>
      <c r="F2082" s="1"/>
      <c r="J2082" s="2"/>
      <c r="K2082" s="7"/>
    </row>
    <row r="2083" spans="1:11" x14ac:dyDescent="0.35">
      <c r="A2083" s="13"/>
      <c r="E2083" s="8"/>
      <c r="F2083" s="1"/>
      <c r="J2083" s="2"/>
      <c r="K2083" s="7"/>
    </row>
    <row r="2084" spans="1:11" x14ac:dyDescent="0.35">
      <c r="A2084" s="13"/>
      <c r="E2084" s="8"/>
      <c r="F2084" s="1"/>
      <c r="J2084" s="2"/>
      <c r="K2084" s="7"/>
    </row>
    <row r="2085" spans="1:11" x14ac:dyDescent="0.35">
      <c r="A2085" s="13"/>
      <c r="E2085" s="8"/>
      <c r="F2085" s="1"/>
      <c r="J2085" s="2"/>
      <c r="K2085" s="7"/>
    </row>
    <row r="2086" spans="1:11" x14ac:dyDescent="0.35">
      <c r="A2086" s="13"/>
      <c r="E2086" s="8"/>
      <c r="F2086" s="1"/>
      <c r="J2086" s="2"/>
      <c r="K2086" s="7"/>
    </row>
    <row r="2087" spans="1:11" x14ac:dyDescent="0.35">
      <c r="A2087" s="13"/>
      <c r="E2087" s="8"/>
      <c r="F2087" s="1"/>
      <c r="J2087" s="2"/>
      <c r="K2087" s="7"/>
    </row>
    <row r="2088" spans="1:11" x14ac:dyDescent="0.35">
      <c r="A2088" s="13"/>
      <c r="E2088" s="8"/>
      <c r="F2088" s="1"/>
      <c r="J2088" s="2"/>
      <c r="K2088" s="7"/>
    </row>
    <row r="2089" spans="1:11" x14ac:dyDescent="0.35">
      <c r="A2089" s="13"/>
      <c r="E2089" s="8"/>
      <c r="F2089" s="1"/>
      <c r="J2089" s="2"/>
      <c r="K2089" s="7"/>
    </row>
    <row r="2090" spans="1:11" x14ac:dyDescent="0.35">
      <c r="A2090" s="13"/>
      <c r="E2090" s="8"/>
      <c r="F2090" s="1"/>
      <c r="J2090" s="2"/>
      <c r="K2090" s="7"/>
    </row>
    <row r="2091" spans="1:11" x14ac:dyDescent="0.35">
      <c r="A2091" s="13"/>
      <c r="E2091" s="8"/>
      <c r="F2091" s="1"/>
      <c r="J2091" s="2"/>
      <c r="K2091" s="7"/>
    </row>
    <row r="2092" spans="1:11" x14ac:dyDescent="0.35">
      <c r="A2092" s="13"/>
      <c r="E2092" s="8"/>
      <c r="F2092" s="1"/>
      <c r="J2092" s="2"/>
      <c r="K2092" s="7"/>
    </row>
    <row r="2093" spans="1:11" x14ac:dyDescent="0.35">
      <c r="A2093" s="13"/>
      <c r="E2093" s="8"/>
      <c r="F2093" s="1"/>
      <c r="J2093" s="2"/>
      <c r="K2093" s="7"/>
    </row>
    <row r="2094" spans="1:11" x14ac:dyDescent="0.35">
      <c r="A2094" s="13"/>
      <c r="E2094" s="8"/>
      <c r="F2094" s="1"/>
      <c r="J2094" s="2"/>
      <c r="K2094" s="7"/>
    </row>
    <row r="2095" spans="1:11" x14ac:dyDescent="0.35">
      <c r="A2095" s="13"/>
      <c r="E2095" s="8"/>
      <c r="F2095" s="1"/>
      <c r="J2095" s="2"/>
      <c r="K2095" s="7"/>
    </row>
    <row r="2096" spans="1:11" x14ac:dyDescent="0.35">
      <c r="A2096" s="13"/>
      <c r="E2096" s="8"/>
      <c r="F2096" s="1"/>
      <c r="J2096" s="2"/>
      <c r="K2096" s="7"/>
    </row>
    <row r="2097" spans="1:11" x14ac:dyDescent="0.35">
      <c r="A2097" s="13"/>
      <c r="E2097" s="8"/>
      <c r="F2097" s="1"/>
      <c r="J2097" s="2"/>
      <c r="K2097" s="7"/>
    </row>
    <row r="2098" spans="1:11" x14ac:dyDescent="0.35">
      <c r="A2098" s="13"/>
      <c r="E2098" s="8"/>
      <c r="F2098" s="1"/>
      <c r="J2098" s="2"/>
      <c r="K2098" s="7"/>
    </row>
    <row r="2099" spans="1:11" x14ac:dyDescent="0.35">
      <c r="A2099" s="13"/>
      <c r="E2099" s="8"/>
      <c r="F2099" s="1"/>
      <c r="J2099" s="2"/>
      <c r="K2099" s="7"/>
    </row>
    <row r="2100" spans="1:11" x14ac:dyDescent="0.35">
      <c r="A2100" s="13"/>
      <c r="E2100" s="8"/>
      <c r="F2100" s="1"/>
      <c r="J2100" s="2"/>
      <c r="K2100" s="7"/>
    </row>
    <row r="2101" spans="1:11" x14ac:dyDescent="0.35">
      <c r="A2101" s="13"/>
      <c r="E2101" s="8"/>
      <c r="F2101" s="1"/>
      <c r="J2101" s="2"/>
      <c r="K2101" s="7"/>
    </row>
    <row r="2102" spans="1:11" x14ac:dyDescent="0.35">
      <c r="A2102" s="13"/>
      <c r="E2102" s="8"/>
      <c r="F2102" s="1"/>
      <c r="J2102" s="2"/>
      <c r="K2102" s="7"/>
    </row>
    <row r="2103" spans="1:11" x14ac:dyDescent="0.35">
      <c r="A2103" s="13"/>
      <c r="E2103" s="8"/>
      <c r="F2103" s="1"/>
      <c r="J2103" s="2"/>
      <c r="K2103" s="7"/>
    </row>
    <row r="2104" spans="1:11" x14ac:dyDescent="0.35">
      <c r="A2104" s="13"/>
      <c r="E2104" s="8"/>
      <c r="F2104" s="1"/>
      <c r="J2104" s="2"/>
      <c r="K2104" s="7"/>
    </row>
    <row r="2105" spans="1:11" x14ac:dyDescent="0.35">
      <c r="A2105" s="13"/>
      <c r="E2105" s="8"/>
      <c r="F2105" s="1"/>
      <c r="J2105" s="2"/>
      <c r="K2105" s="7"/>
    </row>
    <row r="2106" spans="1:11" x14ac:dyDescent="0.35">
      <c r="A2106" s="13"/>
      <c r="E2106" s="8"/>
      <c r="F2106" s="1"/>
      <c r="J2106" s="2"/>
      <c r="K2106" s="7"/>
    </row>
    <row r="2107" spans="1:11" x14ac:dyDescent="0.35">
      <c r="A2107" s="13"/>
      <c r="E2107" s="8"/>
      <c r="F2107" s="1"/>
      <c r="J2107" s="2"/>
      <c r="K2107" s="7"/>
    </row>
    <row r="2108" spans="1:11" x14ac:dyDescent="0.35">
      <c r="A2108" s="13"/>
      <c r="E2108" s="8"/>
      <c r="F2108" s="1"/>
      <c r="J2108" s="2"/>
      <c r="K2108" s="7"/>
    </row>
    <row r="2109" spans="1:11" x14ac:dyDescent="0.35">
      <c r="A2109" s="13"/>
      <c r="E2109" s="8"/>
      <c r="F2109" s="1"/>
      <c r="J2109" s="2"/>
      <c r="K2109" s="7"/>
    </row>
    <row r="2110" spans="1:11" x14ac:dyDescent="0.35">
      <c r="A2110" s="13"/>
      <c r="E2110" s="8"/>
      <c r="F2110" s="1"/>
      <c r="J2110" s="2"/>
      <c r="K2110" s="7"/>
    </row>
    <row r="2111" spans="1:11" x14ac:dyDescent="0.35">
      <c r="A2111" s="13"/>
      <c r="E2111" s="8"/>
      <c r="F2111" s="1"/>
      <c r="J2111" s="2"/>
      <c r="K2111" s="7"/>
    </row>
    <row r="2112" spans="1:11" x14ac:dyDescent="0.35">
      <c r="A2112" s="13"/>
      <c r="E2112" s="8"/>
      <c r="F2112" s="1"/>
      <c r="J2112" s="2"/>
      <c r="K2112" s="7"/>
    </row>
    <row r="2113" spans="1:11" x14ac:dyDescent="0.35">
      <c r="A2113" s="13"/>
      <c r="E2113" s="8"/>
      <c r="F2113" s="1"/>
      <c r="J2113" s="2"/>
      <c r="K2113" s="7"/>
    </row>
    <row r="2114" spans="1:11" x14ac:dyDescent="0.35">
      <c r="A2114" s="13"/>
      <c r="E2114" s="8"/>
      <c r="F2114" s="1"/>
      <c r="J2114" s="2"/>
      <c r="K2114" s="7"/>
    </row>
    <row r="2115" spans="1:11" x14ac:dyDescent="0.35">
      <c r="A2115" s="13"/>
      <c r="E2115" s="8"/>
      <c r="F2115" s="1"/>
      <c r="J2115" s="2"/>
      <c r="K2115" s="7"/>
    </row>
    <row r="2116" spans="1:11" x14ac:dyDescent="0.35">
      <c r="A2116" s="13"/>
      <c r="E2116" s="8"/>
      <c r="F2116" s="1"/>
      <c r="J2116" s="2"/>
      <c r="K2116" s="7"/>
    </row>
    <row r="2117" spans="1:11" x14ac:dyDescent="0.35">
      <c r="A2117" s="13"/>
      <c r="E2117" s="8"/>
      <c r="F2117" s="1"/>
      <c r="J2117" s="2"/>
      <c r="K2117" s="7"/>
    </row>
    <row r="2118" spans="1:11" x14ac:dyDescent="0.35">
      <c r="A2118" s="13"/>
      <c r="E2118" s="8"/>
      <c r="F2118" s="1"/>
      <c r="J2118" s="2"/>
      <c r="K2118" s="7"/>
    </row>
    <row r="2119" spans="1:11" x14ac:dyDescent="0.35">
      <c r="A2119" s="13"/>
      <c r="E2119" s="8"/>
      <c r="F2119" s="1"/>
      <c r="J2119" s="2"/>
      <c r="K2119" s="7"/>
    </row>
    <row r="2120" spans="1:11" x14ac:dyDescent="0.35">
      <c r="A2120" s="13"/>
      <c r="E2120" s="8"/>
      <c r="F2120" s="1"/>
      <c r="J2120" s="2"/>
      <c r="K2120" s="7"/>
    </row>
    <row r="2121" spans="1:11" x14ac:dyDescent="0.35">
      <c r="A2121" s="13"/>
      <c r="E2121" s="8"/>
      <c r="F2121" s="1"/>
      <c r="J2121" s="2"/>
      <c r="K2121" s="7"/>
    </row>
    <row r="2122" spans="1:11" x14ac:dyDescent="0.35">
      <c r="A2122" s="13"/>
      <c r="E2122" s="8"/>
      <c r="F2122" s="1"/>
      <c r="J2122" s="2"/>
      <c r="K2122" s="7"/>
    </row>
    <row r="2123" spans="1:11" x14ac:dyDescent="0.35">
      <c r="A2123" s="13"/>
      <c r="E2123" s="8"/>
      <c r="F2123" s="1"/>
      <c r="J2123" s="2"/>
      <c r="K2123" s="7"/>
    </row>
    <row r="2124" spans="1:11" x14ac:dyDescent="0.35">
      <c r="A2124" s="13"/>
      <c r="E2124" s="8"/>
      <c r="F2124" s="1"/>
      <c r="J2124" s="2"/>
      <c r="K2124" s="7"/>
    </row>
    <row r="2125" spans="1:11" x14ac:dyDescent="0.35">
      <c r="A2125" s="13"/>
      <c r="E2125" s="8"/>
      <c r="F2125" s="1"/>
      <c r="J2125" s="2"/>
      <c r="K2125" s="7"/>
    </row>
    <row r="2126" spans="1:11" x14ac:dyDescent="0.35">
      <c r="A2126" s="13"/>
      <c r="E2126" s="8"/>
      <c r="F2126" s="1"/>
      <c r="J2126" s="2"/>
      <c r="K2126" s="7"/>
    </row>
    <row r="2127" spans="1:11" x14ac:dyDescent="0.35">
      <c r="A2127" s="13"/>
      <c r="E2127" s="8"/>
      <c r="F2127" s="1"/>
      <c r="J2127" s="2"/>
      <c r="K2127" s="7"/>
    </row>
    <row r="2128" spans="1:11" x14ac:dyDescent="0.35">
      <c r="A2128" s="13"/>
      <c r="E2128" s="8"/>
      <c r="F2128" s="1"/>
      <c r="J2128" s="2"/>
      <c r="K2128" s="7"/>
    </row>
    <row r="2129" spans="1:11" x14ac:dyDescent="0.35">
      <c r="A2129" s="13"/>
      <c r="E2129" s="8"/>
      <c r="F2129" s="1"/>
      <c r="J2129" s="2"/>
      <c r="K2129" s="7"/>
    </row>
    <row r="2130" spans="1:11" x14ac:dyDescent="0.35">
      <c r="A2130" s="13"/>
      <c r="E2130" s="8"/>
      <c r="F2130" s="1"/>
      <c r="J2130" s="2"/>
      <c r="K2130" s="7"/>
    </row>
    <row r="2131" spans="1:11" x14ac:dyDescent="0.35">
      <c r="A2131" s="13"/>
      <c r="E2131" s="8"/>
      <c r="F2131" s="1"/>
      <c r="J2131" s="2"/>
      <c r="K2131" s="7"/>
    </row>
    <row r="2132" spans="1:11" x14ac:dyDescent="0.35">
      <c r="A2132" s="13"/>
      <c r="E2132" s="8"/>
      <c r="F2132" s="1"/>
      <c r="J2132" s="2"/>
      <c r="K2132" s="7"/>
    </row>
    <row r="2133" spans="1:11" x14ac:dyDescent="0.35">
      <c r="A2133" s="13"/>
      <c r="E2133" s="8"/>
      <c r="F2133" s="1"/>
      <c r="J2133" s="2"/>
      <c r="K2133" s="7"/>
    </row>
    <row r="2134" spans="1:11" x14ac:dyDescent="0.35">
      <c r="A2134" s="13"/>
      <c r="E2134" s="8"/>
      <c r="F2134" s="1"/>
      <c r="J2134" s="2"/>
      <c r="K2134" s="7"/>
    </row>
    <row r="2135" spans="1:11" x14ac:dyDescent="0.35">
      <c r="A2135" s="13"/>
      <c r="E2135" s="8"/>
      <c r="F2135" s="1"/>
      <c r="J2135" s="2"/>
      <c r="K2135" s="7"/>
    </row>
    <row r="2136" spans="1:11" x14ac:dyDescent="0.35">
      <c r="A2136" s="13"/>
      <c r="E2136" s="8"/>
      <c r="F2136" s="1"/>
      <c r="J2136" s="2"/>
      <c r="K2136" s="7"/>
    </row>
    <row r="2137" spans="1:11" x14ac:dyDescent="0.35">
      <c r="A2137" s="13"/>
      <c r="E2137" s="8"/>
      <c r="F2137" s="1"/>
      <c r="J2137" s="2"/>
      <c r="K2137" s="7"/>
    </row>
    <row r="2138" spans="1:11" x14ac:dyDescent="0.35">
      <c r="A2138" s="13"/>
      <c r="E2138" s="8"/>
      <c r="F2138" s="1"/>
      <c r="J2138" s="2"/>
      <c r="K2138" s="7"/>
    </row>
    <row r="2139" spans="1:11" x14ac:dyDescent="0.35">
      <c r="A2139" s="13"/>
      <c r="E2139" s="8"/>
      <c r="F2139" s="1"/>
      <c r="J2139" s="2"/>
      <c r="K2139" s="7"/>
    </row>
    <row r="2140" spans="1:11" x14ac:dyDescent="0.35">
      <c r="A2140" s="13"/>
      <c r="E2140" s="8"/>
      <c r="F2140" s="1"/>
      <c r="J2140" s="2"/>
      <c r="K2140" s="7"/>
    </row>
    <row r="2141" spans="1:11" x14ac:dyDescent="0.35">
      <c r="A2141" s="13"/>
      <c r="E2141" s="8"/>
      <c r="F2141" s="1"/>
      <c r="J2141" s="2"/>
      <c r="K2141" s="7"/>
    </row>
    <row r="2142" spans="1:11" x14ac:dyDescent="0.35">
      <c r="A2142" s="13"/>
      <c r="E2142" s="8"/>
      <c r="F2142" s="1"/>
      <c r="J2142" s="2"/>
      <c r="K2142" s="7"/>
    </row>
    <row r="2143" spans="1:11" x14ac:dyDescent="0.35">
      <c r="A2143" s="13"/>
      <c r="E2143" s="8"/>
      <c r="F2143" s="1"/>
      <c r="J2143" s="2"/>
      <c r="K2143" s="7"/>
    </row>
    <row r="2144" spans="1:11" x14ac:dyDescent="0.35">
      <c r="A2144" s="13"/>
      <c r="E2144" s="8"/>
      <c r="F2144" s="1"/>
      <c r="J2144" s="2"/>
      <c r="K2144" s="7"/>
    </row>
    <row r="2145" spans="1:11" x14ac:dyDescent="0.35">
      <c r="A2145" s="13"/>
      <c r="E2145" s="8"/>
      <c r="F2145" s="1"/>
      <c r="J2145" s="2"/>
      <c r="K2145" s="7"/>
    </row>
    <row r="2146" spans="1:11" x14ac:dyDescent="0.35">
      <c r="A2146" s="13"/>
      <c r="E2146" s="8"/>
      <c r="F2146" s="1"/>
      <c r="J2146" s="2"/>
      <c r="K2146" s="7"/>
    </row>
    <row r="2147" spans="1:11" x14ac:dyDescent="0.35">
      <c r="A2147" s="13"/>
      <c r="E2147" s="8"/>
      <c r="F2147" s="1"/>
      <c r="J2147" s="2"/>
      <c r="K2147" s="7"/>
    </row>
    <row r="2148" spans="1:11" x14ac:dyDescent="0.35">
      <c r="A2148" s="13"/>
      <c r="E2148" s="8"/>
      <c r="F2148" s="1"/>
      <c r="J2148" s="2"/>
      <c r="K2148" s="7"/>
    </row>
    <row r="2149" spans="1:11" x14ac:dyDescent="0.35">
      <c r="A2149" s="13"/>
      <c r="E2149" s="8"/>
      <c r="F2149" s="1"/>
      <c r="J2149" s="2"/>
      <c r="K2149" s="7"/>
    </row>
    <row r="2150" spans="1:11" x14ac:dyDescent="0.35">
      <c r="A2150" s="13"/>
      <c r="E2150" s="8"/>
      <c r="F2150" s="1"/>
      <c r="J2150" s="2"/>
      <c r="K2150" s="7"/>
    </row>
    <row r="2151" spans="1:11" x14ac:dyDescent="0.35">
      <c r="A2151" s="13"/>
      <c r="E2151" s="8"/>
      <c r="F2151" s="1"/>
      <c r="J2151" s="2"/>
      <c r="K2151" s="7"/>
    </row>
    <row r="2152" spans="1:11" x14ac:dyDescent="0.35">
      <c r="A2152" s="13"/>
      <c r="E2152" s="8"/>
      <c r="F2152" s="1"/>
      <c r="J2152" s="2"/>
      <c r="K2152" s="7"/>
    </row>
    <row r="2153" spans="1:11" x14ac:dyDescent="0.35">
      <c r="A2153" s="13"/>
      <c r="E2153" s="8"/>
      <c r="F2153" s="1"/>
      <c r="J2153" s="2"/>
      <c r="K2153" s="7"/>
    </row>
    <row r="2154" spans="1:11" x14ac:dyDescent="0.35">
      <c r="A2154" s="13"/>
      <c r="E2154" s="8"/>
      <c r="F2154" s="1"/>
      <c r="J2154" s="2"/>
      <c r="K2154" s="7"/>
    </row>
    <row r="2155" spans="1:11" x14ac:dyDescent="0.35">
      <c r="A2155" s="13"/>
      <c r="E2155" s="8"/>
      <c r="F2155" s="1"/>
      <c r="J2155" s="2"/>
      <c r="K2155" s="7"/>
    </row>
    <row r="2156" spans="1:11" x14ac:dyDescent="0.35">
      <c r="A2156" s="13"/>
      <c r="E2156" s="8"/>
      <c r="F2156" s="1"/>
      <c r="J2156" s="2"/>
      <c r="K2156" s="7"/>
    </row>
    <row r="2157" spans="1:11" x14ac:dyDescent="0.35">
      <c r="A2157" s="13"/>
      <c r="E2157" s="8"/>
      <c r="F2157" s="1"/>
      <c r="J2157" s="2"/>
      <c r="K2157" s="7"/>
    </row>
    <row r="2158" spans="1:11" x14ac:dyDescent="0.35">
      <c r="A2158" s="13"/>
      <c r="E2158" s="8"/>
      <c r="F2158" s="1"/>
      <c r="J2158" s="2"/>
      <c r="K2158" s="7"/>
    </row>
    <row r="2159" spans="1:11" x14ac:dyDescent="0.35">
      <c r="A2159" s="13"/>
      <c r="E2159" s="8"/>
      <c r="F2159" s="1"/>
      <c r="J2159" s="2"/>
      <c r="K2159" s="7"/>
    </row>
    <row r="2160" spans="1:11" x14ac:dyDescent="0.35">
      <c r="A2160" s="13"/>
      <c r="E2160" s="8"/>
      <c r="F2160" s="1"/>
      <c r="J2160" s="2"/>
      <c r="K2160" s="7"/>
    </row>
    <row r="2161" spans="1:11" x14ac:dyDescent="0.35">
      <c r="A2161" s="13"/>
      <c r="E2161" s="8"/>
      <c r="F2161" s="1"/>
      <c r="J2161" s="2"/>
      <c r="K2161" s="7"/>
    </row>
    <row r="2162" spans="1:11" x14ac:dyDescent="0.35">
      <c r="A2162" s="13"/>
      <c r="E2162" s="8"/>
      <c r="F2162" s="1"/>
      <c r="J2162" s="2"/>
      <c r="K2162" s="7"/>
    </row>
    <row r="2163" spans="1:11" x14ac:dyDescent="0.35">
      <c r="A2163" s="13"/>
      <c r="E2163" s="8"/>
      <c r="F2163" s="1"/>
      <c r="J2163" s="2"/>
      <c r="K2163" s="7"/>
    </row>
    <row r="2164" spans="1:11" x14ac:dyDescent="0.35">
      <c r="A2164" s="13"/>
      <c r="E2164" s="8"/>
      <c r="F2164" s="1"/>
      <c r="J2164" s="2"/>
      <c r="K2164" s="7"/>
    </row>
    <row r="2165" spans="1:11" x14ac:dyDescent="0.35">
      <c r="A2165" s="13"/>
      <c r="E2165" s="8"/>
      <c r="F2165" s="1"/>
      <c r="J2165" s="2"/>
      <c r="K2165" s="7"/>
    </row>
    <row r="2166" spans="1:11" x14ac:dyDescent="0.35">
      <c r="A2166" s="13"/>
      <c r="E2166" s="8"/>
      <c r="F2166" s="1"/>
      <c r="J2166" s="2"/>
      <c r="K2166" s="7"/>
    </row>
    <row r="2167" spans="1:11" x14ac:dyDescent="0.35">
      <c r="A2167" s="13"/>
      <c r="E2167" s="8"/>
      <c r="F2167" s="1"/>
      <c r="J2167" s="2"/>
      <c r="K2167" s="7"/>
    </row>
    <row r="2168" spans="1:11" x14ac:dyDescent="0.35">
      <c r="A2168" s="13"/>
      <c r="E2168" s="8"/>
      <c r="F2168" s="1"/>
      <c r="J2168" s="2"/>
      <c r="K2168" s="7"/>
    </row>
    <row r="2169" spans="1:11" x14ac:dyDescent="0.35">
      <c r="A2169" s="13"/>
      <c r="E2169" s="8"/>
      <c r="F2169" s="1"/>
      <c r="J2169" s="2"/>
      <c r="K2169" s="7"/>
    </row>
    <row r="2170" spans="1:11" x14ac:dyDescent="0.35">
      <c r="A2170" s="13"/>
      <c r="E2170" s="8"/>
      <c r="F2170" s="1"/>
      <c r="J2170" s="2"/>
      <c r="K2170" s="7"/>
    </row>
    <row r="2171" spans="1:11" x14ac:dyDescent="0.35">
      <c r="A2171" s="13"/>
      <c r="E2171" s="8"/>
      <c r="F2171" s="1"/>
      <c r="J2171" s="2"/>
      <c r="K2171" s="7"/>
    </row>
    <row r="2172" spans="1:11" x14ac:dyDescent="0.35">
      <c r="A2172" s="13"/>
      <c r="E2172" s="8"/>
      <c r="F2172" s="1"/>
      <c r="J2172" s="2"/>
      <c r="K2172" s="7"/>
    </row>
    <row r="2173" spans="1:11" x14ac:dyDescent="0.35">
      <c r="A2173" s="13"/>
      <c r="E2173" s="8"/>
      <c r="F2173" s="1"/>
      <c r="J2173" s="2"/>
      <c r="K2173" s="7"/>
    </row>
    <row r="2174" spans="1:11" x14ac:dyDescent="0.35">
      <c r="A2174" s="13"/>
      <c r="E2174" s="8"/>
      <c r="F2174" s="1"/>
      <c r="J2174" s="2"/>
      <c r="K2174" s="7"/>
    </row>
    <row r="2175" spans="1:11" x14ac:dyDescent="0.35">
      <c r="A2175" s="13"/>
      <c r="E2175" s="8"/>
      <c r="F2175" s="1"/>
      <c r="J2175" s="2"/>
      <c r="K2175" s="7"/>
    </row>
    <row r="2176" spans="1:11" x14ac:dyDescent="0.35">
      <c r="A2176" s="13"/>
      <c r="E2176" s="8"/>
      <c r="F2176" s="1"/>
      <c r="J2176" s="2"/>
      <c r="K2176" s="7"/>
    </row>
    <row r="2177" spans="1:11" x14ac:dyDescent="0.35">
      <c r="A2177" s="13"/>
      <c r="E2177" s="8"/>
      <c r="F2177" s="1"/>
      <c r="J2177" s="2"/>
      <c r="K2177" s="7"/>
    </row>
    <row r="2178" spans="1:11" x14ac:dyDescent="0.35">
      <c r="A2178" s="13"/>
      <c r="E2178" s="8"/>
      <c r="F2178" s="1"/>
      <c r="J2178" s="2"/>
      <c r="K2178" s="7"/>
    </row>
    <row r="2179" spans="1:11" x14ac:dyDescent="0.35">
      <c r="A2179" s="13"/>
      <c r="E2179" s="8"/>
      <c r="F2179" s="1"/>
      <c r="J2179" s="2"/>
      <c r="K2179" s="7"/>
    </row>
    <row r="2180" spans="1:11" x14ac:dyDescent="0.35">
      <c r="A2180" s="13"/>
      <c r="E2180" s="8"/>
      <c r="F2180" s="1"/>
      <c r="J2180" s="2"/>
      <c r="K2180" s="7"/>
    </row>
    <row r="2181" spans="1:11" x14ac:dyDescent="0.35">
      <c r="A2181" s="13"/>
      <c r="E2181" s="8"/>
      <c r="F2181" s="1"/>
      <c r="J2181" s="2"/>
      <c r="K2181" s="7"/>
    </row>
    <row r="2182" spans="1:11" x14ac:dyDescent="0.35">
      <c r="A2182" s="13"/>
      <c r="E2182" s="8"/>
      <c r="F2182" s="1"/>
      <c r="J2182" s="2"/>
      <c r="K2182" s="7"/>
    </row>
    <row r="2183" spans="1:11" x14ac:dyDescent="0.35">
      <c r="A2183" s="13"/>
      <c r="E2183" s="8"/>
      <c r="F2183" s="1"/>
      <c r="J2183" s="2"/>
      <c r="K2183" s="7"/>
    </row>
    <row r="2184" spans="1:11" x14ac:dyDescent="0.35">
      <c r="A2184" s="13"/>
      <c r="E2184" s="8"/>
      <c r="F2184" s="1"/>
      <c r="J2184" s="2"/>
      <c r="K2184" s="7"/>
    </row>
    <row r="2185" spans="1:11" x14ac:dyDescent="0.35">
      <c r="A2185" s="13"/>
      <c r="E2185" s="8"/>
      <c r="F2185" s="1"/>
      <c r="J2185" s="2"/>
      <c r="K2185" s="7"/>
    </row>
    <row r="2186" spans="1:11" x14ac:dyDescent="0.35">
      <c r="A2186" s="13"/>
      <c r="E2186" s="8"/>
      <c r="F2186" s="1"/>
      <c r="J2186" s="2"/>
      <c r="K2186" s="7"/>
    </row>
    <row r="2187" spans="1:11" x14ac:dyDescent="0.35">
      <c r="A2187" s="13"/>
      <c r="E2187" s="8"/>
      <c r="F2187" s="1"/>
      <c r="J2187" s="2"/>
      <c r="K2187" s="7"/>
    </row>
    <row r="2188" spans="1:11" x14ac:dyDescent="0.35">
      <c r="A2188" s="13"/>
      <c r="E2188" s="8"/>
      <c r="F2188" s="1"/>
      <c r="J2188" s="2"/>
      <c r="K2188" s="7"/>
    </row>
    <row r="2189" spans="1:11" x14ac:dyDescent="0.35">
      <c r="A2189" s="13"/>
      <c r="E2189" s="8"/>
      <c r="F2189" s="1"/>
      <c r="J2189" s="2"/>
      <c r="K2189" s="7"/>
    </row>
    <row r="2190" spans="1:11" x14ac:dyDescent="0.35">
      <c r="A2190" s="13"/>
      <c r="E2190" s="8"/>
      <c r="F2190" s="1"/>
      <c r="J2190" s="2"/>
      <c r="K2190" s="7"/>
    </row>
    <row r="2191" spans="1:11" x14ac:dyDescent="0.35">
      <c r="A2191" s="13"/>
      <c r="E2191" s="8"/>
      <c r="F2191" s="1"/>
      <c r="J2191" s="2"/>
      <c r="K2191" s="7"/>
    </row>
    <row r="2192" spans="1:11" x14ac:dyDescent="0.35">
      <c r="A2192" s="13"/>
      <c r="E2192" s="8"/>
      <c r="F2192" s="1"/>
      <c r="J2192" s="2"/>
      <c r="K2192" s="7"/>
    </row>
    <row r="2193" spans="1:11" x14ac:dyDescent="0.35">
      <c r="A2193" s="13"/>
      <c r="E2193" s="8"/>
      <c r="F2193" s="1"/>
      <c r="J2193" s="2"/>
      <c r="K2193" s="7"/>
    </row>
    <row r="2194" spans="1:11" x14ac:dyDescent="0.35">
      <c r="A2194" s="13"/>
      <c r="E2194" s="8"/>
      <c r="F2194" s="1"/>
      <c r="J2194" s="2"/>
      <c r="K2194" s="7"/>
    </row>
    <row r="2195" spans="1:11" x14ac:dyDescent="0.35">
      <c r="A2195" s="13"/>
      <c r="E2195" s="8"/>
      <c r="F2195" s="1"/>
      <c r="J2195" s="2"/>
      <c r="K2195" s="7"/>
    </row>
    <row r="2196" spans="1:11" x14ac:dyDescent="0.35">
      <c r="A2196" s="13"/>
      <c r="E2196" s="8"/>
      <c r="F2196" s="1"/>
      <c r="J2196" s="2"/>
      <c r="K2196" s="7"/>
    </row>
    <row r="2197" spans="1:11" x14ac:dyDescent="0.35">
      <c r="A2197" s="13"/>
      <c r="E2197" s="8"/>
      <c r="F2197" s="1"/>
      <c r="J2197" s="2"/>
      <c r="K2197" s="7"/>
    </row>
    <row r="2198" spans="1:11" x14ac:dyDescent="0.35">
      <c r="A2198" s="13"/>
      <c r="E2198" s="8"/>
      <c r="F2198" s="1"/>
      <c r="J2198" s="2"/>
      <c r="K2198" s="7"/>
    </row>
    <row r="2199" spans="1:11" x14ac:dyDescent="0.35">
      <c r="A2199" s="13"/>
      <c r="E2199" s="8"/>
      <c r="F2199" s="1"/>
      <c r="J2199" s="2"/>
      <c r="K2199" s="7"/>
    </row>
    <row r="2200" spans="1:11" x14ac:dyDescent="0.35">
      <c r="A2200" s="13"/>
      <c r="E2200" s="8"/>
      <c r="F2200" s="1"/>
      <c r="J2200" s="2"/>
      <c r="K2200" s="7"/>
    </row>
    <row r="2201" spans="1:11" x14ac:dyDescent="0.35">
      <c r="A2201" s="13"/>
      <c r="E2201" s="8"/>
      <c r="F2201" s="1"/>
      <c r="J2201" s="2"/>
      <c r="K2201" s="7"/>
    </row>
    <row r="2202" spans="1:11" x14ac:dyDescent="0.35">
      <c r="A2202" s="13"/>
      <c r="E2202" s="8"/>
      <c r="F2202" s="1"/>
      <c r="J2202" s="2"/>
      <c r="K2202" s="7"/>
    </row>
    <row r="2203" spans="1:11" x14ac:dyDescent="0.35">
      <c r="A2203" s="13"/>
      <c r="E2203" s="8"/>
      <c r="F2203" s="1"/>
      <c r="J2203" s="2"/>
      <c r="K2203" s="7"/>
    </row>
    <row r="2204" spans="1:11" x14ac:dyDescent="0.35">
      <c r="A2204" s="13"/>
      <c r="E2204" s="8"/>
      <c r="F2204" s="1"/>
      <c r="J2204" s="2"/>
      <c r="K2204" s="7"/>
    </row>
    <row r="2205" spans="1:11" x14ac:dyDescent="0.35">
      <c r="A2205" s="13"/>
      <c r="E2205" s="8"/>
      <c r="F2205" s="1"/>
      <c r="J2205" s="2"/>
      <c r="K2205" s="7"/>
    </row>
    <row r="2206" spans="1:11" x14ac:dyDescent="0.35">
      <c r="A2206" s="13"/>
      <c r="E2206" s="8"/>
      <c r="F2206" s="1"/>
      <c r="J2206" s="2"/>
      <c r="K2206" s="7"/>
    </row>
    <row r="2207" spans="1:11" x14ac:dyDescent="0.35">
      <c r="A2207" s="13"/>
      <c r="E2207" s="8"/>
      <c r="F2207" s="1"/>
      <c r="J2207" s="2"/>
      <c r="K2207" s="7"/>
    </row>
    <row r="2208" spans="1:11" x14ac:dyDescent="0.35">
      <c r="A2208" s="13"/>
      <c r="E2208" s="8"/>
      <c r="F2208" s="1"/>
      <c r="J2208" s="2"/>
      <c r="K2208" s="7"/>
    </row>
    <row r="2209" spans="1:11" x14ac:dyDescent="0.35">
      <c r="A2209" s="13"/>
      <c r="E2209" s="8"/>
      <c r="F2209" s="1"/>
      <c r="J2209" s="2"/>
      <c r="K2209" s="7"/>
    </row>
    <row r="2210" spans="1:11" x14ac:dyDescent="0.35">
      <c r="A2210" s="13"/>
      <c r="E2210" s="8"/>
      <c r="F2210" s="1"/>
      <c r="J2210" s="2"/>
      <c r="K2210" s="7"/>
    </row>
    <row r="2211" spans="1:11" x14ac:dyDescent="0.35">
      <c r="A2211" s="13"/>
      <c r="E2211" s="8"/>
      <c r="F2211" s="1"/>
      <c r="J2211" s="2"/>
      <c r="K2211" s="7"/>
    </row>
    <row r="2212" spans="1:11" x14ac:dyDescent="0.35">
      <c r="A2212" s="13"/>
      <c r="E2212" s="8"/>
      <c r="F2212" s="1"/>
      <c r="J2212" s="2"/>
      <c r="K2212" s="7"/>
    </row>
    <row r="2213" spans="1:11" x14ac:dyDescent="0.35">
      <c r="A2213" s="13"/>
      <c r="E2213" s="8"/>
      <c r="F2213" s="1"/>
      <c r="J2213" s="2"/>
      <c r="K2213" s="7"/>
    </row>
    <row r="2214" spans="1:11" x14ac:dyDescent="0.35">
      <c r="A2214" s="13"/>
      <c r="E2214" s="8"/>
      <c r="F2214" s="1"/>
      <c r="J2214" s="2"/>
      <c r="K2214" s="7"/>
    </row>
    <row r="2215" spans="1:11" x14ac:dyDescent="0.35">
      <c r="A2215" s="13"/>
      <c r="E2215" s="8"/>
      <c r="F2215" s="1"/>
      <c r="J2215" s="2"/>
      <c r="K2215" s="7"/>
    </row>
    <row r="2216" spans="1:11" x14ac:dyDescent="0.35">
      <c r="A2216" s="13"/>
      <c r="E2216" s="8"/>
      <c r="F2216" s="1"/>
      <c r="J2216" s="2"/>
      <c r="K2216" s="7"/>
    </row>
    <row r="2217" spans="1:11" x14ac:dyDescent="0.35">
      <c r="A2217" s="13"/>
      <c r="E2217" s="8"/>
      <c r="F2217" s="1"/>
      <c r="J2217" s="2"/>
      <c r="K2217" s="7"/>
    </row>
    <row r="2218" spans="1:11" x14ac:dyDescent="0.35">
      <c r="A2218" s="13"/>
      <c r="E2218" s="8"/>
      <c r="F2218" s="1"/>
      <c r="J2218" s="2"/>
      <c r="K2218" s="7"/>
    </row>
    <row r="2219" spans="1:11" x14ac:dyDescent="0.35">
      <c r="A2219" s="13"/>
      <c r="E2219" s="8"/>
      <c r="F2219" s="1"/>
      <c r="J2219" s="2"/>
      <c r="K2219" s="7"/>
    </row>
    <row r="2220" spans="1:11" x14ac:dyDescent="0.35">
      <c r="A2220" s="13"/>
      <c r="E2220" s="8"/>
      <c r="F2220" s="1"/>
      <c r="J2220" s="2"/>
      <c r="K2220" s="7"/>
    </row>
    <row r="2221" spans="1:11" x14ac:dyDescent="0.35">
      <c r="A2221" s="13"/>
      <c r="E2221" s="8"/>
      <c r="F2221" s="1"/>
      <c r="J2221" s="2"/>
      <c r="K2221" s="7"/>
    </row>
    <row r="2222" spans="1:11" x14ac:dyDescent="0.35">
      <c r="A2222" s="13"/>
      <c r="E2222" s="8"/>
      <c r="F2222" s="1"/>
      <c r="J2222" s="2"/>
      <c r="K2222" s="7"/>
    </row>
    <row r="2223" spans="1:11" x14ac:dyDescent="0.35">
      <c r="A2223" s="13"/>
      <c r="E2223" s="8"/>
      <c r="F2223" s="1"/>
      <c r="J2223" s="2"/>
      <c r="K2223" s="7"/>
    </row>
    <row r="2224" spans="1:11" x14ac:dyDescent="0.35">
      <c r="A2224" s="13"/>
      <c r="E2224" s="8"/>
      <c r="F2224" s="1"/>
      <c r="J2224" s="2"/>
      <c r="K2224" s="7"/>
    </row>
    <row r="2225" spans="1:11" x14ac:dyDescent="0.35">
      <c r="A2225" s="13"/>
      <c r="E2225" s="8"/>
      <c r="F2225" s="1"/>
      <c r="J2225" s="2"/>
      <c r="K2225" s="7"/>
    </row>
    <row r="2226" spans="1:11" x14ac:dyDescent="0.35">
      <c r="A2226" s="13"/>
      <c r="E2226" s="8"/>
      <c r="F2226" s="1"/>
      <c r="J2226" s="2"/>
      <c r="K2226" s="7"/>
    </row>
    <row r="2227" spans="1:11" x14ac:dyDescent="0.35">
      <c r="A2227" s="13"/>
      <c r="E2227" s="8"/>
      <c r="F2227" s="1"/>
      <c r="J2227" s="2"/>
      <c r="K2227" s="7"/>
    </row>
    <row r="2228" spans="1:11" x14ac:dyDescent="0.35">
      <c r="A2228" s="13"/>
      <c r="E2228" s="8"/>
      <c r="F2228" s="1"/>
      <c r="J2228" s="2"/>
      <c r="K2228" s="7"/>
    </row>
    <row r="2229" spans="1:11" x14ac:dyDescent="0.35">
      <c r="A2229" s="13"/>
      <c r="E2229" s="8"/>
      <c r="F2229" s="1"/>
      <c r="J2229" s="2"/>
      <c r="K2229" s="7"/>
    </row>
    <row r="2230" spans="1:11" x14ac:dyDescent="0.35">
      <c r="A2230" s="13"/>
      <c r="E2230" s="8"/>
      <c r="F2230" s="1"/>
      <c r="J2230" s="2"/>
      <c r="K2230" s="7"/>
    </row>
    <row r="2231" spans="1:11" x14ac:dyDescent="0.35">
      <c r="A2231" s="13"/>
      <c r="E2231" s="8"/>
      <c r="F2231" s="1"/>
      <c r="J2231" s="2"/>
      <c r="K2231" s="7"/>
    </row>
    <row r="2232" spans="1:11" x14ac:dyDescent="0.35">
      <c r="A2232" s="13"/>
      <c r="E2232" s="8"/>
      <c r="F2232" s="1"/>
      <c r="J2232" s="2"/>
      <c r="K2232" s="7"/>
    </row>
    <row r="2233" spans="1:11" x14ac:dyDescent="0.35">
      <c r="A2233" s="13"/>
      <c r="E2233" s="8"/>
      <c r="F2233" s="1"/>
      <c r="J2233" s="2"/>
      <c r="K2233" s="7"/>
    </row>
    <row r="2234" spans="1:11" x14ac:dyDescent="0.35">
      <c r="A2234" s="13"/>
      <c r="E2234" s="8"/>
      <c r="F2234" s="1"/>
      <c r="J2234" s="2"/>
      <c r="K2234" s="7"/>
    </row>
    <row r="2235" spans="1:11" x14ac:dyDescent="0.35">
      <c r="A2235" s="13"/>
      <c r="E2235" s="8"/>
      <c r="F2235" s="1"/>
      <c r="J2235" s="2"/>
      <c r="K2235" s="7"/>
    </row>
    <row r="2236" spans="1:11" x14ac:dyDescent="0.35">
      <c r="A2236" s="13"/>
      <c r="E2236" s="8"/>
      <c r="F2236" s="1"/>
      <c r="J2236" s="2"/>
      <c r="K2236" s="7"/>
    </row>
    <row r="2237" spans="1:11" x14ac:dyDescent="0.35">
      <c r="A2237" s="13"/>
      <c r="E2237" s="8"/>
      <c r="F2237" s="1"/>
      <c r="J2237" s="2"/>
      <c r="K2237" s="7"/>
    </row>
    <row r="2238" spans="1:11" x14ac:dyDescent="0.35">
      <c r="A2238" s="13"/>
      <c r="E2238" s="8"/>
      <c r="F2238" s="1"/>
      <c r="J2238" s="2"/>
      <c r="K2238" s="7"/>
    </row>
    <row r="2239" spans="1:11" x14ac:dyDescent="0.35">
      <c r="A2239" s="13"/>
      <c r="E2239" s="8"/>
      <c r="F2239" s="1"/>
      <c r="J2239" s="2"/>
      <c r="K2239" s="7"/>
    </row>
    <row r="2240" spans="1:11" x14ac:dyDescent="0.35">
      <c r="A2240" s="13"/>
      <c r="E2240" s="8"/>
      <c r="F2240" s="1"/>
      <c r="J2240" s="2"/>
      <c r="K2240" s="7"/>
    </row>
    <row r="2241" spans="1:11" x14ac:dyDescent="0.35">
      <c r="A2241" s="13"/>
      <c r="E2241" s="8"/>
      <c r="F2241" s="1"/>
      <c r="J2241" s="2"/>
      <c r="K2241" s="7"/>
    </row>
    <row r="2242" spans="1:11" x14ac:dyDescent="0.35">
      <c r="A2242" s="13"/>
      <c r="E2242" s="8"/>
      <c r="F2242" s="1"/>
      <c r="J2242" s="2"/>
      <c r="K2242" s="7"/>
    </row>
    <row r="2243" spans="1:11" x14ac:dyDescent="0.35">
      <c r="A2243" s="13"/>
      <c r="E2243" s="8"/>
      <c r="F2243" s="1"/>
      <c r="J2243" s="2"/>
      <c r="K2243" s="7"/>
    </row>
    <row r="2244" spans="1:11" x14ac:dyDescent="0.35">
      <c r="A2244" s="13"/>
      <c r="E2244" s="8"/>
      <c r="F2244" s="1"/>
      <c r="J2244" s="2"/>
      <c r="K2244" s="7"/>
    </row>
    <row r="2245" spans="1:11" x14ac:dyDescent="0.35">
      <c r="A2245" s="13"/>
      <c r="E2245" s="8"/>
      <c r="F2245" s="1"/>
      <c r="J2245" s="2"/>
      <c r="K2245" s="7"/>
    </row>
    <row r="2246" spans="1:11" x14ac:dyDescent="0.35">
      <c r="A2246" s="13"/>
      <c r="E2246" s="8"/>
      <c r="F2246" s="1"/>
      <c r="J2246" s="2"/>
      <c r="K2246" s="7"/>
    </row>
    <row r="2247" spans="1:11" x14ac:dyDescent="0.35">
      <c r="A2247" s="13"/>
      <c r="E2247" s="8"/>
      <c r="F2247" s="1"/>
      <c r="J2247" s="2"/>
      <c r="K2247" s="7"/>
    </row>
    <row r="2248" spans="1:11" x14ac:dyDescent="0.35">
      <c r="A2248" s="13"/>
      <c r="E2248" s="8"/>
      <c r="F2248" s="1"/>
      <c r="J2248" s="2"/>
      <c r="K2248" s="7"/>
    </row>
    <row r="2249" spans="1:11" x14ac:dyDescent="0.35">
      <c r="A2249" s="13"/>
      <c r="E2249" s="8"/>
      <c r="F2249" s="1"/>
      <c r="J2249" s="2"/>
      <c r="K2249" s="7"/>
    </row>
    <row r="2250" spans="1:11" x14ac:dyDescent="0.35">
      <c r="A2250" s="13"/>
      <c r="E2250" s="8"/>
      <c r="F2250" s="1"/>
      <c r="J2250" s="2"/>
      <c r="K2250" s="7"/>
    </row>
    <row r="2251" spans="1:11" x14ac:dyDescent="0.35">
      <c r="A2251" s="13"/>
      <c r="E2251" s="8"/>
      <c r="F2251" s="1"/>
      <c r="J2251" s="2"/>
      <c r="K2251" s="7"/>
    </row>
    <row r="2252" spans="1:11" x14ac:dyDescent="0.35">
      <c r="A2252" s="13"/>
      <c r="E2252" s="8"/>
      <c r="F2252" s="1"/>
      <c r="J2252" s="2"/>
      <c r="K2252" s="7"/>
    </row>
    <row r="2253" spans="1:11" x14ac:dyDescent="0.35">
      <c r="A2253" s="13"/>
      <c r="E2253" s="8"/>
      <c r="F2253" s="1"/>
      <c r="J2253" s="2"/>
      <c r="K2253" s="7"/>
    </row>
    <row r="2254" spans="1:11" x14ac:dyDescent="0.35">
      <c r="A2254" s="13"/>
      <c r="E2254" s="8"/>
      <c r="F2254" s="1"/>
      <c r="J2254" s="2"/>
      <c r="K2254" s="7"/>
    </row>
    <row r="2255" spans="1:11" x14ac:dyDescent="0.35">
      <c r="A2255" s="13"/>
      <c r="E2255" s="8"/>
      <c r="F2255" s="1"/>
      <c r="J2255" s="2"/>
      <c r="K2255" s="7"/>
    </row>
    <row r="2256" spans="1:11" x14ac:dyDescent="0.35">
      <c r="A2256" s="13"/>
      <c r="E2256" s="8"/>
      <c r="F2256" s="1"/>
      <c r="J2256" s="2"/>
      <c r="K2256" s="7"/>
    </row>
    <row r="2257" spans="1:11" x14ac:dyDescent="0.35">
      <c r="A2257" s="13"/>
      <c r="E2257" s="8"/>
      <c r="F2257" s="1"/>
      <c r="J2257" s="2"/>
      <c r="K2257" s="7"/>
    </row>
    <row r="2258" spans="1:11" x14ac:dyDescent="0.35">
      <c r="A2258" s="13"/>
      <c r="E2258" s="8"/>
      <c r="F2258" s="1"/>
      <c r="J2258" s="2"/>
      <c r="K2258" s="7"/>
    </row>
    <row r="2259" spans="1:11" x14ac:dyDescent="0.35">
      <c r="A2259" s="13"/>
      <c r="E2259" s="8"/>
      <c r="F2259" s="1"/>
      <c r="J2259" s="2"/>
      <c r="K2259" s="7"/>
    </row>
    <row r="2260" spans="1:11" x14ac:dyDescent="0.35">
      <c r="A2260" s="13"/>
      <c r="E2260" s="8"/>
      <c r="F2260" s="1"/>
      <c r="J2260" s="2"/>
      <c r="K2260" s="7"/>
    </row>
    <row r="2261" spans="1:11" x14ac:dyDescent="0.35">
      <c r="A2261" s="13"/>
      <c r="E2261" s="8"/>
      <c r="F2261" s="1"/>
      <c r="J2261" s="2"/>
      <c r="K2261" s="7"/>
    </row>
    <row r="2262" spans="1:11" x14ac:dyDescent="0.35">
      <c r="A2262" s="13"/>
      <c r="E2262" s="8"/>
      <c r="F2262" s="1"/>
      <c r="J2262" s="2"/>
      <c r="K2262" s="7"/>
    </row>
    <row r="2263" spans="1:11" x14ac:dyDescent="0.35">
      <c r="A2263" s="13"/>
      <c r="E2263" s="8"/>
      <c r="F2263" s="1"/>
      <c r="J2263" s="2"/>
      <c r="K2263" s="7"/>
    </row>
    <row r="2264" spans="1:11" x14ac:dyDescent="0.35">
      <c r="A2264" s="13"/>
      <c r="E2264" s="8"/>
      <c r="F2264" s="1"/>
      <c r="J2264" s="2"/>
      <c r="K2264" s="7"/>
    </row>
    <row r="2265" spans="1:11" x14ac:dyDescent="0.35">
      <c r="A2265" s="13"/>
      <c r="E2265" s="8"/>
      <c r="F2265" s="1"/>
      <c r="J2265" s="2"/>
      <c r="K2265" s="7"/>
    </row>
    <row r="2266" spans="1:11" x14ac:dyDescent="0.35">
      <c r="A2266" s="13"/>
      <c r="E2266" s="8"/>
      <c r="F2266" s="1"/>
      <c r="J2266" s="2"/>
      <c r="K2266" s="7"/>
    </row>
    <row r="2267" spans="1:11" x14ac:dyDescent="0.35">
      <c r="A2267" s="13"/>
      <c r="E2267" s="8"/>
      <c r="F2267" s="1"/>
      <c r="J2267" s="2"/>
      <c r="K2267" s="7"/>
    </row>
    <row r="2268" spans="1:11" x14ac:dyDescent="0.35">
      <c r="A2268" s="13"/>
      <c r="E2268" s="8"/>
      <c r="F2268" s="1"/>
      <c r="J2268" s="2"/>
      <c r="K2268" s="7"/>
    </row>
    <row r="2269" spans="1:11" x14ac:dyDescent="0.35">
      <c r="A2269" s="13"/>
      <c r="E2269" s="8"/>
      <c r="F2269" s="1"/>
      <c r="J2269" s="2"/>
      <c r="K2269" s="7"/>
    </row>
    <row r="2270" spans="1:11" x14ac:dyDescent="0.35">
      <c r="A2270" s="13"/>
      <c r="E2270" s="8"/>
      <c r="F2270" s="1"/>
      <c r="J2270" s="2"/>
      <c r="K2270" s="7"/>
    </row>
    <row r="2271" spans="1:11" x14ac:dyDescent="0.35">
      <c r="A2271" s="13"/>
      <c r="E2271" s="8"/>
      <c r="F2271" s="1"/>
      <c r="J2271" s="2"/>
      <c r="K2271" s="7"/>
    </row>
    <row r="2272" spans="1:11" x14ac:dyDescent="0.35">
      <c r="A2272" s="13"/>
      <c r="E2272" s="8"/>
      <c r="F2272" s="1"/>
      <c r="J2272" s="2"/>
      <c r="K2272" s="7"/>
    </row>
    <row r="2273" spans="1:11" x14ac:dyDescent="0.35">
      <c r="A2273" s="13"/>
      <c r="E2273" s="8"/>
      <c r="F2273" s="1"/>
      <c r="J2273" s="2"/>
      <c r="K2273" s="7"/>
    </row>
    <row r="2274" spans="1:11" x14ac:dyDescent="0.35">
      <c r="A2274" s="13"/>
      <c r="E2274" s="8"/>
      <c r="F2274" s="1"/>
      <c r="J2274" s="2"/>
      <c r="K2274" s="7"/>
    </row>
    <row r="2275" spans="1:11" x14ac:dyDescent="0.35">
      <c r="A2275" s="13"/>
      <c r="E2275" s="8"/>
      <c r="F2275" s="1"/>
      <c r="J2275" s="2"/>
      <c r="K2275" s="7"/>
    </row>
    <row r="2276" spans="1:11" x14ac:dyDescent="0.35">
      <c r="A2276" s="13"/>
      <c r="E2276" s="8"/>
      <c r="F2276" s="1"/>
      <c r="J2276" s="2"/>
      <c r="K2276" s="7"/>
    </row>
    <row r="2277" spans="1:11" x14ac:dyDescent="0.35">
      <c r="A2277" s="13"/>
      <c r="E2277" s="8"/>
      <c r="F2277" s="1"/>
      <c r="J2277" s="2"/>
      <c r="K2277" s="7"/>
    </row>
    <row r="2278" spans="1:11" x14ac:dyDescent="0.35">
      <c r="A2278" s="13"/>
      <c r="E2278" s="8"/>
      <c r="F2278" s="1"/>
      <c r="J2278" s="2"/>
      <c r="K2278" s="7"/>
    </row>
    <row r="2279" spans="1:11" x14ac:dyDescent="0.35">
      <c r="A2279" s="13"/>
      <c r="E2279" s="8"/>
      <c r="F2279" s="1"/>
      <c r="J2279" s="2"/>
      <c r="K2279" s="7"/>
    </row>
    <row r="2280" spans="1:11" x14ac:dyDescent="0.35">
      <c r="A2280" s="13"/>
      <c r="E2280" s="8"/>
      <c r="F2280" s="1"/>
      <c r="J2280" s="2"/>
      <c r="K2280" s="7"/>
    </row>
    <row r="2281" spans="1:11" x14ac:dyDescent="0.35">
      <c r="A2281" s="13"/>
      <c r="E2281" s="8"/>
      <c r="F2281" s="1"/>
      <c r="J2281" s="2"/>
      <c r="K2281" s="7"/>
    </row>
    <row r="2282" spans="1:11" x14ac:dyDescent="0.35">
      <c r="A2282" s="13"/>
      <c r="E2282" s="8"/>
      <c r="F2282" s="1"/>
      <c r="J2282" s="2"/>
      <c r="K2282" s="7"/>
    </row>
    <row r="2283" spans="1:11" x14ac:dyDescent="0.35">
      <c r="A2283" s="13"/>
      <c r="E2283" s="8"/>
      <c r="F2283" s="1"/>
      <c r="J2283" s="2"/>
      <c r="K2283" s="7"/>
    </row>
    <row r="2284" spans="1:11" x14ac:dyDescent="0.35">
      <c r="A2284" s="13"/>
      <c r="E2284" s="8"/>
      <c r="F2284" s="1"/>
      <c r="J2284" s="2"/>
      <c r="K2284" s="7"/>
    </row>
    <row r="2285" spans="1:11" x14ac:dyDescent="0.35">
      <c r="A2285" s="13"/>
      <c r="E2285" s="8"/>
      <c r="F2285" s="1"/>
      <c r="J2285" s="2"/>
      <c r="K2285" s="7"/>
    </row>
    <row r="2286" spans="1:11" x14ac:dyDescent="0.35">
      <c r="A2286" s="13"/>
      <c r="E2286" s="8"/>
      <c r="F2286" s="1"/>
      <c r="J2286" s="2"/>
      <c r="K2286" s="7"/>
    </row>
    <row r="2287" spans="1:11" x14ac:dyDescent="0.35">
      <c r="A2287" s="13"/>
      <c r="E2287" s="8"/>
      <c r="F2287" s="1"/>
      <c r="J2287" s="2"/>
      <c r="K2287" s="7"/>
    </row>
    <row r="2288" spans="1:11" x14ac:dyDescent="0.35">
      <c r="A2288" s="13"/>
      <c r="E2288" s="8"/>
      <c r="F2288" s="1"/>
      <c r="J2288" s="2"/>
      <c r="K2288" s="7"/>
    </row>
    <row r="2289" spans="1:11" x14ac:dyDescent="0.35">
      <c r="A2289" s="13"/>
      <c r="E2289" s="8"/>
      <c r="F2289" s="1"/>
      <c r="J2289" s="2"/>
      <c r="K2289" s="7"/>
    </row>
    <row r="2290" spans="1:11" x14ac:dyDescent="0.35">
      <c r="A2290" s="13"/>
      <c r="E2290" s="8"/>
      <c r="F2290" s="1"/>
      <c r="J2290" s="2"/>
      <c r="K2290" s="7"/>
    </row>
    <row r="2291" spans="1:11" x14ac:dyDescent="0.35">
      <c r="A2291" s="13"/>
      <c r="E2291" s="8"/>
      <c r="F2291" s="1"/>
      <c r="J2291" s="2"/>
      <c r="K2291" s="7"/>
    </row>
    <row r="2292" spans="1:11" x14ac:dyDescent="0.35">
      <c r="A2292" s="13"/>
      <c r="E2292" s="8"/>
      <c r="F2292" s="1"/>
      <c r="J2292" s="2"/>
      <c r="K2292" s="7"/>
    </row>
    <row r="2293" spans="1:11" x14ac:dyDescent="0.35">
      <c r="A2293" s="13"/>
      <c r="E2293" s="8"/>
      <c r="F2293" s="1"/>
      <c r="J2293" s="2"/>
      <c r="K2293" s="7"/>
    </row>
    <row r="2294" spans="1:11" x14ac:dyDescent="0.35">
      <c r="A2294" s="13"/>
      <c r="E2294" s="8"/>
      <c r="F2294" s="1"/>
      <c r="J2294" s="2"/>
      <c r="K2294" s="7"/>
    </row>
    <row r="2295" spans="1:11" x14ac:dyDescent="0.35">
      <c r="A2295" s="13"/>
      <c r="E2295" s="8"/>
      <c r="F2295" s="1"/>
      <c r="J2295" s="2"/>
      <c r="K2295" s="7"/>
    </row>
    <row r="2296" spans="1:11" x14ac:dyDescent="0.35">
      <c r="A2296" s="13"/>
      <c r="E2296" s="8"/>
      <c r="F2296" s="1"/>
      <c r="J2296" s="2"/>
      <c r="K2296" s="7"/>
    </row>
    <row r="2297" spans="1:11" x14ac:dyDescent="0.35">
      <c r="A2297" s="13"/>
      <c r="E2297" s="8"/>
      <c r="F2297" s="1"/>
      <c r="J2297" s="2"/>
      <c r="K2297" s="7"/>
    </row>
    <row r="2298" spans="1:11" x14ac:dyDescent="0.35">
      <c r="A2298" s="13"/>
      <c r="E2298" s="8"/>
      <c r="F2298" s="1"/>
      <c r="J2298" s="2"/>
      <c r="K2298" s="7"/>
    </row>
    <row r="2299" spans="1:11" x14ac:dyDescent="0.35">
      <c r="A2299" s="13"/>
      <c r="E2299" s="8"/>
      <c r="F2299" s="1"/>
      <c r="J2299" s="2"/>
      <c r="K2299" s="7"/>
    </row>
    <row r="2300" spans="1:11" x14ac:dyDescent="0.35">
      <c r="A2300" s="13"/>
      <c r="E2300" s="8"/>
      <c r="F2300" s="1"/>
      <c r="J2300" s="2"/>
      <c r="K2300" s="7"/>
    </row>
    <row r="2301" spans="1:11" x14ac:dyDescent="0.35">
      <c r="A2301" s="13"/>
      <c r="E2301" s="8"/>
      <c r="F2301" s="1"/>
      <c r="J2301" s="2"/>
      <c r="K2301" s="7"/>
    </row>
    <row r="2302" spans="1:11" x14ac:dyDescent="0.35">
      <c r="A2302" s="13"/>
      <c r="E2302" s="8"/>
      <c r="F2302" s="1"/>
      <c r="J2302" s="2"/>
      <c r="K2302" s="7"/>
    </row>
    <row r="2303" spans="1:11" x14ac:dyDescent="0.35">
      <c r="A2303" s="13"/>
      <c r="E2303" s="8"/>
      <c r="F2303" s="1"/>
      <c r="J2303" s="2"/>
      <c r="K2303" s="7"/>
    </row>
    <row r="2304" spans="1:11" x14ac:dyDescent="0.35">
      <c r="A2304" s="13"/>
      <c r="E2304" s="8"/>
      <c r="F2304" s="1"/>
      <c r="J2304" s="2"/>
      <c r="K2304" s="7"/>
    </row>
    <row r="2305" spans="1:11" x14ac:dyDescent="0.35">
      <c r="A2305" s="13"/>
      <c r="E2305" s="8"/>
      <c r="F2305" s="1"/>
      <c r="J2305" s="2"/>
      <c r="K2305" s="7"/>
    </row>
    <row r="2306" spans="1:11" x14ac:dyDescent="0.35">
      <c r="A2306" s="13"/>
      <c r="E2306" s="8"/>
      <c r="F2306" s="1"/>
      <c r="J2306" s="2"/>
      <c r="K2306" s="7"/>
    </row>
    <row r="2307" spans="1:11" x14ac:dyDescent="0.35">
      <c r="A2307" s="13"/>
      <c r="E2307" s="8"/>
      <c r="F2307" s="1"/>
      <c r="J2307" s="2"/>
      <c r="K2307" s="7"/>
    </row>
    <row r="2308" spans="1:11" x14ac:dyDescent="0.35">
      <c r="A2308" s="13"/>
      <c r="E2308" s="8"/>
      <c r="F2308" s="1"/>
      <c r="J2308" s="2"/>
      <c r="K2308" s="7"/>
    </row>
    <row r="2309" spans="1:11" x14ac:dyDescent="0.35">
      <c r="A2309" s="13"/>
      <c r="E2309" s="8"/>
      <c r="F2309" s="1"/>
      <c r="J2309" s="2"/>
      <c r="K2309" s="7"/>
    </row>
    <row r="2310" spans="1:11" x14ac:dyDescent="0.35">
      <c r="A2310" s="13"/>
      <c r="E2310" s="8"/>
      <c r="F2310" s="1"/>
      <c r="J2310" s="2"/>
      <c r="K2310" s="7"/>
    </row>
    <row r="2311" spans="1:11" x14ac:dyDescent="0.35">
      <c r="A2311" s="13"/>
      <c r="E2311" s="8"/>
      <c r="F2311" s="1"/>
      <c r="J2311" s="2"/>
      <c r="K2311" s="7"/>
    </row>
    <row r="2312" spans="1:11" x14ac:dyDescent="0.35">
      <c r="A2312" s="13"/>
      <c r="E2312" s="8"/>
      <c r="F2312" s="1"/>
      <c r="J2312" s="2"/>
      <c r="K2312" s="7"/>
    </row>
    <row r="2313" spans="1:11" x14ac:dyDescent="0.35">
      <c r="A2313" s="13"/>
      <c r="E2313" s="8"/>
      <c r="F2313" s="1"/>
      <c r="J2313" s="2"/>
      <c r="K2313" s="7"/>
    </row>
    <row r="2314" spans="1:11" x14ac:dyDescent="0.35">
      <c r="A2314" s="13"/>
      <c r="E2314" s="8"/>
      <c r="F2314" s="1"/>
      <c r="J2314" s="2"/>
      <c r="K2314" s="7"/>
    </row>
    <row r="2315" spans="1:11" x14ac:dyDescent="0.35">
      <c r="A2315" s="13"/>
      <c r="E2315" s="8"/>
      <c r="F2315" s="1"/>
      <c r="J2315" s="2"/>
      <c r="K2315" s="7"/>
    </row>
    <row r="2316" spans="1:11" x14ac:dyDescent="0.35">
      <c r="A2316" s="13"/>
      <c r="E2316" s="8"/>
      <c r="F2316" s="1"/>
      <c r="J2316" s="2"/>
      <c r="K2316" s="7"/>
    </row>
    <row r="2317" spans="1:11" x14ac:dyDescent="0.35">
      <c r="A2317" s="13"/>
      <c r="E2317" s="8"/>
      <c r="F2317" s="1"/>
      <c r="J2317" s="2"/>
      <c r="K2317" s="7"/>
    </row>
    <row r="2318" spans="1:11" x14ac:dyDescent="0.35">
      <c r="A2318" s="13"/>
      <c r="E2318" s="8"/>
      <c r="F2318" s="1"/>
      <c r="J2318" s="2"/>
      <c r="K2318" s="7"/>
    </row>
    <row r="2319" spans="1:11" x14ac:dyDescent="0.35">
      <c r="A2319" s="13"/>
      <c r="E2319" s="8"/>
      <c r="F2319" s="1"/>
      <c r="J2319" s="2"/>
      <c r="K2319" s="7"/>
    </row>
    <row r="2320" spans="1:11" x14ac:dyDescent="0.35">
      <c r="A2320" s="13"/>
      <c r="E2320" s="8"/>
      <c r="F2320" s="1"/>
      <c r="J2320" s="2"/>
      <c r="K2320" s="7"/>
    </row>
    <row r="2321" spans="1:11" x14ac:dyDescent="0.35">
      <c r="A2321" s="13"/>
      <c r="E2321" s="8"/>
      <c r="F2321" s="1"/>
      <c r="J2321" s="2"/>
      <c r="K2321" s="7"/>
    </row>
    <row r="2322" spans="1:11" x14ac:dyDescent="0.35">
      <c r="A2322" s="13"/>
      <c r="E2322" s="8"/>
      <c r="F2322" s="1"/>
      <c r="J2322" s="2"/>
      <c r="K2322" s="7"/>
    </row>
    <row r="2323" spans="1:11" x14ac:dyDescent="0.35">
      <c r="A2323" s="13"/>
      <c r="E2323" s="8"/>
      <c r="F2323" s="1"/>
      <c r="J2323" s="2"/>
      <c r="K2323" s="7"/>
    </row>
    <row r="2324" spans="1:11" x14ac:dyDescent="0.35">
      <c r="A2324" s="13"/>
      <c r="E2324" s="8"/>
      <c r="F2324" s="1"/>
      <c r="J2324" s="2"/>
      <c r="K2324" s="7"/>
    </row>
    <row r="2325" spans="1:11" x14ac:dyDescent="0.35">
      <c r="A2325" s="13"/>
      <c r="E2325" s="8"/>
      <c r="F2325" s="1"/>
      <c r="J2325" s="2"/>
      <c r="K2325" s="7"/>
    </row>
    <row r="2326" spans="1:11" x14ac:dyDescent="0.35">
      <c r="A2326" s="13"/>
      <c r="E2326" s="8"/>
      <c r="F2326" s="1"/>
      <c r="J2326" s="2"/>
      <c r="K2326" s="7"/>
    </row>
    <row r="2327" spans="1:11" x14ac:dyDescent="0.35">
      <c r="A2327" s="13"/>
      <c r="E2327" s="8"/>
      <c r="F2327" s="1"/>
      <c r="J2327" s="2"/>
      <c r="K2327" s="7"/>
    </row>
    <row r="2328" spans="1:11" x14ac:dyDescent="0.35">
      <c r="A2328" s="13"/>
      <c r="E2328" s="8"/>
      <c r="F2328" s="1"/>
      <c r="J2328" s="2"/>
      <c r="K2328" s="7"/>
    </row>
    <row r="2329" spans="1:11" x14ac:dyDescent="0.35">
      <c r="A2329" s="13"/>
      <c r="E2329" s="8"/>
      <c r="F2329" s="1"/>
      <c r="J2329" s="2"/>
      <c r="K2329" s="7"/>
    </row>
    <row r="2330" spans="1:11" x14ac:dyDescent="0.35">
      <c r="A2330" s="13"/>
      <c r="E2330" s="8"/>
      <c r="F2330" s="1"/>
      <c r="J2330" s="2"/>
      <c r="K2330" s="7"/>
    </row>
    <row r="2331" spans="1:11" x14ac:dyDescent="0.35">
      <c r="A2331" s="13"/>
      <c r="E2331" s="8"/>
      <c r="F2331" s="1"/>
      <c r="J2331" s="2"/>
      <c r="K2331" s="7"/>
    </row>
    <row r="2332" spans="1:11" x14ac:dyDescent="0.35">
      <c r="A2332" s="13"/>
      <c r="E2332" s="8"/>
      <c r="F2332" s="1"/>
      <c r="J2332" s="2"/>
      <c r="K2332" s="7"/>
    </row>
    <row r="2333" spans="1:11" x14ac:dyDescent="0.35">
      <c r="A2333" s="13"/>
      <c r="E2333" s="8"/>
      <c r="F2333" s="1"/>
      <c r="J2333" s="2"/>
      <c r="K2333" s="7"/>
    </row>
    <row r="2334" spans="1:11" x14ac:dyDescent="0.35">
      <c r="A2334" s="13"/>
      <c r="E2334" s="8"/>
      <c r="F2334" s="1"/>
      <c r="J2334" s="2"/>
      <c r="K2334" s="7"/>
    </row>
    <row r="2335" spans="1:11" x14ac:dyDescent="0.35">
      <c r="A2335" s="13"/>
      <c r="E2335" s="8"/>
      <c r="F2335" s="1"/>
      <c r="J2335" s="2"/>
      <c r="K2335" s="7"/>
    </row>
    <row r="2336" spans="1:11" x14ac:dyDescent="0.35">
      <c r="A2336" s="13"/>
      <c r="E2336" s="8"/>
      <c r="F2336" s="1"/>
      <c r="J2336" s="2"/>
      <c r="K2336" s="7"/>
    </row>
    <row r="2337" spans="1:11" x14ac:dyDescent="0.35">
      <c r="A2337" s="13"/>
      <c r="E2337" s="8"/>
      <c r="F2337" s="1"/>
      <c r="J2337" s="2"/>
      <c r="K2337" s="7"/>
    </row>
    <row r="2338" spans="1:11" x14ac:dyDescent="0.35">
      <c r="A2338" s="13"/>
      <c r="E2338" s="8"/>
      <c r="F2338" s="1"/>
      <c r="J2338" s="2"/>
      <c r="K2338" s="7"/>
    </row>
    <row r="2339" spans="1:11" x14ac:dyDescent="0.35">
      <c r="A2339" s="13"/>
      <c r="E2339" s="8"/>
      <c r="F2339" s="1"/>
      <c r="J2339" s="2"/>
      <c r="K2339" s="7"/>
    </row>
    <row r="2340" spans="1:11" x14ac:dyDescent="0.35">
      <c r="A2340" s="13"/>
      <c r="E2340" s="8"/>
      <c r="F2340" s="1"/>
      <c r="J2340" s="2"/>
      <c r="K2340" s="7"/>
    </row>
    <row r="2341" spans="1:11" x14ac:dyDescent="0.35">
      <c r="A2341" s="13"/>
      <c r="E2341" s="8"/>
      <c r="F2341" s="1"/>
      <c r="J2341" s="2"/>
      <c r="K2341" s="7"/>
    </row>
    <row r="2342" spans="1:11" x14ac:dyDescent="0.35">
      <c r="A2342" s="13"/>
      <c r="E2342" s="8"/>
      <c r="F2342" s="1"/>
      <c r="J2342" s="2"/>
      <c r="K2342" s="7"/>
    </row>
    <row r="2343" spans="1:11" x14ac:dyDescent="0.35">
      <c r="A2343" s="13"/>
      <c r="E2343" s="8"/>
      <c r="F2343" s="1"/>
      <c r="J2343" s="2"/>
      <c r="K2343" s="7"/>
    </row>
    <row r="2344" spans="1:11" x14ac:dyDescent="0.35">
      <c r="A2344" s="13"/>
      <c r="E2344" s="8"/>
      <c r="F2344" s="1"/>
      <c r="J2344" s="2"/>
      <c r="K2344" s="7"/>
    </row>
    <row r="2345" spans="1:11" x14ac:dyDescent="0.35">
      <c r="A2345" s="13"/>
      <c r="E2345" s="8"/>
      <c r="F2345" s="1"/>
      <c r="J2345" s="2"/>
      <c r="K2345" s="7"/>
    </row>
    <row r="2346" spans="1:11" x14ac:dyDescent="0.35">
      <c r="A2346" s="13"/>
      <c r="E2346" s="8"/>
      <c r="F2346" s="1"/>
      <c r="J2346" s="2"/>
      <c r="K2346" s="7"/>
    </row>
    <row r="2347" spans="1:11" x14ac:dyDescent="0.35">
      <c r="A2347" s="13"/>
      <c r="E2347" s="8"/>
      <c r="F2347" s="1"/>
      <c r="J2347" s="2"/>
      <c r="K2347" s="7"/>
    </row>
    <row r="2348" spans="1:11" x14ac:dyDescent="0.35">
      <c r="A2348" s="13"/>
      <c r="E2348" s="8"/>
      <c r="F2348" s="1"/>
      <c r="J2348" s="2"/>
      <c r="K2348" s="7"/>
    </row>
    <row r="2349" spans="1:11" x14ac:dyDescent="0.35">
      <c r="A2349" s="13"/>
      <c r="E2349" s="8"/>
      <c r="F2349" s="1"/>
      <c r="J2349" s="2"/>
      <c r="K2349" s="7"/>
    </row>
    <row r="2350" spans="1:11" x14ac:dyDescent="0.35">
      <c r="A2350" s="13"/>
      <c r="E2350" s="8"/>
      <c r="F2350" s="1"/>
      <c r="J2350" s="2"/>
      <c r="K2350" s="7"/>
    </row>
    <row r="2351" spans="1:11" x14ac:dyDescent="0.35">
      <c r="A2351" s="13"/>
      <c r="E2351" s="8"/>
      <c r="F2351" s="1"/>
      <c r="J2351" s="2"/>
      <c r="K2351" s="7"/>
    </row>
    <row r="2352" spans="1:11" x14ac:dyDescent="0.35">
      <c r="A2352" s="13"/>
      <c r="E2352" s="8"/>
      <c r="F2352" s="1"/>
      <c r="J2352" s="2"/>
      <c r="K2352" s="7"/>
    </row>
    <row r="2353" spans="1:11" x14ac:dyDescent="0.35">
      <c r="A2353" s="13"/>
      <c r="E2353" s="8"/>
      <c r="F2353" s="1"/>
      <c r="J2353" s="2"/>
      <c r="K2353" s="7"/>
    </row>
    <row r="2354" spans="1:11" x14ac:dyDescent="0.35">
      <c r="A2354" s="13"/>
      <c r="E2354" s="8"/>
      <c r="F2354" s="1"/>
      <c r="J2354" s="2"/>
      <c r="K2354" s="7"/>
    </row>
    <row r="2355" spans="1:11" x14ac:dyDescent="0.35">
      <c r="A2355" s="13"/>
      <c r="E2355" s="8"/>
      <c r="F2355" s="1"/>
      <c r="J2355" s="2"/>
      <c r="K2355" s="7"/>
    </row>
    <row r="2356" spans="1:11" x14ac:dyDescent="0.35">
      <c r="A2356" s="13"/>
      <c r="E2356" s="8"/>
      <c r="F2356" s="1"/>
      <c r="J2356" s="2"/>
      <c r="K2356" s="7"/>
    </row>
    <row r="2357" spans="1:11" x14ac:dyDescent="0.35">
      <c r="A2357" s="13"/>
      <c r="E2357" s="8"/>
      <c r="F2357" s="1"/>
      <c r="J2357" s="2"/>
      <c r="K2357" s="7"/>
    </row>
    <row r="2358" spans="1:11" x14ac:dyDescent="0.35">
      <c r="A2358" s="13"/>
      <c r="E2358" s="8"/>
      <c r="F2358" s="1"/>
      <c r="J2358" s="2"/>
      <c r="K2358" s="7"/>
    </row>
    <row r="2359" spans="1:11" x14ac:dyDescent="0.35">
      <c r="A2359" s="13"/>
      <c r="E2359" s="8"/>
      <c r="F2359" s="1"/>
      <c r="J2359" s="2"/>
      <c r="K2359" s="7"/>
    </row>
    <row r="2360" spans="1:11" x14ac:dyDescent="0.35">
      <c r="A2360" s="13"/>
      <c r="E2360" s="8"/>
      <c r="F2360" s="1"/>
      <c r="J2360" s="2"/>
      <c r="K2360" s="7"/>
    </row>
    <row r="2361" spans="1:11" x14ac:dyDescent="0.35">
      <c r="A2361" s="13"/>
      <c r="E2361" s="8"/>
      <c r="F2361" s="1"/>
      <c r="J2361" s="2"/>
      <c r="K2361" s="7"/>
    </row>
    <row r="2362" spans="1:11" x14ac:dyDescent="0.35">
      <c r="A2362" s="13"/>
      <c r="E2362" s="8"/>
      <c r="F2362" s="1"/>
      <c r="J2362" s="2"/>
      <c r="K2362" s="7"/>
    </row>
    <row r="2363" spans="1:11" x14ac:dyDescent="0.35">
      <c r="A2363" s="13"/>
      <c r="E2363" s="8"/>
      <c r="F2363" s="1"/>
      <c r="J2363" s="2"/>
      <c r="K2363" s="7"/>
    </row>
    <row r="2364" spans="1:11" x14ac:dyDescent="0.35">
      <c r="A2364" s="13"/>
      <c r="E2364" s="8"/>
      <c r="F2364" s="1"/>
      <c r="J2364" s="2"/>
      <c r="K2364" s="7"/>
    </row>
    <row r="2365" spans="1:11" x14ac:dyDescent="0.35">
      <c r="A2365" s="13"/>
      <c r="E2365" s="8"/>
      <c r="F2365" s="1"/>
      <c r="J2365" s="2"/>
      <c r="K2365" s="7"/>
    </row>
    <row r="2366" spans="1:11" x14ac:dyDescent="0.35">
      <c r="A2366" s="13"/>
      <c r="E2366" s="8"/>
      <c r="F2366" s="1"/>
      <c r="J2366" s="2"/>
      <c r="K2366" s="7"/>
    </row>
    <row r="2367" spans="1:11" x14ac:dyDescent="0.35">
      <c r="A2367" s="13"/>
      <c r="E2367" s="8"/>
      <c r="F2367" s="1"/>
      <c r="J2367" s="2"/>
      <c r="K2367" s="7"/>
    </row>
    <row r="2368" spans="1:11" x14ac:dyDescent="0.35">
      <c r="A2368" s="13"/>
      <c r="E2368" s="8"/>
      <c r="F2368" s="1"/>
      <c r="J2368" s="2"/>
      <c r="K2368" s="7"/>
    </row>
    <row r="2369" spans="1:11" x14ac:dyDescent="0.35">
      <c r="A2369" s="13"/>
      <c r="E2369" s="8"/>
      <c r="F2369" s="1"/>
      <c r="J2369" s="2"/>
      <c r="K2369" s="7"/>
    </row>
    <row r="2370" spans="1:11" x14ac:dyDescent="0.35">
      <c r="A2370" s="13"/>
      <c r="E2370" s="8"/>
      <c r="F2370" s="1"/>
      <c r="J2370" s="2"/>
      <c r="K2370" s="7"/>
    </row>
    <row r="2371" spans="1:11" x14ac:dyDescent="0.35">
      <c r="A2371" s="13"/>
      <c r="E2371" s="8"/>
      <c r="F2371" s="1"/>
      <c r="J2371" s="2"/>
      <c r="K2371" s="7"/>
    </row>
    <row r="2372" spans="1:11" x14ac:dyDescent="0.35">
      <c r="A2372" s="13"/>
      <c r="E2372" s="8"/>
      <c r="F2372" s="1"/>
      <c r="J2372" s="2"/>
      <c r="K2372" s="7"/>
    </row>
    <row r="2373" spans="1:11" x14ac:dyDescent="0.35">
      <c r="A2373" s="13"/>
      <c r="E2373" s="8"/>
      <c r="F2373" s="1"/>
      <c r="J2373" s="2"/>
      <c r="K2373" s="7"/>
    </row>
    <row r="2374" spans="1:11" x14ac:dyDescent="0.35">
      <c r="A2374" s="13"/>
      <c r="E2374" s="8"/>
      <c r="F2374" s="1"/>
      <c r="J2374" s="2"/>
      <c r="K2374" s="7"/>
    </row>
    <row r="2375" spans="1:11" x14ac:dyDescent="0.35">
      <c r="A2375" s="13"/>
      <c r="E2375" s="8"/>
      <c r="F2375" s="1"/>
      <c r="J2375" s="2"/>
      <c r="K2375" s="7"/>
    </row>
    <row r="2376" spans="1:11" x14ac:dyDescent="0.35">
      <c r="A2376" s="13"/>
      <c r="E2376" s="8"/>
      <c r="F2376" s="1"/>
      <c r="J2376" s="2"/>
      <c r="K2376" s="7"/>
    </row>
    <row r="2377" spans="1:11" x14ac:dyDescent="0.35">
      <c r="A2377" s="13"/>
      <c r="E2377" s="8"/>
      <c r="F2377" s="1"/>
      <c r="J2377" s="2"/>
      <c r="K2377" s="7"/>
    </row>
    <row r="2378" spans="1:11" x14ac:dyDescent="0.35">
      <c r="A2378" s="13"/>
      <c r="E2378" s="8"/>
      <c r="F2378" s="1"/>
      <c r="J2378" s="2"/>
      <c r="K2378" s="7"/>
    </row>
    <row r="2379" spans="1:11" x14ac:dyDescent="0.35">
      <c r="A2379" s="13"/>
      <c r="E2379" s="8"/>
      <c r="F2379" s="1"/>
      <c r="J2379" s="2"/>
      <c r="K2379" s="7"/>
    </row>
    <row r="2380" spans="1:11" x14ac:dyDescent="0.35">
      <c r="A2380" s="13"/>
      <c r="E2380" s="8"/>
      <c r="F2380" s="1"/>
      <c r="J2380" s="2"/>
      <c r="K2380" s="7"/>
    </row>
    <row r="2381" spans="1:11" x14ac:dyDescent="0.35">
      <c r="A2381" s="13"/>
      <c r="E2381" s="8"/>
      <c r="F2381" s="1"/>
      <c r="J2381" s="2"/>
      <c r="K2381" s="7"/>
    </row>
    <row r="2382" spans="1:11" x14ac:dyDescent="0.35">
      <c r="A2382" s="13"/>
      <c r="E2382" s="8"/>
      <c r="F2382" s="1"/>
      <c r="J2382" s="2"/>
      <c r="K2382" s="7"/>
    </row>
    <row r="2383" spans="1:11" x14ac:dyDescent="0.35">
      <c r="A2383" s="13"/>
      <c r="E2383" s="8"/>
      <c r="F2383" s="1"/>
      <c r="J2383" s="2"/>
      <c r="K2383" s="7"/>
    </row>
    <row r="2384" spans="1:11" x14ac:dyDescent="0.35">
      <c r="A2384" s="13"/>
      <c r="E2384" s="8"/>
      <c r="F2384" s="1"/>
      <c r="J2384" s="2"/>
      <c r="K2384" s="7"/>
    </row>
    <row r="2385" spans="1:11" x14ac:dyDescent="0.35">
      <c r="A2385" s="13"/>
      <c r="E2385" s="8"/>
      <c r="F2385" s="1"/>
      <c r="J2385" s="2"/>
      <c r="K2385" s="7"/>
    </row>
    <row r="2386" spans="1:11" x14ac:dyDescent="0.35">
      <c r="A2386" s="13"/>
      <c r="E2386" s="8"/>
      <c r="F2386" s="1"/>
      <c r="J2386" s="2"/>
      <c r="K2386" s="7"/>
    </row>
    <row r="2387" spans="1:11" x14ac:dyDescent="0.35">
      <c r="A2387" s="13"/>
      <c r="E2387" s="8"/>
      <c r="F2387" s="1"/>
      <c r="J2387" s="2"/>
      <c r="K2387" s="7"/>
    </row>
    <row r="2388" spans="1:11" x14ac:dyDescent="0.35">
      <c r="A2388" s="13"/>
      <c r="E2388" s="8"/>
      <c r="F2388" s="1"/>
      <c r="J2388" s="2"/>
      <c r="K2388" s="7"/>
    </row>
    <row r="2389" spans="1:11" x14ac:dyDescent="0.35">
      <c r="A2389" s="13"/>
      <c r="E2389" s="8"/>
      <c r="F2389" s="1"/>
      <c r="J2389" s="2"/>
      <c r="K2389" s="7"/>
    </row>
    <row r="2390" spans="1:11" x14ac:dyDescent="0.35">
      <c r="A2390" s="13"/>
      <c r="E2390" s="8"/>
      <c r="F2390" s="1"/>
      <c r="J2390" s="2"/>
      <c r="K2390" s="7"/>
    </row>
    <row r="2391" spans="1:11" x14ac:dyDescent="0.35">
      <c r="A2391" s="13"/>
      <c r="E2391" s="8"/>
      <c r="F2391" s="1"/>
      <c r="J2391" s="2"/>
      <c r="K2391" s="7"/>
    </row>
    <row r="2392" spans="1:11" x14ac:dyDescent="0.35">
      <c r="A2392" s="13"/>
      <c r="E2392" s="8"/>
      <c r="F2392" s="1"/>
      <c r="J2392" s="2"/>
      <c r="K2392" s="7"/>
    </row>
    <row r="2393" spans="1:11" x14ac:dyDescent="0.35">
      <c r="A2393" s="13"/>
      <c r="E2393" s="8"/>
      <c r="F2393" s="1"/>
      <c r="J2393" s="2"/>
      <c r="K2393" s="7"/>
    </row>
    <row r="2394" spans="1:11" x14ac:dyDescent="0.35">
      <c r="A2394" s="13"/>
      <c r="E2394" s="8"/>
      <c r="F2394" s="1"/>
      <c r="J2394" s="2"/>
      <c r="K2394" s="7"/>
    </row>
    <row r="2395" spans="1:11" x14ac:dyDescent="0.35">
      <c r="A2395" s="13"/>
      <c r="E2395" s="8"/>
      <c r="F2395" s="1"/>
      <c r="J2395" s="2"/>
      <c r="K2395" s="7"/>
    </row>
    <row r="2396" spans="1:11" x14ac:dyDescent="0.35">
      <c r="A2396" s="13"/>
      <c r="E2396" s="8"/>
      <c r="F2396" s="1"/>
      <c r="J2396" s="2"/>
      <c r="K2396" s="7"/>
    </row>
    <row r="2397" spans="1:11" x14ac:dyDescent="0.35">
      <c r="A2397" s="13"/>
      <c r="E2397" s="8"/>
      <c r="F2397" s="1"/>
      <c r="J2397" s="2"/>
      <c r="K2397" s="7"/>
    </row>
    <row r="2398" spans="1:11" x14ac:dyDescent="0.35">
      <c r="A2398" s="13"/>
      <c r="E2398" s="8"/>
      <c r="F2398" s="1"/>
      <c r="J2398" s="2"/>
      <c r="K2398" s="7"/>
    </row>
    <row r="2399" spans="1:11" x14ac:dyDescent="0.35">
      <c r="A2399" s="13"/>
      <c r="E2399" s="8"/>
      <c r="F2399" s="1"/>
      <c r="J2399" s="2"/>
      <c r="K2399" s="7"/>
    </row>
    <row r="2400" spans="1:11" x14ac:dyDescent="0.35">
      <c r="A2400" s="13"/>
      <c r="E2400" s="8"/>
      <c r="F2400" s="1"/>
      <c r="J2400" s="2"/>
      <c r="K2400" s="7"/>
    </row>
    <row r="2401" spans="1:11" x14ac:dyDescent="0.35">
      <c r="A2401" s="13"/>
      <c r="E2401" s="8"/>
      <c r="F2401" s="1"/>
      <c r="J2401" s="2"/>
      <c r="K2401" s="7"/>
    </row>
    <row r="2402" spans="1:11" x14ac:dyDescent="0.35">
      <c r="A2402" s="13"/>
      <c r="E2402" s="8"/>
      <c r="F2402" s="1"/>
      <c r="J2402" s="2"/>
      <c r="K2402" s="7"/>
    </row>
    <row r="2403" spans="1:11" x14ac:dyDescent="0.35">
      <c r="A2403" s="13"/>
      <c r="E2403" s="8"/>
      <c r="F2403" s="1"/>
      <c r="J2403" s="2"/>
      <c r="K2403" s="7"/>
    </row>
    <row r="2404" spans="1:11" x14ac:dyDescent="0.35">
      <c r="A2404" s="13"/>
      <c r="E2404" s="8"/>
      <c r="F2404" s="1"/>
      <c r="J2404" s="2"/>
      <c r="K2404" s="7"/>
    </row>
    <row r="2405" spans="1:11" x14ac:dyDescent="0.35">
      <c r="A2405" s="13"/>
      <c r="E2405" s="8"/>
      <c r="F2405" s="1"/>
      <c r="J2405" s="2"/>
      <c r="K2405" s="7"/>
    </row>
    <row r="2406" spans="1:11" x14ac:dyDescent="0.35">
      <c r="A2406" s="13"/>
      <c r="E2406" s="8"/>
      <c r="F2406" s="1"/>
      <c r="J2406" s="2"/>
      <c r="K2406" s="7"/>
    </row>
    <row r="2407" spans="1:11" x14ac:dyDescent="0.35">
      <c r="A2407" s="13"/>
      <c r="E2407" s="8"/>
      <c r="F2407" s="1"/>
      <c r="J2407" s="2"/>
      <c r="K2407" s="7"/>
    </row>
    <row r="2408" spans="1:11" x14ac:dyDescent="0.35">
      <c r="A2408" s="13"/>
      <c r="E2408" s="8"/>
      <c r="F2408" s="1"/>
      <c r="J2408" s="2"/>
      <c r="K2408" s="7"/>
    </row>
    <row r="2409" spans="1:11" x14ac:dyDescent="0.35">
      <c r="A2409" s="13"/>
      <c r="E2409" s="8"/>
      <c r="F2409" s="1"/>
      <c r="J2409" s="2"/>
      <c r="K2409" s="7"/>
    </row>
    <row r="2410" spans="1:11" x14ac:dyDescent="0.35">
      <c r="A2410" s="13"/>
      <c r="E2410" s="8"/>
      <c r="F2410" s="1"/>
      <c r="J2410" s="2"/>
      <c r="K2410" s="7"/>
    </row>
    <row r="2411" spans="1:11" x14ac:dyDescent="0.35">
      <c r="A2411" s="13"/>
      <c r="E2411" s="8"/>
      <c r="F2411" s="1"/>
      <c r="J2411" s="2"/>
      <c r="K2411" s="7"/>
    </row>
    <row r="2412" spans="1:11" x14ac:dyDescent="0.35">
      <c r="A2412" s="13"/>
      <c r="E2412" s="8"/>
      <c r="F2412" s="1"/>
      <c r="J2412" s="2"/>
      <c r="K2412" s="7"/>
    </row>
    <row r="2413" spans="1:11" x14ac:dyDescent="0.35">
      <c r="A2413" s="13"/>
      <c r="E2413" s="8"/>
      <c r="F2413" s="1"/>
      <c r="J2413" s="2"/>
      <c r="K2413" s="7"/>
    </row>
    <row r="2414" spans="1:11" x14ac:dyDescent="0.35">
      <c r="A2414" s="13"/>
      <c r="E2414" s="8"/>
      <c r="F2414" s="1"/>
      <c r="J2414" s="2"/>
      <c r="K2414" s="7"/>
    </row>
    <row r="2415" spans="1:11" x14ac:dyDescent="0.35">
      <c r="A2415" s="13"/>
      <c r="E2415" s="8"/>
      <c r="F2415" s="1"/>
      <c r="J2415" s="2"/>
      <c r="K2415" s="7"/>
    </row>
    <row r="2416" spans="1:11" x14ac:dyDescent="0.35">
      <c r="A2416" s="13"/>
      <c r="E2416" s="8"/>
      <c r="F2416" s="1"/>
      <c r="J2416" s="2"/>
      <c r="K2416" s="7"/>
    </row>
    <row r="2417" spans="1:11" x14ac:dyDescent="0.35">
      <c r="A2417" s="13"/>
      <c r="E2417" s="8"/>
      <c r="F2417" s="1"/>
      <c r="J2417" s="2"/>
      <c r="K2417" s="7"/>
    </row>
    <row r="2418" spans="1:11" x14ac:dyDescent="0.35">
      <c r="A2418" s="13"/>
      <c r="E2418" s="8"/>
      <c r="F2418" s="1"/>
      <c r="J2418" s="2"/>
      <c r="K2418" s="7"/>
    </row>
    <row r="2419" spans="1:11" x14ac:dyDescent="0.35">
      <c r="A2419" s="13"/>
      <c r="E2419" s="8"/>
      <c r="F2419" s="1"/>
      <c r="J2419" s="2"/>
      <c r="K2419" s="7"/>
    </row>
    <row r="2420" spans="1:11" x14ac:dyDescent="0.35">
      <c r="A2420" s="13"/>
      <c r="E2420" s="8"/>
      <c r="F2420" s="1"/>
      <c r="J2420" s="2"/>
      <c r="K2420" s="7"/>
    </row>
    <row r="2421" spans="1:11" x14ac:dyDescent="0.35">
      <c r="A2421" s="13"/>
      <c r="E2421" s="8"/>
      <c r="F2421" s="1"/>
      <c r="J2421" s="2"/>
      <c r="K2421" s="7"/>
    </row>
    <row r="2422" spans="1:11" x14ac:dyDescent="0.35">
      <c r="A2422" s="13"/>
      <c r="E2422" s="8"/>
      <c r="F2422" s="1"/>
      <c r="J2422" s="2"/>
      <c r="K2422" s="7"/>
    </row>
    <row r="2423" spans="1:11" x14ac:dyDescent="0.35">
      <c r="A2423" s="13"/>
      <c r="E2423" s="8"/>
      <c r="F2423" s="1"/>
      <c r="J2423" s="2"/>
      <c r="K2423" s="7"/>
    </row>
    <row r="2424" spans="1:11" x14ac:dyDescent="0.35">
      <c r="A2424" s="13"/>
      <c r="E2424" s="8"/>
      <c r="F2424" s="1"/>
      <c r="J2424" s="2"/>
      <c r="K2424" s="7"/>
    </row>
    <row r="2425" spans="1:11" x14ac:dyDescent="0.35">
      <c r="A2425" s="13"/>
      <c r="E2425" s="8"/>
      <c r="F2425" s="1"/>
      <c r="J2425" s="2"/>
      <c r="K2425" s="7"/>
    </row>
    <row r="2426" spans="1:11" x14ac:dyDescent="0.35">
      <c r="A2426" s="13"/>
      <c r="E2426" s="8"/>
      <c r="F2426" s="1"/>
      <c r="J2426" s="2"/>
      <c r="K2426" s="7"/>
    </row>
    <row r="2427" spans="1:11" x14ac:dyDescent="0.35">
      <c r="A2427" s="13"/>
      <c r="E2427" s="8"/>
      <c r="F2427" s="1"/>
      <c r="J2427" s="2"/>
      <c r="K2427" s="7"/>
    </row>
    <row r="2428" spans="1:11" x14ac:dyDescent="0.35">
      <c r="A2428" s="13"/>
      <c r="E2428" s="8"/>
      <c r="F2428" s="1"/>
      <c r="J2428" s="2"/>
      <c r="K2428" s="7"/>
    </row>
    <row r="2429" spans="1:11" x14ac:dyDescent="0.35">
      <c r="A2429" s="13"/>
      <c r="E2429" s="8"/>
      <c r="F2429" s="1"/>
      <c r="J2429" s="2"/>
      <c r="K2429" s="7"/>
    </row>
    <row r="2430" spans="1:11" x14ac:dyDescent="0.35">
      <c r="A2430" s="13"/>
      <c r="E2430" s="8"/>
      <c r="F2430" s="1"/>
      <c r="J2430" s="2"/>
      <c r="K2430" s="7"/>
    </row>
    <row r="2431" spans="1:11" x14ac:dyDescent="0.35">
      <c r="A2431" s="13"/>
      <c r="E2431" s="8"/>
      <c r="F2431" s="1"/>
      <c r="J2431" s="2"/>
      <c r="K2431" s="7"/>
    </row>
    <row r="2432" spans="1:11" x14ac:dyDescent="0.35">
      <c r="A2432" s="13"/>
      <c r="E2432" s="8"/>
      <c r="F2432" s="1"/>
      <c r="J2432" s="2"/>
      <c r="K2432" s="7"/>
    </row>
    <row r="2433" spans="1:11" x14ac:dyDescent="0.35">
      <c r="A2433" s="13"/>
      <c r="E2433" s="8"/>
      <c r="F2433" s="1"/>
      <c r="J2433" s="2"/>
      <c r="K2433" s="7"/>
    </row>
    <row r="2434" spans="1:11" x14ac:dyDescent="0.35">
      <c r="A2434" s="13"/>
      <c r="E2434" s="8"/>
      <c r="F2434" s="1"/>
      <c r="J2434" s="2"/>
      <c r="K2434" s="7"/>
    </row>
    <row r="2435" spans="1:11" x14ac:dyDescent="0.35">
      <c r="A2435" s="13"/>
      <c r="E2435" s="8"/>
      <c r="F2435" s="1"/>
      <c r="J2435" s="2"/>
      <c r="K2435" s="7"/>
    </row>
    <row r="2436" spans="1:11" x14ac:dyDescent="0.35">
      <c r="A2436" s="13"/>
      <c r="E2436" s="8"/>
      <c r="F2436" s="1"/>
      <c r="J2436" s="2"/>
      <c r="K2436" s="7"/>
    </row>
    <row r="2437" spans="1:11" x14ac:dyDescent="0.35">
      <c r="A2437" s="13"/>
      <c r="E2437" s="8"/>
      <c r="F2437" s="1"/>
      <c r="J2437" s="2"/>
      <c r="K2437" s="7"/>
    </row>
    <row r="2438" spans="1:11" x14ac:dyDescent="0.35">
      <c r="A2438" s="13"/>
      <c r="E2438" s="8"/>
      <c r="F2438" s="1"/>
      <c r="J2438" s="2"/>
      <c r="K2438" s="7"/>
    </row>
    <row r="2439" spans="1:11" x14ac:dyDescent="0.35">
      <c r="A2439" s="13"/>
      <c r="E2439" s="8"/>
      <c r="F2439" s="1"/>
      <c r="J2439" s="2"/>
      <c r="K2439" s="7"/>
    </row>
    <row r="2440" spans="1:11" x14ac:dyDescent="0.35">
      <c r="A2440" s="13"/>
      <c r="E2440" s="8"/>
      <c r="F2440" s="1"/>
      <c r="J2440" s="2"/>
      <c r="K2440" s="7"/>
    </row>
    <row r="2441" spans="1:11" x14ac:dyDescent="0.35">
      <c r="A2441" s="13"/>
      <c r="E2441" s="8"/>
      <c r="F2441" s="1"/>
      <c r="J2441" s="2"/>
      <c r="K2441" s="7"/>
    </row>
    <row r="2442" spans="1:11" x14ac:dyDescent="0.35">
      <c r="A2442" s="13"/>
      <c r="E2442" s="8"/>
      <c r="F2442" s="1"/>
      <c r="J2442" s="2"/>
      <c r="K2442" s="7"/>
    </row>
    <row r="2443" spans="1:11" x14ac:dyDescent="0.35">
      <c r="A2443" s="13"/>
      <c r="E2443" s="8"/>
      <c r="F2443" s="1"/>
      <c r="J2443" s="2"/>
      <c r="K2443" s="7"/>
    </row>
    <row r="2444" spans="1:11" x14ac:dyDescent="0.35">
      <c r="A2444" s="13"/>
      <c r="E2444" s="8"/>
      <c r="F2444" s="1"/>
      <c r="J2444" s="2"/>
      <c r="K2444" s="7"/>
    </row>
    <row r="2445" spans="1:11" x14ac:dyDescent="0.35">
      <c r="A2445" s="13"/>
      <c r="E2445" s="8"/>
      <c r="F2445" s="1"/>
      <c r="J2445" s="2"/>
      <c r="K2445" s="7"/>
    </row>
    <row r="2446" spans="1:11" x14ac:dyDescent="0.35">
      <c r="A2446" s="13"/>
      <c r="E2446" s="8"/>
      <c r="F2446" s="1"/>
      <c r="J2446" s="2"/>
      <c r="K2446" s="7"/>
    </row>
    <row r="2447" spans="1:11" x14ac:dyDescent="0.35">
      <c r="A2447" s="13"/>
      <c r="E2447" s="8"/>
      <c r="F2447" s="1"/>
      <c r="J2447" s="2"/>
      <c r="K2447" s="7"/>
    </row>
    <row r="2448" spans="1:11" x14ac:dyDescent="0.35">
      <c r="A2448" s="13"/>
      <c r="E2448" s="8"/>
      <c r="F2448" s="1"/>
      <c r="J2448" s="2"/>
      <c r="K2448" s="7"/>
    </row>
    <row r="2449" spans="1:11" x14ac:dyDescent="0.35">
      <c r="A2449" s="13"/>
      <c r="E2449" s="8"/>
      <c r="F2449" s="1"/>
      <c r="J2449" s="2"/>
      <c r="K2449" s="7"/>
    </row>
    <row r="2450" spans="1:11" x14ac:dyDescent="0.35">
      <c r="A2450" s="13"/>
      <c r="E2450" s="8"/>
      <c r="F2450" s="1"/>
      <c r="J2450" s="2"/>
      <c r="K2450" s="7"/>
    </row>
    <row r="2451" spans="1:11" x14ac:dyDescent="0.35">
      <c r="A2451" s="13"/>
      <c r="E2451" s="8"/>
      <c r="F2451" s="1"/>
      <c r="J2451" s="2"/>
      <c r="K2451" s="7"/>
    </row>
    <row r="2452" spans="1:11" x14ac:dyDescent="0.35">
      <c r="A2452" s="13"/>
      <c r="E2452" s="8"/>
      <c r="F2452" s="1"/>
      <c r="J2452" s="2"/>
      <c r="K2452" s="7"/>
    </row>
    <row r="2453" spans="1:11" x14ac:dyDescent="0.35">
      <c r="A2453" s="13"/>
      <c r="E2453" s="8"/>
      <c r="F2453" s="1"/>
      <c r="J2453" s="2"/>
      <c r="K2453" s="7"/>
    </row>
    <row r="2454" spans="1:11" x14ac:dyDescent="0.35">
      <c r="A2454" s="13"/>
      <c r="E2454" s="8"/>
      <c r="F2454" s="1"/>
      <c r="J2454" s="2"/>
      <c r="K2454" s="7"/>
    </row>
    <row r="2455" spans="1:11" x14ac:dyDescent="0.35">
      <c r="A2455" s="13"/>
      <c r="E2455" s="8"/>
      <c r="F2455" s="1"/>
      <c r="J2455" s="2"/>
      <c r="K2455" s="7"/>
    </row>
    <row r="2456" spans="1:11" x14ac:dyDescent="0.35">
      <c r="A2456" s="13"/>
      <c r="E2456" s="8"/>
      <c r="F2456" s="1"/>
      <c r="J2456" s="2"/>
      <c r="K2456" s="7"/>
    </row>
    <row r="2457" spans="1:11" x14ac:dyDescent="0.35">
      <c r="A2457" s="13"/>
      <c r="E2457" s="8"/>
      <c r="F2457" s="1"/>
      <c r="J2457" s="2"/>
      <c r="K2457" s="7"/>
    </row>
    <row r="2458" spans="1:11" x14ac:dyDescent="0.35">
      <c r="A2458" s="13"/>
      <c r="E2458" s="8"/>
      <c r="F2458" s="1"/>
      <c r="J2458" s="2"/>
      <c r="K2458" s="7"/>
    </row>
    <row r="2459" spans="1:11" x14ac:dyDescent="0.35">
      <c r="A2459" s="13"/>
      <c r="E2459" s="8"/>
      <c r="F2459" s="1"/>
      <c r="J2459" s="2"/>
      <c r="K2459" s="7"/>
    </row>
    <row r="2460" spans="1:11" x14ac:dyDescent="0.35">
      <c r="A2460" s="13"/>
      <c r="E2460" s="8"/>
      <c r="F2460" s="1"/>
      <c r="J2460" s="2"/>
      <c r="K2460" s="7"/>
    </row>
    <row r="2461" spans="1:11" x14ac:dyDescent="0.35">
      <c r="A2461" s="13"/>
      <c r="E2461" s="8"/>
      <c r="F2461" s="1"/>
      <c r="J2461" s="2"/>
      <c r="K2461" s="7"/>
    </row>
    <row r="2462" spans="1:11" x14ac:dyDescent="0.35">
      <c r="A2462" s="13"/>
      <c r="E2462" s="8"/>
      <c r="F2462" s="1"/>
      <c r="J2462" s="2"/>
      <c r="K2462" s="7"/>
    </row>
    <row r="2463" spans="1:11" x14ac:dyDescent="0.35">
      <c r="A2463" s="13"/>
      <c r="E2463" s="8"/>
      <c r="F2463" s="1"/>
      <c r="J2463" s="2"/>
      <c r="K2463" s="7"/>
    </row>
    <row r="2464" spans="1:11" x14ac:dyDescent="0.35">
      <c r="A2464" s="13"/>
      <c r="E2464" s="8"/>
      <c r="F2464" s="1"/>
      <c r="J2464" s="2"/>
      <c r="K2464" s="7"/>
    </row>
    <row r="2465" spans="1:11" x14ac:dyDescent="0.35">
      <c r="A2465" s="13"/>
      <c r="E2465" s="8"/>
      <c r="F2465" s="1"/>
      <c r="J2465" s="2"/>
      <c r="K2465" s="7"/>
    </row>
    <row r="2466" spans="1:11" x14ac:dyDescent="0.35">
      <c r="A2466" s="13"/>
      <c r="E2466" s="8"/>
      <c r="F2466" s="1"/>
      <c r="J2466" s="2"/>
      <c r="K2466" s="7"/>
    </row>
    <row r="2467" spans="1:11" x14ac:dyDescent="0.35">
      <c r="A2467" s="13"/>
      <c r="E2467" s="8"/>
      <c r="F2467" s="1"/>
      <c r="J2467" s="2"/>
      <c r="K2467" s="7"/>
    </row>
    <row r="2468" spans="1:11" x14ac:dyDescent="0.35">
      <c r="A2468" s="13"/>
      <c r="E2468" s="8"/>
      <c r="F2468" s="1"/>
      <c r="J2468" s="2"/>
      <c r="K2468" s="7"/>
    </row>
    <row r="2469" spans="1:11" x14ac:dyDescent="0.35">
      <c r="A2469" s="13"/>
      <c r="E2469" s="8"/>
      <c r="F2469" s="1"/>
      <c r="J2469" s="2"/>
      <c r="K2469" s="7"/>
    </row>
    <row r="2470" spans="1:11" x14ac:dyDescent="0.35">
      <c r="A2470" s="13"/>
      <c r="E2470" s="8"/>
      <c r="F2470" s="1"/>
      <c r="J2470" s="2"/>
      <c r="K2470" s="7"/>
    </row>
    <row r="2471" spans="1:11" x14ac:dyDescent="0.35">
      <c r="A2471" s="13"/>
      <c r="E2471" s="8"/>
      <c r="F2471" s="1"/>
      <c r="J2471" s="2"/>
      <c r="K2471" s="7"/>
    </row>
    <row r="2472" spans="1:11" x14ac:dyDescent="0.35">
      <c r="A2472" s="13"/>
      <c r="E2472" s="8"/>
      <c r="F2472" s="1"/>
      <c r="J2472" s="2"/>
      <c r="K2472" s="7"/>
    </row>
    <row r="2473" spans="1:11" x14ac:dyDescent="0.35">
      <c r="A2473" s="13"/>
      <c r="E2473" s="8"/>
      <c r="F2473" s="1"/>
      <c r="J2473" s="2"/>
      <c r="K2473" s="7"/>
    </row>
    <row r="2474" spans="1:11" x14ac:dyDescent="0.35">
      <c r="A2474" s="13"/>
      <c r="E2474" s="8"/>
      <c r="F2474" s="1"/>
      <c r="J2474" s="2"/>
      <c r="K2474" s="7"/>
    </row>
    <row r="2475" spans="1:11" x14ac:dyDescent="0.35">
      <c r="A2475" s="13"/>
      <c r="E2475" s="8"/>
      <c r="F2475" s="1"/>
      <c r="J2475" s="2"/>
      <c r="K2475" s="7"/>
    </row>
    <row r="2476" spans="1:11" x14ac:dyDescent="0.35">
      <c r="A2476" s="13"/>
      <c r="E2476" s="8"/>
      <c r="F2476" s="1"/>
      <c r="J2476" s="2"/>
      <c r="K2476" s="7"/>
    </row>
    <row r="2477" spans="1:11" x14ac:dyDescent="0.35">
      <c r="A2477" s="13"/>
      <c r="E2477" s="8"/>
      <c r="F2477" s="1"/>
      <c r="J2477" s="2"/>
      <c r="K2477" s="7"/>
    </row>
    <row r="2478" spans="1:11" x14ac:dyDescent="0.35">
      <c r="A2478" s="13"/>
      <c r="E2478" s="8"/>
      <c r="F2478" s="1"/>
      <c r="J2478" s="2"/>
      <c r="K2478" s="7"/>
    </row>
    <row r="2479" spans="1:11" x14ac:dyDescent="0.35">
      <c r="A2479" s="13"/>
      <c r="E2479" s="8"/>
      <c r="F2479" s="1"/>
      <c r="J2479" s="2"/>
      <c r="K2479" s="7"/>
    </row>
    <row r="2480" spans="1:11" x14ac:dyDescent="0.35">
      <c r="A2480" s="13"/>
      <c r="E2480" s="8"/>
      <c r="F2480" s="1"/>
      <c r="J2480" s="2"/>
      <c r="K2480" s="7"/>
    </row>
    <row r="2481" spans="1:11" x14ac:dyDescent="0.35">
      <c r="A2481" s="13"/>
      <c r="E2481" s="8"/>
      <c r="F2481" s="1"/>
      <c r="J2481" s="2"/>
      <c r="K2481" s="7"/>
    </row>
    <row r="2482" spans="1:11" x14ac:dyDescent="0.35">
      <c r="A2482" s="13"/>
      <c r="E2482" s="8"/>
      <c r="F2482" s="1"/>
      <c r="J2482" s="2"/>
      <c r="K2482" s="7"/>
    </row>
    <row r="2483" spans="1:11" x14ac:dyDescent="0.35">
      <c r="A2483" s="13"/>
      <c r="E2483" s="8"/>
      <c r="F2483" s="1"/>
      <c r="J2483" s="2"/>
      <c r="K2483" s="7"/>
    </row>
    <row r="2484" spans="1:11" x14ac:dyDescent="0.35">
      <c r="A2484" s="13"/>
      <c r="E2484" s="8"/>
      <c r="F2484" s="1"/>
      <c r="J2484" s="2"/>
      <c r="K2484" s="7"/>
    </row>
    <row r="2485" spans="1:11" x14ac:dyDescent="0.35">
      <c r="A2485" s="13"/>
      <c r="E2485" s="8"/>
      <c r="F2485" s="1"/>
      <c r="J2485" s="2"/>
      <c r="K2485" s="7"/>
    </row>
    <row r="2486" spans="1:11" x14ac:dyDescent="0.35">
      <c r="A2486" s="13"/>
      <c r="E2486" s="8"/>
      <c r="F2486" s="1"/>
      <c r="J2486" s="2"/>
      <c r="K2486" s="7"/>
    </row>
    <row r="2487" spans="1:11" x14ac:dyDescent="0.35">
      <c r="A2487" s="13"/>
      <c r="E2487" s="8"/>
      <c r="F2487" s="1"/>
      <c r="J2487" s="2"/>
      <c r="K2487" s="7"/>
    </row>
    <row r="2488" spans="1:11" x14ac:dyDescent="0.35">
      <c r="A2488" s="13"/>
      <c r="E2488" s="8"/>
      <c r="F2488" s="1"/>
      <c r="J2488" s="2"/>
      <c r="K2488" s="7"/>
    </row>
    <row r="2489" spans="1:11" x14ac:dyDescent="0.35">
      <c r="A2489" s="13"/>
      <c r="E2489" s="8"/>
      <c r="F2489" s="1"/>
      <c r="J2489" s="2"/>
      <c r="K2489" s="7"/>
    </row>
    <row r="2490" spans="1:11" x14ac:dyDescent="0.35">
      <c r="A2490" s="13"/>
      <c r="E2490" s="8"/>
      <c r="F2490" s="1"/>
      <c r="J2490" s="2"/>
      <c r="K2490" s="7"/>
    </row>
    <row r="2491" spans="1:11" x14ac:dyDescent="0.35">
      <c r="A2491" s="13"/>
      <c r="E2491" s="8"/>
      <c r="F2491" s="1"/>
      <c r="J2491" s="2"/>
      <c r="K2491" s="7"/>
    </row>
    <row r="2492" spans="1:11" x14ac:dyDescent="0.35">
      <c r="A2492" s="13"/>
      <c r="E2492" s="8"/>
      <c r="F2492" s="1"/>
      <c r="J2492" s="2"/>
      <c r="K2492" s="7"/>
    </row>
    <row r="2493" spans="1:11" x14ac:dyDescent="0.35">
      <c r="A2493" s="13"/>
      <c r="E2493" s="8"/>
      <c r="F2493" s="1"/>
      <c r="J2493" s="2"/>
      <c r="K2493" s="7"/>
    </row>
    <row r="2494" spans="1:11" x14ac:dyDescent="0.35">
      <c r="A2494" s="13"/>
      <c r="E2494" s="8"/>
      <c r="F2494" s="1"/>
      <c r="J2494" s="2"/>
      <c r="K2494" s="7"/>
    </row>
    <row r="2495" spans="1:11" x14ac:dyDescent="0.35">
      <c r="A2495" s="13"/>
      <c r="E2495" s="8"/>
      <c r="F2495" s="1"/>
      <c r="J2495" s="2"/>
      <c r="K2495" s="7"/>
    </row>
    <row r="2496" spans="1:11" x14ac:dyDescent="0.35">
      <c r="A2496" s="13"/>
      <c r="E2496" s="8"/>
      <c r="F2496" s="1"/>
      <c r="J2496" s="2"/>
      <c r="K2496" s="7"/>
    </row>
    <row r="2497" spans="1:11" x14ac:dyDescent="0.35">
      <c r="A2497" s="13"/>
      <c r="E2497" s="8"/>
      <c r="F2497" s="1"/>
      <c r="J2497" s="2"/>
      <c r="K2497" s="7"/>
    </row>
    <row r="2498" spans="1:11" x14ac:dyDescent="0.35">
      <c r="A2498" s="13"/>
      <c r="E2498" s="8"/>
      <c r="F2498" s="1"/>
      <c r="J2498" s="2"/>
      <c r="K2498" s="7"/>
    </row>
    <row r="2499" spans="1:11" x14ac:dyDescent="0.35">
      <c r="A2499" s="13"/>
      <c r="E2499" s="8"/>
      <c r="F2499" s="1"/>
      <c r="J2499" s="2"/>
      <c r="K2499" s="7"/>
    </row>
    <row r="2500" spans="1:11" x14ac:dyDescent="0.35">
      <c r="A2500" s="13"/>
      <c r="E2500" s="8"/>
      <c r="F2500" s="1"/>
      <c r="J2500" s="2"/>
      <c r="K2500" s="7"/>
    </row>
    <row r="2501" spans="1:11" x14ac:dyDescent="0.35">
      <c r="A2501" s="13"/>
      <c r="E2501" s="8"/>
      <c r="F2501" s="1"/>
      <c r="J2501" s="2"/>
      <c r="K2501" s="7"/>
    </row>
    <row r="2502" spans="1:11" x14ac:dyDescent="0.35">
      <c r="A2502" s="13"/>
      <c r="E2502" s="8"/>
      <c r="F2502" s="1"/>
      <c r="J2502" s="2"/>
      <c r="K2502" s="7"/>
    </row>
    <row r="2503" spans="1:11" x14ac:dyDescent="0.35">
      <c r="A2503" s="13"/>
      <c r="E2503" s="8"/>
      <c r="F2503" s="1"/>
      <c r="J2503" s="2"/>
      <c r="K2503" s="7"/>
    </row>
    <row r="2504" spans="1:11" x14ac:dyDescent="0.35">
      <c r="A2504" s="13"/>
      <c r="E2504" s="8"/>
      <c r="F2504" s="1"/>
      <c r="J2504" s="2"/>
      <c r="K2504" s="7"/>
    </row>
    <row r="2505" spans="1:11" x14ac:dyDescent="0.35">
      <c r="A2505" s="13"/>
      <c r="E2505" s="8"/>
      <c r="F2505" s="1"/>
      <c r="J2505" s="2"/>
      <c r="K2505" s="7"/>
    </row>
    <row r="2506" spans="1:11" x14ac:dyDescent="0.35">
      <c r="A2506" s="13"/>
      <c r="E2506" s="8"/>
      <c r="F2506" s="1"/>
      <c r="J2506" s="2"/>
      <c r="K2506" s="7"/>
    </row>
    <row r="2507" spans="1:11" x14ac:dyDescent="0.35">
      <c r="A2507" s="13"/>
      <c r="E2507" s="8"/>
      <c r="F2507" s="1"/>
      <c r="J2507" s="2"/>
      <c r="K2507" s="7"/>
    </row>
    <row r="2508" spans="1:11" x14ac:dyDescent="0.35">
      <c r="A2508" s="13"/>
      <c r="E2508" s="8"/>
      <c r="F2508" s="1"/>
      <c r="J2508" s="2"/>
      <c r="K2508" s="7"/>
    </row>
    <row r="2509" spans="1:11" x14ac:dyDescent="0.35">
      <c r="A2509" s="13"/>
      <c r="E2509" s="8"/>
      <c r="F2509" s="1"/>
      <c r="J2509" s="2"/>
      <c r="K2509" s="7"/>
    </row>
    <row r="2510" spans="1:11" x14ac:dyDescent="0.35">
      <c r="A2510" s="13"/>
      <c r="E2510" s="8"/>
      <c r="F2510" s="1"/>
      <c r="J2510" s="2"/>
      <c r="K2510" s="7"/>
    </row>
    <row r="2511" spans="1:11" x14ac:dyDescent="0.35">
      <c r="A2511" s="13"/>
      <c r="E2511" s="8"/>
      <c r="F2511" s="1"/>
      <c r="J2511" s="2"/>
      <c r="K2511" s="7"/>
    </row>
    <row r="2512" spans="1:11" x14ac:dyDescent="0.35">
      <c r="A2512" s="13"/>
      <c r="E2512" s="8"/>
      <c r="F2512" s="1"/>
      <c r="J2512" s="2"/>
      <c r="K2512" s="7"/>
    </row>
    <row r="2513" spans="1:11" x14ac:dyDescent="0.35">
      <c r="A2513" s="13"/>
      <c r="E2513" s="8"/>
      <c r="F2513" s="1"/>
      <c r="J2513" s="2"/>
      <c r="K2513" s="7"/>
    </row>
    <row r="2514" spans="1:11" x14ac:dyDescent="0.35">
      <c r="A2514" s="13"/>
      <c r="E2514" s="8"/>
      <c r="F2514" s="1"/>
      <c r="J2514" s="2"/>
      <c r="K2514" s="7"/>
    </row>
    <row r="2515" spans="1:11" x14ac:dyDescent="0.35">
      <c r="A2515" s="13"/>
      <c r="E2515" s="8"/>
      <c r="F2515" s="1"/>
      <c r="J2515" s="2"/>
      <c r="K2515" s="7"/>
    </row>
    <row r="2516" spans="1:11" x14ac:dyDescent="0.35">
      <c r="A2516" s="13"/>
      <c r="E2516" s="8"/>
      <c r="F2516" s="1"/>
      <c r="J2516" s="2"/>
      <c r="K2516" s="7"/>
    </row>
    <row r="2517" spans="1:11" x14ac:dyDescent="0.35">
      <c r="A2517" s="13"/>
      <c r="E2517" s="8"/>
      <c r="F2517" s="1"/>
      <c r="J2517" s="2"/>
      <c r="K2517" s="7"/>
    </row>
    <row r="2518" spans="1:11" x14ac:dyDescent="0.35">
      <c r="A2518" s="13"/>
      <c r="E2518" s="8"/>
      <c r="F2518" s="1"/>
      <c r="J2518" s="2"/>
      <c r="K2518" s="7"/>
    </row>
    <row r="2519" spans="1:11" x14ac:dyDescent="0.35">
      <c r="A2519" s="13"/>
      <c r="E2519" s="8"/>
      <c r="F2519" s="1"/>
      <c r="J2519" s="2"/>
      <c r="K2519" s="7"/>
    </row>
    <row r="2520" spans="1:11" x14ac:dyDescent="0.35">
      <c r="A2520" s="13"/>
      <c r="E2520" s="8"/>
      <c r="F2520" s="1"/>
      <c r="J2520" s="2"/>
      <c r="K2520" s="7"/>
    </row>
    <row r="2521" spans="1:11" x14ac:dyDescent="0.35">
      <c r="A2521" s="13"/>
      <c r="E2521" s="8"/>
      <c r="F2521" s="1"/>
      <c r="J2521" s="2"/>
      <c r="K2521" s="7"/>
    </row>
    <row r="2522" spans="1:11" x14ac:dyDescent="0.35">
      <c r="A2522" s="13"/>
      <c r="E2522" s="8"/>
      <c r="F2522" s="1"/>
      <c r="J2522" s="2"/>
      <c r="K2522" s="7"/>
    </row>
    <row r="2523" spans="1:11" x14ac:dyDescent="0.35">
      <c r="A2523" s="13"/>
      <c r="E2523" s="8"/>
      <c r="F2523" s="1"/>
      <c r="J2523" s="2"/>
      <c r="K2523" s="7"/>
    </row>
    <row r="2524" spans="1:11" x14ac:dyDescent="0.35">
      <c r="A2524" s="13"/>
      <c r="E2524" s="8"/>
      <c r="F2524" s="1"/>
      <c r="J2524" s="2"/>
      <c r="K2524" s="7"/>
    </row>
    <row r="2525" spans="1:11" x14ac:dyDescent="0.35">
      <c r="A2525" s="13"/>
      <c r="E2525" s="8"/>
      <c r="F2525" s="1"/>
      <c r="J2525" s="2"/>
      <c r="K2525" s="7"/>
    </row>
    <row r="2526" spans="1:11" x14ac:dyDescent="0.35">
      <c r="A2526" s="13"/>
      <c r="E2526" s="8"/>
      <c r="F2526" s="1"/>
      <c r="J2526" s="2"/>
      <c r="K2526" s="7"/>
    </row>
    <row r="2527" spans="1:11" x14ac:dyDescent="0.35">
      <c r="A2527" s="13"/>
      <c r="E2527" s="8"/>
      <c r="F2527" s="1"/>
      <c r="J2527" s="2"/>
      <c r="K2527" s="7"/>
    </row>
    <row r="2528" spans="1:11" x14ac:dyDescent="0.35">
      <c r="A2528" s="13"/>
      <c r="E2528" s="8"/>
      <c r="F2528" s="1"/>
      <c r="J2528" s="2"/>
      <c r="K2528" s="7"/>
    </row>
    <row r="2529" spans="1:11" x14ac:dyDescent="0.35">
      <c r="A2529" s="13"/>
      <c r="E2529" s="8"/>
      <c r="F2529" s="1"/>
      <c r="J2529" s="2"/>
      <c r="K2529" s="7"/>
    </row>
    <row r="2530" spans="1:11" x14ac:dyDescent="0.35">
      <c r="A2530" s="13"/>
      <c r="E2530" s="8"/>
      <c r="F2530" s="1"/>
      <c r="J2530" s="2"/>
      <c r="K2530" s="7"/>
    </row>
    <row r="2531" spans="1:11" x14ac:dyDescent="0.35">
      <c r="A2531" s="13"/>
      <c r="E2531" s="8"/>
      <c r="F2531" s="1"/>
      <c r="J2531" s="2"/>
      <c r="K2531" s="7"/>
    </row>
    <row r="2532" spans="1:11" x14ac:dyDescent="0.35">
      <c r="A2532" s="13"/>
      <c r="E2532" s="8"/>
      <c r="F2532" s="1"/>
      <c r="J2532" s="2"/>
      <c r="K2532" s="7"/>
    </row>
    <row r="2533" spans="1:11" x14ac:dyDescent="0.35">
      <c r="A2533" s="13"/>
      <c r="E2533" s="8"/>
      <c r="F2533" s="1"/>
      <c r="J2533" s="2"/>
      <c r="K2533" s="7"/>
    </row>
    <row r="2534" spans="1:11" x14ac:dyDescent="0.35">
      <c r="A2534" s="13"/>
      <c r="E2534" s="8"/>
      <c r="F2534" s="1"/>
      <c r="J2534" s="2"/>
      <c r="K2534" s="7"/>
    </row>
    <row r="2535" spans="1:11" x14ac:dyDescent="0.35">
      <c r="A2535" s="13"/>
      <c r="E2535" s="8"/>
      <c r="F2535" s="1"/>
      <c r="J2535" s="2"/>
      <c r="K2535" s="7"/>
    </row>
    <row r="2536" spans="1:11" x14ac:dyDescent="0.35">
      <c r="A2536" s="13"/>
      <c r="E2536" s="8"/>
      <c r="F2536" s="1"/>
      <c r="J2536" s="2"/>
      <c r="K2536" s="7"/>
    </row>
    <row r="2537" spans="1:11" x14ac:dyDescent="0.35">
      <c r="A2537" s="13"/>
      <c r="E2537" s="8"/>
      <c r="F2537" s="1"/>
      <c r="J2537" s="2"/>
      <c r="K2537" s="7"/>
    </row>
    <row r="2538" spans="1:11" x14ac:dyDescent="0.35">
      <c r="A2538" s="13"/>
      <c r="E2538" s="8"/>
      <c r="F2538" s="1"/>
      <c r="J2538" s="2"/>
      <c r="K2538" s="7"/>
    </row>
    <row r="2539" spans="1:11" x14ac:dyDescent="0.35">
      <c r="A2539" s="13"/>
      <c r="E2539" s="8"/>
      <c r="F2539" s="1"/>
      <c r="J2539" s="2"/>
      <c r="K2539" s="7"/>
    </row>
    <row r="2540" spans="1:11" x14ac:dyDescent="0.35">
      <c r="A2540" s="13"/>
      <c r="E2540" s="8"/>
      <c r="F2540" s="1"/>
      <c r="J2540" s="2"/>
      <c r="K2540" s="7"/>
    </row>
    <row r="2541" spans="1:11" x14ac:dyDescent="0.35">
      <c r="A2541" s="13"/>
      <c r="E2541" s="8"/>
      <c r="F2541" s="1"/>
      <c r="J2541" s="2"/>
      <c r="K2541" s="7"/>
    </row>
    <row r="2542" spans="1:11" x14ac:dyDescent="0.35">
      <c r="A2542" s="13"/>
      <c r="E2542" s="8"/>
      <c r="F2542" s="1"/>
      <c r="J2542" s="2"/>
      <c r="K2542" s="7"/>
    </row>
    <row r="2543" spans="1:11" x14ac:dyDescent="0.35">
      <c r="A2543" s="13"/>
      <c r="E2543" s="8"/>
      <c r="F2543" s="1"/>
      <c r="J2543" s="2"/>
      <c r="K2543" s="7"/>
    </row>
    <row r="2544" spans="1:11" x14ac:dyDescent="0.35">
      <c r="A2544" s="13"/>
      <c r="E2544" s="8"/>
      <c r="F2544" s="1"/>
      <c r="J2544" s="2"/>
      <c r="K2544" s="7"/>
    </row>
    <row r="2545" spans="1:11" x14ac:dyDescent="0.35">
      <c r="A2545" s="13"/>
      <c r="E2545" s="8"/>
      <c r="F2545" s="1"/>
      <c r="J2545" s="2"/>
      <c r="K2545" s="7"/>
    </row>
    <row r="2546" spans="1:11" x14ac:dyDescent="0.35">
      <c r="A2546" s="13"/>
      <c r="E2546" s="8"/>
      <c r="F2546" s="1"/>
      <c r="J2546" s="2"/>
      <c r="K2546" s="7"/>
    </row>
    <row r="2547" spans="1:11" x14ac:dyDescent="0.35">
      <c r="A2547" s="13"/>
      <c r="E2547" s="8"/>
      <c r="F2547" s="1"/>
      <c r="J2547" s="2"/>
      <c r="K2547" s="7"/>
    </row>
    <row r="2548" spans="1:11" x14ac:dyDescent="0.35">
      <c r="A2548" s="13"/>
      <c r="E2548" s="8"/>
      <c r="F2548" s="1"/>
      <c r="J2548" s="2"/>
      <c r="K2548" s="7"/>
    </row>
    <row r="2549" spans="1:11" x14ac:dyDescent="0.35">
      <c r="A2549" s="13"/>
      <c r="E2549" s="8"/>
      <c r="F2549" s="1"/>
      <c r="J2549" s="2"/>
      <c r="K2549" s="7"/>
    </row>
    <row r="2550" spans="1:11" x14ac:dyDescent="0.35">
      <c r="A2550" s="13"/>
      <c r="E2550" s="8"/>
      <c r="F2550" s="1"/>
      <c r="J2550" s="2"/>
      <c r="K2550" s="7"/>
    </row>
    <row r="2551" spans="1:11" x14ac:dyDescent="0.35">
      <c r="A2551" s="13"/>
      <c r="E2551" s="8"/>
      <c r="F2551" s="1"/>
      <c r="J2551" s="2"/>
      <c r="K2551" s="7"/>
    </row>
    <row r="2552" spans="1:11" x14ac:dyDescent="0.35">
      <c r="A2552" s="13"/>
      <c r="E2552" s="8"/>
      <c r="F2552" s="1"/>
      <c r="J2552" s="2"/>
      <c r="K2552" s="7"/>
    </row>
    <row r="2553" spans="1:11" x14ac:dyDescent="0.35">
      <c r="A2553" s="13"/>
      <c r="E2553" s="8"/>
      <c r="F2553" s="1"/>
      <c r="J2553" s="2"/>
      <c r="K2553" s="7"/>
    </row>
    <row r="2554" spans="1:11" x14ac:dyDescent="0.35">
      <c r="A2554" s="13"/>
      <c r="E2554" s="8"/>
      <c r="F2554" s="1"/>
      <c r="J2554" s="2"/>
      <c r="K2554" s="7"/>
    </row>
    <row r="2555" spans="1:11" x14ac:dyDescent="0.35">
      <c r="A2555" s="13"/>
      <c r="E2555" s="8"/>
      <c r="F2555" s="1"/>
      <c r="J2555" s="2"/>
      <c r="K2555" s="7"/>
    </row>
    <row r="2556" spans="1:11" x14ac:dyDescent="0.35">
      <c r="A2556" s="13"/>
      <c r="E2556" s="8"/>
      <c r="F2556" s="1"/>
      <c r="J2556" s="2"/>
      <c r="K2556" s="7"/>
    </row>
    <row r="2557" spans="1:11" x14ac:dyDescent="0.35">
      <c r="A2557" s="13"/>
      <c r="E2557" s="8"/>
      <c r="F2557" s="1"/>
      <c r="J2557" s="2"/>
      <c r="K2557" s="7"/>
    </row>
    <row r="2558" spans="1:11" x14ac:dyDescent="0.35">
      <c r="A2558" s="13"/>
      <c r="E2558" s="8"/>
      <c r="F2558" s="1"/>
      <c r="J2558" s="2"/>
      <c r="K2558" s="7"/>
    </row>
    <row r="2559" spans="1:11" x14ac:dyDescent="0.35">
      <c r="A2559" s="13"/>
      <c r="E2559" s="8"/>
      <c r="F2559" s="1"/>
      <c r="J2559" s="2"/>
      <c r="K2559" s="7"/>
    </row>
    <row r="2560" spans="1:11" x14ac:dyDescent="0.35">
      <c r="A2560" s="13"/>
      <c r="E2560" s="8"/>
      <c r="F2560" s="1"/>
      <c r="J2560" s="2"/>
      <c r="K2560" s="7"/>
    </row>
    <row r="2561" spans="1:11" x14ac:dyDescent="0.35">
      <c r="A2561" s="13"/>
      <c r="E2561" s="8"/>
      <c r="F2561" s="1"/>
      <c r="J2561" s="2"/>
      <c r="K2561" s="7"/>
    </row>
    <row r="2562" spans="1:11" x14ac:dyDescent="0.35">
      <c r="A2562" s="13"/>
      <c r="E2562" s="8"/>
      <c r="F2562" s="1"/>
      <c r="J2562" s="2"/>
      <c r="K2562" s="7"/>
    </row>
    <row r="2563" spans="1:11" x14ac:dyDescent="0.35">
      <c r="A2563" s="13"/>
      <c r="E2563" s="8"/>
      <c r="F2563" s="1"/>
      <c r="J2563" s="2"/>
      <c r="K2563" s="7"/>
    </row>
    <row r="2564" spans="1:11" x14ac:dyDescent="0.35">
      <c r="A2564" s="13"/>
      <c r="E2564" s="8"/>
      <c r="F2564" s="1"/>
      <c r="J2564" s="2"/>
      <c r="K2564" s="7"/>
    </row>
    <row r="2565" spans="1:11" x14ac:dyDescent="0.35">
      <c r="A2565" s="13"/>
      <c r="E2565" s="8"/>
      <c r="F2565" s="1"/>
      <c r="J2565" s="2"/>
      <c r="K2565" s="7"/>
    </row>
    <row r="2566" spans="1:11" x14ac:dyDescent="0.35">
      <c r="A2566" s="13"/>
      <c r="E2566" s="8"/>
      <c r="F2566" s="1"/>
      <c r="J2566" s="2"/>
      <c r="K2566" s="7"/>
    </row>
    <row r="2567" spans="1:11" x14ac:dyDescent="0.35">
      <c r="A2567" s="13"/>
      <c r="E2567" s="8"/>
      <c r="F2567" s="1"/>
      <c r="J2567" s="2"/>
      <c r="K2567" s="7"/>
    </row>
    <row r="2568" spans="1:11" x14ac:dyDescent="0.35">
      <c r="A2568" s="13"/>
      <c r="E2568" s="8"/>
      <c r="F2568" s="1"/>
      <c r="J2568" s="2"/>
      <c r="K2568" s="7"/>
    </row>
    <row r="2569" spans="1:11" x14ac:dyDescent="0.35">
      <c r="A2569" s="13"/>
      <c r="E2569" s="8"/>
      <c r="F2569" s="1"/>
      <c r="J2569" s="2"/>
      <c r="K2569" s="7"/>
    </row>
    <row r="2570" spans="1:11" x14ac:dyDescent="0.35">
      <c r="A2570" s="13"/>
      <c r="E2570" s="8"/>
      <c r="F2570" s="1"/>
      <c r="J2570" s="2"/>
      <c r="K2570" s="7"/>
    </row>
    <row r="2571" spans="1:11" x14ac:dyDescent="0.35">
      <c r="A2571" s="13"/>
      <c r="E2571" s="8"/>
      <c r="F2571" s="1"/>
      <c r="J2571" s="2"/>
      <c r="K2571" s="7"/>
    </row>
    <row r="2572" spans="1:11" x14ac:dyDescent="0.35">
      <c r="A2572" s="13"/>
      <c r="E2572" s="8"/>
      <c r="F2572" s="1"/>
      <c r="J2572" s="2"/>
      <c r="K2572" s="7"/>
    </row>
    <row r="2573" spans="1:11" x14ac:dyDescent="0.35">
      <c r="A2573" s="13"/>
      <c r="E2573" s="8"/>
      <c r="F2573" s="1"/>
      <c r="J2573" s="2"/>
      <c r="K2573" s="7"/>
    </row>
    <row r="2574" spans="1:11" x14ac:dyDescent="0.35">
      <c r="A2574" s="13"/>
      <c r="E2574" s="8"/>
      <c r="F2574" s="1"/>
      <c r="J2574" s="2"/>
      <c r="K2574" s="7"/>
    </row>
    <row r="2575" spans="1:11" x14ac:dyDescent="0.35">
      <c r="A2575" s="13"/>
      <c r="E2575" s="8"/>
      <c r="F2575" s="1"/>
      <c r="J2575" s="2"/>
      <c r="K2575" s="7"/>
    </row>
    <row r="2576" spans="1:11" x14ac:dyDescent="0.35">
      <c r="A2576" s="13"/>
      <c r="E2576" s="8"/>
      <c r="F2576" s="1"/>
      <c r="J2576" s="2"/>
      <c r="K2576" s="7"/>
    </row>
    <row r="2577" spans="1:11" x14ac:dyDescent="0.35">
      <c r="A2577" s="13"/>
      <c r="E2577" s="8"/>
      <c r="F2577" s="1"/>
      <c r="J2577" s="2"/>
      <c r="K2577" s="7"/>
    </row>
    <row r="2578" spans="1:11" x14ac:dyDescent="0.35">
      <c r="A2578" s="13"/>
      <c r="E2578" s="8"/>
      <c r="F2578" s="1"/>
      <c r="J2578" s="2"/>
      <c r="K2578" s="7"/>
    </row>
    <row r="2579" spans="1:11" x14ac:dyDescent="0.35">
      <c r="A2579" s="13"/>
      <c r="E2579" s="8"/>
      <c r="F2579" s="1"/>
      <c r="J2579" s="2"/>
      <c r="K2579" s="7"/>
    </row>
    <row r="2580" spans="1:11" x14ac:dyDescent="0.35">
      <c r="A2580" s="13"/>
      <c r="E2580" s="8"/>
      <c r="F2580" s="1"/>
      <c r="J2580" s="2"/>
      <c r="K2580" s="7"/>
    </row>
    <row r="2581" spans="1:11" x14ac:dyDescent="0.35">
      <c r="A2581" s="13"/>
      <c r="E2581" s="8"/>
      <c r="F2581" s="1"/>
      <c r="J2581" s="2"/>
      <c r="K2581" s="7"/>
    </row>
    <row r="2582" spans="1:11" x14ac:dyDescent="0.35">
      <c r="A2582" s="13"/>
      <c r="E2582" s="8"/>
      <c r="F2582" s="1"/>
      <c r="J2582" s="2"/>
      <c r="K2582" s="7"/>
    </row>
    <row r="2583" spans="1:11" x14ac:dyDescent="0.35">
      <c r="A2583" s="13"/>
      <c r="E2583" s="8"/>
      <c r="F2583" s="1"/>
      <c r="J2583" s="2"/>
      <c r="K2583" s="7"/>
    </row>
    <row r="2584" spans="1:11" x14ac:dyDescent="0.35">
      <c r="A2584" s="13"/>
      <c r="E2584" s="8"/>
      <c r="F2584" s="1"/>
      <c r="J2584" s="2"/>
      <c r="K2584" s="7"/>
    </row>
    <row r="2585" spans="1:11" x14ac:dyDescent="0.35">
      <c r="A2585" s="13"/>
      <c r="E2585" s="8"/>
      <c r="F2585" s="1"/>
      <c r="J2585" s="2"/>
      <c r="K2585" s="7"/>
    </row>
    <row r="2586" spans="1:11" x14ac:dyDescent="0.35">
      <c r="A2586" s="13"/>
      <c r="E2586" s="8"/>
      <c r="F2586" s="1"/>
      <c r="J2586" s="2"/>
      <c r="K2586" s="7"/>
    </row>
    <row r="2587" spans="1:11" x14ac:dyDescent="0.35">
      <c r="A2587" s="13"/>
      <c r="E2587" s="8"/>
      <c r="F2587" s="1"/>
      <c r="J2587" s="2"/>
      <c r="K2587" s="7"/>
    </row>
    <row r="2588" spans="1:11" x14ac:dyDescent="0.35">
      <c r="A2588" s="13"/>
      <c r="E2588" s="8"/>
      <c r="F2588" s="1"/>
      <c r="J2588" s="2"/>
      <c r="K2588" s="7"/>
    </row>
    <row r="2589" spans="1:11" x14ac:dyDescent="0.35">
      <c r="A2589" s="13"/>
      <c r="E2589" s="8"/>
      <c r="F2589" s="1"/>
      <c r="J2589" s="2"/>
      <c r="K2589" s="7"/>
    </row>
    <row r="2590" spans="1:11" x14ac:dyDescent="0.35">
      <c r="A2590" s="13"/>
      <c r="E2590" s="8"/>
      <c r="F2590" s="1"/>
      <c r="J2590" s="2"/>
      <c r="K2590" s="7"/>
    </row>
    <row r="2591" spans="1:11" x14ac:dyDescent="0.35">
      <c r="A2591" s="13"/>
      <c r="E2591" s="8"/>
      <c r="F2591" s="1"/>
      <c r="J2591" s="2"/>
      <c r="K2591" s="7"/>
    </row>
    <row r="2592" spans="1:11" x14ac:dyDescent="0.35">
      <c r="A2592" s="13"/>
      <c r="E2592" s="8"/>
      <c r="F2592" s="1"/>
      <c r="J2592" s="2"/>
      <c r="K2592" s="7"/>
    </row>
    <row r="2593" spans="1:11" x14ac:dyDescent="0.35">
      <c r="A2593" s="13"/>
      <c r="E2593" s="8"/>
      <c r="F2593" s="1"/>
      <c r="J2593" s="2"/>
      <c r="K2593" s="7"/>
    </row>
    <row r="2594" spans="1:11" x14ac:dyDescent="0.35">
      <c r="A2594" s="13"/>
      <c r="E2594" s="8"/>
      <c r="F2594" s="1"/>
      <c r="J2594" s="2"/>
      <c r="K2594" s="7"/>
    </row>
    <row r="2595" spans="1:11" x14ac:dyDescent="0.35">
      <c r="A2595" s="13"/>
      <c r="E2595" s="8"/>
      <c r="F2595" s="1"/>
      <c r="J2595" s="2"/>
      <c r="K2595" s="7"/>
    </row>
    <row r="2596" spans="1:11" x14ac:dyDescent="0.35">
      <c r="A2596" s="13"/>
      <c r="E2596" s="8"/>
      <c r="F2596" s="1"/>
      <c r="J2596" s="2"/>
      <c r="K2596" s="7"/>
    </row>
    <row r="2597" spans="1:11" x14ac:dyDescent="0.35">
      <c r="A2597" s="13"/>
      <c r="E2597" s="8"/>
      <c r="F2597" s="1"/>
      <c r="J2597" s="2"/>
      <c r="K2597" s="7"/>
    </row>
    <row r="2598" spans="1:11" x14ac:dyDescent="0.35">
      <c r="A2598" s="13"/>
      <c r="E2598" s="8"/>
      <c r="F2598" s="1"/>
      <c r="J2598" s="2"/>
      <c r="K2598" s="7"/>
    </row>
    <row r="2599" spans="1:11" x14ac:dyDescent="0.35">
      <c r="A2599" s="13"/>
      <c r="E2599" s="8"/>
      <c r="F2599" s="1"/>
      <c r="J2599" s="2"/>
      <c r="K2599" s="7"/>
    </row>
    <row r="2600" spans="1:11" x14ac:dyDescent="0.35">
      <c r="A2600" s="13"/>
      <c r="E2600" s="8"/>
      <c r="F2600" s="1"/>
      <c r="J2600" s="2"/>
      <c r="K2600" s="7"/>
    </row>
    <row r="2601" spans="1:11" x14ac:dyDescent="0.35">
      <c r="A2601" s="13"/>
      <c r="E2601" s="8"/>
      <c r="F2601" s="1"/>
      <c r="J2601" s="2"/>
      <c r="K2601" s="7"/>
    </row>
    <row r="2602" spans="1:11" x14ac:dyDescent="0.35">
      <c r="A2602" s="13"/>
      <c r="E2602" s="8"/>
      <c r="F2602" s="1"/>
      <c r="J2602" s="2"/>
      <c r="K2602" s="7"/>
    </row>
    <row r="2603" spans="1:11" x14ac:dyDescent="0.35">
      <c r="A2603" s="13"/>
      <c r="E2603" s="8"/>
      <c r="F2603" s="1"/>
      <c r="J2603" s="2"/>
      <c r="K2603" s="7"/>
    </row>
    <row r="2604" spans="1:11" x14ac:dyDescent="0.35">
      <c r="A2604" s="13"/>
      <c r="E2604" s="8"/>
      <c r="F2604" s="1"/>
      <c r="J2604" s="2"/>
      <c r="K2604" s="7"/>
    </row>
    <row r="2605" spans="1:11" x14ac:dyDescent="0.35">
      <c r="A2605" s="13"/>
      <c r="E2605" s="8"/>
      <c r="F2605" s="1"/>
      <c r="J2605" s="2"/>
      <c r="K2605" s="7"/>
    </row>
    <row r="2606" spans="1:11" x14ac:dyDescent="0.35">
      <c r="A2606" s="13"/>
      <c r="E2606" s="8"/>
      <c r="F2606" s="1"/>
      <c r="J2606" s="2"/>
      <c r="K2606" s="7"/>
    </row>
    <row r="2607" spans="1:11" x14ac:dyDescent="0.35">
      <c r="A2607" s="13"/>
      <c r="E2607" s="8"/>
      <c r="F2607" s="1"/>
      <c r="J2607" s="2"/>
      <c r="K2607" s="7"/>
    </row>
    <row r="2608" spans="1:11" x14ac:dyDescent="0.35">
      <c r="A2608" s="13"/>
      <c r="E2608" s="8"/>
      <c r="F2608" s="1"/>
      <c r="J2608" s="2"/>
      <c r="K2608" s="7"/>
    </row>
    <row r="2609" spans="1:11" x14ac:dyDescent="0.35">
      <c r="A2609" s="13"/>
      <c r="E2609" s="8"/>
      <c r="F2609" s="1"/>
      <c r="J2609" s="2"/>
      <c r="K2609" s="7"/>
    </row>
    <row r="2610" spans="1:11" x14ac:dyDescent="0.35">
      <c r="A2610" s="13"/>
      <c r="E2610" s="8"/>
      <c r="F2610" s="1"/>
      <c r="J2610" s="2"/>
      <c r="K2610" s="7"/>
    </row>
    <row r="2611" spans="1:11" x14ac:dyDescent="0.35">
      <c r="A2611" s="13"/>
      <c r="E2611" s="8"/>
      <c r="F2611" s="1"/>
      <c r="J2611" s="2"/>
      <c r="K2611" s="7"/>
    </row>
    <row r="2612" spans="1:11" x14ac:dyDescent="0.35">
      <c r="A2612" s="13"/>
      <c r="E2612" s="8"/>
      <c r="F2612" s="1"/>
      <c r="J2612" s="2"/>
      <c r="K2612" s="7"/>
    </row>
    <row r="2613" spans="1:11" x14ac:dyDescent="0.35">
      <c r="A2613" s="13"/>
      <c r="E2613" s="8"/>
      <c r="F2613" s="1"/>
      <c r="J2613" s="2"/>
      <c r="K2613" s="7"/>
    </row>
    <row r="2614" spans="1:11" x14ac:dyDescent="0.35">
      <c r="A2614" s="13"/>
      <c r="E2614" s="8"/>
      <c r="F2614" s="1"/>
      <c r="J2614" s="2"/>
      <c r="K2614" s="7"/>
    </row>
    <row r="2615" spans="1:11" x14ac:dyDescent="0.35">
      <c r="A2615" s="13"/>
      <c r="E2615" s="8"/>
      <c r="F2615" s="1"/>
      <c r="J2615" s="2"/>
      <c r="K2615" s="7"/>
    </row>
    <row r="2616" spans="1:11" x14ac:dyDescent="0.35">
      <c r="A2616" s="13"/>
      <c r="E2616" s="8"/>
      <c r="F2616" s="1"/>
      <c r="J2616" s="2"/>
      <c r="K2616" s="7"/>
    </row>
    <row r="2617" spans="1:11" x14ac:dyDescent="0.35">
      <c r="A2617" s="13"/>
      <c r="E2617" s="8"/>
      <c r="F2617" s="1"/>
      <c r="J2617" s="2"/>
      <c r="K2617" s="7"/>
    </row>
    <row r="2618" spans="1:11" x14ac:dyDescent="0.35">
      <c r="A2618" s="13"/>
      <c r="E2618" s="8"/>
      <c r="F2618" s="1"/>
      <c r="J2618" s="2"/>
      <c r="K2618" s="7"/>
    </row>
    <row r="2619" spans="1:11" x14ac:dyDescent="0.35">
      <c r="A2619" s="13"/>
      <c r="E2619" s="8"/>
      <c r="F2619" s="1"/>
      <c r="J2619" s="2"/>
      <c r="K2619" s="7"/>
    </row>
    <row r="2620" spans="1:11" x14ac:dyDescent="0.35">
      <c r="A2620" s="13"/>
      <c r="E2620" s="8"/>
      <c r="F2620" s="1"/>
      <c r="J2620" s="2"/>
      <c r="K2620" s="7"/>
    </row>
    <row r="2621" spans="1:11" x14ac:dyDescent="0.35">
      <c r="A2621" s="13"/>
      <c r="E2621" s="8"/>
      <c r="F2621" s="1"/>
      <c r="J2621" s="2"/>
      <c r="K2621" s="7"/>
    </row>
    <row r="2622" spans="1:11" x14ac:dyDescent="0.35">
      <c r="A2622" s="13"/>
      <c r="E2622" s="8"/>
      <c r="F2622" s="1"/>
      <c r="J2622" s="2"/>
      <c r="K2622" s="7"/>
    </row>
    <row r="2623" spans="1:11" x14ac:dyDescent="0.35">
      <c r="A2623" s="13"/>
      <c r="E2623" s="8"/>
      <c r="F2623" s="1"/>
      <c r="J2623" s="2"/>
      <c r="K2623" s="7"/>
    </row>
    <row r="2624" spans="1:11" x14ac:dyDescent="0.35">
      <c r="A2624" s="13"/>
      <c r="E2624" s="8"/>
      <c r="F2624" s="1"/>
      <c r="J2624" s="2"/>
      <c r="K2624" s="7"/>
    </row>
    <row r="2625" spans="1:11" x14ac:dyDescent="0.35">
      <c r="A2625" s="13"/>
      <c r="E2625" s="8"/>
      <c r="F2625" s="1"/>
      <c r="J2625" s="2"/>
      <c r="K2625" s="7"/>
    </row>
    <row r="2626" spans="1:11" x14ac:dyDescent="0.35">
      <c r="A2626" s="13"/>
      <c r="E2626" s="8"/>
      <c r="F2626" s="1"/>
      <c r="J2626" s="2"/>
      <c r="K2626" s="7"/>
    </row>
    <row r="2627" spans="1:11" x14ac:dyDescent="0.35">
      <c r="A2627" s="13"/>
      <c r="E2627" s="8"/>
      <c r="F2627" s="1"/>
      <c r="J2627" s="2"/>
      <c r="K2627" s="7"/>
    </row>
    <row r="2628" spans="1:11" x14ac:dyDescent="0.35">
      <c r="A2628" s="13"/>
      <c r="E2628" s="8"/>
      <c r="F2628" s="1"/>
      <c r="J2628" s="2"/>
      <c r="K2628" s="7"/>
    </row>
    <row r="2629" spans="1:11" x14ac:dyDescent="0.35">
      <c r="A2629" s="13"/>
      <c r="E2629" s="8"/>
      <c r="F2629" s="1"/>
      <c r="J2629" s="2"/>
      <c r="K2629" s="7"/>
    </row>
    <row r="2630" spans="1:11" x14ac:dyDescent="0.35">
      <c r="A2630" s="13"/>
      <c r="E2630" s="8"/>
      <c r="F2630" s="1"/>
      <c r="J2630" s="2"/>
      <c r="K2630" s="7"/>
    </row>
    <row r="2631" spans="1:11" x14ac:dyDescent="0.35">
      <c r="A2631" s="13"/>
      <c r="E2631" s="8"/>
      <c r="F2631" s="1"/>
      <c r="J2631" s="2"/>
      <c r="K2631" s="7"/>
    </row>
    <row r="2632" spans="1:11" x14ac:dyDescent="0.35">
      <c r="A2632" s="13"/>
      <c r="E2632" s="8"/>
      <c r="F2632" s="1"/>
      <c r="J2632" s="2"/>
      <c r="K2632" s="7"/>
    </row>
    <row r="2633" spans="1:11" x14ac:dyDescent="0.35">
      <c r="A2633" s="13"/>
      <c r="E2633" s="8"/>
      <c r="F2633" s="1"/>
      <c r="J2633" s="2"/>
      <c r="K2633" s="7"/>
    </row>
    <row r="2634" spans="1:11" x14ac:dyDescent="0.35">
      <c r="A2634" s="13"/>
      <c r="E2634" s="8"/>
      <c r="F2634" s="1"/>
      <c r="J2634" s="2"/>
      <c r="K2634" s="7"/>
    </row>
    <row r="2635" spans="1:11" x14ac:dyDescent="0.35">
      <c r="A2635" s="13"/>
      <c r="E2635" s="8"/>
      <c r="F2635" s="1"/>
      <c r="J2635" s="2"/>
      <c r="K2635" s="7"/>
    </row>
    <row r="2636" spans="1:11" x14ac:dyDescent="0.35">
      <c r="A2636" s="13"/>
      <c r="E2636" s="8"/>
      <c r="F2636" s="1"/>
      <c r="J2636" s="2"/>
      <c r="K2636" s="7"/>
    </row>
    <row r="2637" spans="1:11" x14ac:dyDescent="0.35">
      <c r="A2637" s="13"/>
      <c r="E2637" s="8"/>
      <c r="F2637" s="1"/>
      <c r="J2637" s="2"/>
      <c r="K2637" s="7"/>
    </row>
    <row r="2638" spans="1:11" x14ac:dyDescent="0.35">
      <c r="A2638" s="13"/>
      <c r="E2638" s="8"/>
      <c r="F2638" s="1"/>
      <c r="J2638" s="2"/>
      <c r="K2638" s="7"/>
    </row>
    <row r="2639" spans="1:11" x14ac:dyDescent="0.35">
      <c r="A2639" s="13"/>
      <c r="E2639" s="8"/>
      <c r="F2639" s="1"/>
      <c r="J2639" s="2"/>
      <c r="K2639" s="7"/>
    </row>
    <row r="2640" spans="1:11" x14ac:dyDescent="0.35">
      <c r="A2640" s="13"/>
      <c r="E2640" s="8"/>
      <c r="F2640" s="1"/>
      <c r="J2640" s="2"/>
      <c r="K2640" s="7"/>
    </row>
    <row r="2641" spans="1:11" x14ac:dyDescent="0.35">
      <c r="A2641" s="13"/>
      <c r="E2641" s="8"/>
      <c r="F2641" s="1"/>
      <c r="J2641" s="2"/>
      <c r="K2641" s="7"/>
    </row>
    <row r="2642" spans="1:11" x14ac:dyDescent="0.35">
      <c r="A2642" s="13"/>
      <c r="E2642" s="8"/>
      <c r="F2642" s="1"/>
      <c r="J2642" s="2"/>
      <c r="K2642" s="7"/>
    </row>
    <row r="2643" spans="1:11" x14ac:dyDescent="0.35">
      <c r="A2643" s="13"/>
      <c r="E2643" s="8"/>
      <c r="F2643" s="1"/>
      <c r="J2643" s="2"/>
      <c r="K2643" s="7"/>
    </row>
    <row r="2644" spans="1:11" x14ac:dyDescent="0.35">
      <c r="A2644" s="13"/>
      <c r="E2644" s="8"/>
      <c r="F2644" s="1"/>
      <c r="J2644" s="2"/>
      <c r="K2644" s="7"/>
    </row>
    <row r="2645" spans="1:11" x14ac:dyDescent="0.35">
      <c r="A2645" s="13"/>
      <c r="E2645" s="8"/>
      <c r="F2645" s="1"/>
      <c r="J2645" s="2"/>
      <c r="K2645" s="7"/>
    </row>
    <row r="2646" spans="1:11" x14ac:dyDescent="0.35">
      <c r="A2646" s="13"/>
      <c r="E2646" s="8"/>
      <c r="F2646" s="1"/>
      <c r="J2646" s="2"/>
      <c r="K2646" s="7"/>
    </row>
    <row r="2647" spans="1:11" x14ac:dyDescent="0.35">
      <c r="A2647" s="13"/>
      <c r="E2647" s="8"/>
      <c r="F2647" s="1"/>
      <c r="J2647" s="2"/>
      <c r="K2647" s="7"/>
    </row>
    <row r="2648" spans="1:11" x14ac:dyDescent="0.35">
      <c r="A2648" s="13"/>
      <c r="E2648" s="8"/>
      <c r="F2648" s="1"/>
      <c r="J2648" s="2"/>
      <c r="K2648" s="7"/>
    </row>
    <row r="2649" spans="1:11" x14ac:dyDescent="0.35">
      <c r="A2649" s="13"/>
      <c r="E2649" s="8"/>
      <c r="F2649" s="1"/>
      <c r="J2649" s="2"/>
      <c r="K2649" s="7"/>
    </row>
    <row r="2650" spans="1:11" x14ac:dyDescent="0.35">
      <c r="A2650" s="13"/>
      <c r="E2650" s="8"/>
      <c r="F2650" s="1"/>
      <c r="J2650" s="2"/>
      <c r="K2650" s="7"/>
    </row>
    <row r="2651" spans="1:11" x14ac:dyDescent="0.35">
      <c r="A2651" s="13"/>
      <c r="E2651" s="8"/>
      <c r="F2651" s="1"/>
      <c r="J2651" s="2"/>
      <c r="K2651" s="7"/>
    </row>
    <row r="2652" spans="1:11" x14ac:dyDescent="0.35">
      <c r="A2652" s="13"/>
      <c r="E2652" s="8"/>
      <c r="F2652" s="1"/>
      <c r="J2652" s="2"/>
      <c r="K2652" s="7"/>
    </row>
    <row r="2653" spans="1:11" x14ac:dyDescent="0.35">
      <c r="A2653" s="13"/>
      <c r="E2653" s="8"/>
      <c r="F2653" s="1"/>
      <c r="J2653" s="2"/>
      <c r="K2653" s="7"/>
    </row>
    <row r="2654" spans="1:11" x14ac:dyDescent="0.35">
      <c r="A2654" s="13"/>
      <c r="E2654" s="8"/>
      <c r="F2654" s="1"/>
      <c r="J2654" s="2"/>
      <c r="K2654" s="7"/>
    </row>
    <row r="2655" spans="1:11" x14ac:dyDescent="0.35">
      <c r="A2655" s="13"/>
      <c r="E2655" s="8"/>
      <c r="F2655" s="1"/>
      <c r="J2655" s="2"/>
      <c r="K2655" s="7"/>
    </row>
    <row r="2656" spans="1:11" x14ac:dyDescent="0.35">
      <c r="A2656" s="13"/>
      <c r="E2656" s="8"/>
      <c r="F2656" s="1"/>
      <c r="J2656" s="2"/>
      <c r="K2656" s="7"/>
    </row>
    <row r="2657" spans="1:11" x14ac:dyDescent="0.35">
      <c r="A2657" s="13"/>
      <c r="E2657" s="8"/>
      <c r="F2657" s="1"/>
      <c r="J2657" s="2"/>
      <c r="K2657" s="7"/>
    </row>
    <row r="2658" spans="1:11" x14ac:dyDescent="0.35">
      <c r="A2658" s="13"/>
      <c r="E2658" s="8"/>
      <c r="F2658" s="1"/>
      <c r="J2658" s="2"/>
      <c r="K2658" s="7"/>
    </row>
    <row r="2659" spans="1:11" x14ac:dyDescent="0.35">
      <c r="A2659" s="13"/>
      <c r="E2659" s="8"/>
      <c r="F2659" s="1"/>
      <c r="J2659" s="2"/>
      <c r="K2659" s="7"/>
    </row>
    <row r="2660" spans="1:11" x14ac:dyDescent="0.35">
      <c r="A2660" s="13"/>
      <c r="E2660" s="8"/>
      <c r="F2660" s="1"/>
      <c r="J2660" s="2"/>
      <c r="K2660" s="7"/>
    </row>
    <row r="2661" spans="1:11" x14ac:dyDescent="0.35">
      <c r="A2661" s="13"/>
      <c r="E2661" s="8"/>
      <c r="F2661" s="1"/>
      <c r="J2661" s="2"/>
      <c r="K2661" s="7"/>
    </row>
    <row r="2662" spans="1:11" x14ac:dyDescent="0.35">
      <c r="A2662" s="13"/>
      <c r="E2662" s="8"/>
      <c r="F2662" s="1"/>
      <c r="J2662" s="2"/>
      <c r="K2662" s="7"/>
    </row>
    <row r="2663" spans="1:11" x14ac:dyDescent="0.35">
      <c r="A2663" s="13"/>
      <c r="E2663" s="8"/>
      <c r="F2663" s="1"/>
      <c r="J2663" s="2"/>
      <c r="K2663" s="7"/>
    </row>
    <row r="2664" spans="1:11" x14ac:dyDescent="0.35">
      <c r="A2664" s="13"/>
      <c r="E2664" s="8"/>
      <c r="F2664" s="1"/>
      <c r="J2664" s="2"/>
      <c r="K2664" s="7"/>
    </row>
    <row r="2665" spans="1:11" x14ac:dyDescent="0.35">
      <c r="A2665" s="13"/>
      <c r="E2665" s="8"/>
      <c r="F2665" s="1"/>
      <c r="J2665" s="2"/>
      <c r="K2665" s="7"/>
    </row>
    <row r="2666" spans="1:11" x14ac:dyDescent="0.35">
      <c r="A2666" s="13"/>
      <c r="E2666" s="8"/>
      <c r="F2666" s="1"/>
      <c r="J2666" s="2"/>
      <c r="K2666" s="7"/>
    </row>
    <row r="2667" spans="1:11" x14ac:dyDescent="0.35">
      <c r="A2667" s="13"/>
      <c r="E2667" s="8"/>
      <c r="F2667" s="1"/>
      <c r="J2667" s="2"/>
      <c r="K2667" s="7"/>
    </row>
    <row r="2668" spans="1:11" x14ac:dyDescent="0.35">
      <c r="A2668" s="13"/>
      <c r="E2668" s="8"/>
      <c r="F2668" s="1"/>
      <c r="J2668" s="2"/>
      <c r="K2668" s="7"/>
    </row>
    <row r="2669" spans="1:11" x14ac:dyDescent="0.35">
      <c r="A2669" s="13"/>
      <c r="E2669" s="8"/>
      <c r="F2669" s="1"/>
      <c r="J2669" s="2"/>
      <c r="K2669" s="7"/>
    </row>
    <row r="2670" spans="1:11" x14ac:dyDescent="0.35">
      <c r="A2670" s="13"/>
      <c r="E2670" s="8"/>
      <c r="F2670" s="1"/>
      <c r="J2670" s="2"/>
      <c r="K2670" s="7"/>
    </row>
    <row r="2671" spans="1:11" x14ac:dyDescent="0.35">
      <c r="A2671" s="13"/>
      <c r="E2671" s="8"/>
      <c r="F2671" s="1"/>
      <c r="J2671" s="2"/>
      <c r="K2671" s="7"/>
    </row>
    <row r="2672" spans="1:11" x14ac:dyDescent="0.35">
      <c r="A2672" s="13"/>
      <c r="E2672" s="8"/>
      <c r="F2672" s="1"/>
      <c r="J2672" s="2"/>
      <c r="K2672" s="7"/>
    </row>
    <row r="2673" spans="1:11" x14ac:dyDescent="0.35">
      <c r="A2673" s="13"/>
      <c r="E2673" s="8"/>
      <c r="F2673" s="1"/>
      <c r="J2673" s="2"/>
      <c r="K2673" s="7"/>
    </row>
    <row r="2674" spans="1:11" x14ac:dyDescent="0.35">
      <c r="A2674" s="13"/>
      <c r="E2674" s="8"/>
      <c r="F2674" s="1"/>
      <c r="J2674" s="2"/>
      <c r="K2674" s="7"/>
    </row>
    <row r="2675" spans="1:11" x14ac:dyDescent="0.35">
      <c r="A2675" s="13"/>
      <c r="E2675" s="8"/>
      <c r="F2675" s="1"/>
      <c r="J2675" s="2"/>
      <c r="K2675" s="7"/>
    </row>
    <row r="2676" spans="1:11" x14ac:dyDescent="0.35">
      <c r="A2676" s="13"/>
      <c r="E2676" s="8"/>
      <c r="F2676" s="1"/>
      <c r="J2676" s="2"/>
      <c r="K2676" s="7"/>
    </row>
    <row r="2677" spans="1:11" x14ac:dyDescent="0.35">
      <c r="A2677" s="13"/>
      <c r="E2677" s="8"/>
      <c r="F2677" s="1"/>
      <c r="J2677" s="2"/>
      <c r="K2677" s="7"/>
    </row>
    <row r="2678" spans="1:11" x14ac:dyDescent="0.35">
      <c r="A2678" s="13"/>
      <c r="E2678" s="8"/>
      <c r="F2678" s="1"/>
      <c r="J2678" s="2"/>
      <c r="K2678" s="7"/>
    </row>
    <row r="2679" spans="1:11" x14ac:dyDescent="0.35">
      <c r="A2679" s="13"/>
      <c r="E2679" s="8"/>
      <c r="F2679" s="1"/>
      <c r="J2679" s="2"/>
      <c r="K2679" s="7"/>
    </row>
    <row r="2680" spans="1:11" x14ac:dyDescent="0.35">
      <c r="A2680" s="13"/>
      <c r="E2680" s="8"/>
      <c r="F2680" s="1"/>
      <c r="J2680" s="2"/>
      <c r="K2680" s="7"/>
    </row>
    <row r="2681" spans="1:11" x14ac:dyDescent="0.35">
      <c r="A2681" s="13"/>
      <c r="E2681" s="8"/>
      <c r="F2681" s="1"/>
      <c r="J2681" s="2"/>
      <c r="K2681" s="7"/>
    </row>
    <row r="2682" spans="1:11" x14ac:dyDescent="0.35">
      <c r="A2682" s="13"/>
      <c r="E2682" s="8"/>
      <c r="F2682" s="1"/>
      <c r="J2682" s="2"/>
      <c r="K2682" s="7"/>
    </row>
    <row r="2683" spans="1:11" x14ac:dyDescent="0.35">
      <c r="A2683" s="13"/>
      <c r="E2683" s="8"/>
      <c r="F2683" s="1"/>
      <c r="J2683" s="2"/>
      <c r="K2683" s="7"/>
    </row>
    <row r="2684" spans="1:11" x14ac:dyDescent="0.35">
      <c r="A2684" s="13"/>
      <c r="E2684" s="8"/>
      <c r="F2684" s="1"/>
      <c r="J2684" s="2"/>
      <c r="K2684" s="7"/>
    </row>
    <row r="2685" spans="1:11" x14ac:dyDescent="0.35">
      <c r="A2685" s="13"/>
      <c r="E2685" s="8"/>
      <c r="F2685" s="1"/>
      <c r="J2685" s="2"/>
      <c r="K2685" s="7"/>
    </row>
    <row r="2686" spans="1:11" x14ac:dyDescent="0.35">
      <c r="A2686" s="13"/>
      <c r="E2686" s="8"/>
      <c r="F2686" s="1"/>
      <c r="J2686" s="2"/>
      <c r="K2686" s="7"/>
    </row>
    <row r="2687" spans="1:11" x14ac:dyDescent="0.35">
      <c r="A2687" s="13"/>
      <c r="E2687" s="8"/>
      <c r="F2687" s="1"/>
      <c r="J2687" s="2"/>
      <c r="K2687" s="7"/>
    </row>
    <row r="2688" spans="1:11" x14ac:dyDescent="0.35">
      <c r="A2688" s="13"/>
      <c r="E2688" s="8"/>
      <c r="F2688" s="1"/>
      <c r="J2688" s="2"/>
      <c r="K2688" s="7"/>
    </row>
    <row r="2689" spans="1:11" x14ac:dyDescent="0.35">
      <c r="A2689" s="13"/>
      <c r="E2689" s="8"/>
      <c r="F2689" s="1"/>
      <c r="J2689" s="2"/>
      <c r="K2689" s="7"/>
    </row>
    <row r="2690" spans="1:11" x14ac:dyDescent="0.35">
      <c r="A2690" s="13"/>
      <c r="E2690" s="8"/>
      <c r="F2690" s="1"/>
      <c r="J2690" s="2"/>
      <c r="K2690" s="7"/>
    </row>
    <row r="2691" spans="1:11" x14ac:dyDescent="0.35">
      <c r="A2691" s="13"/>
      <c r="E2691" s="8"/>
      <c r="F2691" s="1"/>
      <c r="J2691" s="2"/>
      <c r="K2691" s="7"/>
    </row>
    <row r="2692" spans="1:11" x14ac:dyDescent="0.35">
      <c r="A2692" s="13"/>
      <c r="E2692" s="8"/>
      <c r="F2692" s="1"/>
      <c r="J2692" s="2"/>
      <c r="K2692" s="7"/>
    </row>
    <row r="2693" spans="1:11" x14ac:dyDescent="0.35">
      <c r="A2693" s="13"/>
      <c r="E2693" s="8"/>
      <c r="F2693" s="1"/>
      <c r="J2693" s="2"/>
      <c r="K2693" s="7"/>
    </row>
    <row r="2694" spans="1:11" x14ac:dyDescent="0.35">
      <c r="A2694" s="13"/>
      <c r="E2694" s="8"/>
      <c r="F2694" s="1"/>
      <c r="J2694" s="2"/>
      <c r="K2694" s="7"/>
    </row>
    <row r="2695" spans="1:11" x14ac:dyDescent="0.35">
      <c r="A2695" s="13"/>
      <c r="E2695" s="8"/>
      <c r="F2695" s="1"/>
      <c r="J2695" s="2"/>
      <c r="K2695" s="7"/>
    </row>
    <row r="2696" spans="1:11" x14ac:dyDescent="0.35">
      <c r="A2696" s="13"/>
      <c r="E2696" s="8"/>
      <c r="F2696" s="1"/>
      <c r="J2696" s="2"/>
      <c r="K2696" s="7"/>
    </row>
    <row r="2697" spans="1:11" x14ac:dyDescent="0.35">
      <c r="A2697" s="13"/>
      <c r="E2697" s="8"/>
      <c r="F2697" s="1"/>
      <c r="J2697" s="2"/>
      <c r="K2697" s="7"/>
    </row>
    <row r="2698" spans="1:11" x14ac:dyDescent="0.35">
      <c r="A2698" s="13"/>
      <c r="E2698" s="8"/>
      <c r="F2698" s="1"/>
      <c r="J2698" s="2"/>
      <c r="K2698" s="7"/>
    </row>
    <row r="2699" spans="1:11" x14ac:dyDescent="0.35">
      <c r="A2699" s="13"/>
      <c r="E2699" s="8"/>
      <c r="F2699" s="1"/>
      <c r="J2699" s="2"/>
      <c r="K2699" s="7"/>
    </row>
    <row r="2700" spans="1:11" x14ac:dyDescent="0.35">
      <c r="A2700" s="13"/>
      <c r="E2700" s="8"/>
      <c r="F2700" s="1"/>
      <c r="J2700" s="2"/>
      <c r="K2700" s="7"/>
    </row>
    <row r="2701" spans="1:11" x14ac:dyDescent="0.35">
      <c r="A2701" s="13"/>
      <c r="E2701" s="8"/>
      <c r="F2701" s="1"/>
      <c r="J2701" s="2"/>
      <c r="K2701" s="7"/>
    </row>
    <row r="2702" spans="1:11" x14ac:dyDescent="0.35">
      <c r="A2702" s="13"/>
      <c r="E2702" s="8"/>
      <c r="F2702" s="1"/>
      <c r="J2702" s="2"/>
      <c r="K2702" s="7"/>
    </row>
    <row r="2703" spans="1:11" x14ac:dyDescent="0.35">
      <c r="A2703" s="13"/>
      <c r="E2703" s="8"/>
      <c r="F2703" s="1"/>
      <c r="J2703" s="2"/>
      <c r="K2703" s="7"/>
    </row>
    <row r="2704" spans="1:11" x14ac:dyDescent="0.35">
      <c r="A2704" s="13"/>
      <c r="E2704" s="8"/>
      <c r="F2704" s="1"/>
      <c r="J2704" s="2"/>
      <c r="K2704" s="7"/>
    </row>
    <row r="2705" spans="1:11" x14ac:dyDescent="0.35">
      <c r="A2705" s="13"/>
      <c r="E2705" s="8"/>
      <c r="F2705" s="1"/>
      <c r="J2705" s="2"/>
      <c r="K2705" s="7"/>
    </row>
    <row r="2706" spans="1:11" x14ac:dyDescent="0.35">
      <c r="A2706" s="13"/>
      <c r="E2706" s="8"/>
      <c r="F2706" s="1"/>
      <c r="J2706" s="2"/>
      <c r="K2706" s="7"/>
    </row>
    <row r="2707" spans="1:11" x14ac:dyDescent="0.35">
      <c r="A2707" s="13"/>
      <c r="E2707" s="8"/>
      <c r="F2707" s="1"/>
      <c r="J2707" s="2"/>
      <c r="K2707" s="7"/>
    </row>
    <row r="2708" spans="1:11" x14ac:dyDescent="0.35">
      <c r="A2708" s="13"/>
      <c r="E2708" s="8"/>
      <c r="F2708" s="1"/>
      <c r="J2708" s="2"/>
      <c r="K2708" s="7"/>
    </row>
    <row r="2709" spans="1:11" x14ac:dyDescent="0.35">
      <c r="A2709" s="13"/>
      <c r="E2709" s="8"/>
      <c r="F2709" s="1"/>
      <c r="J2709" s="2"/>
      <c r="K2709" s="7"/>
    </row>
    <row r="2710" spans="1:11" x14ac:dyDescent="0.35">
      <c r="A2710" s="13"/>
      <c r="E2710" s="8"/>
      <c r="F2710" s="1"/>
      <c r="J2710" s="2"/>
      <c r="K2710" s="7"/>
    </row>
    <row r="2711" spans="1:11" x14ac:dyDescent="0.35">
      <c r="A2711" s="13"/>
      <c r="E2711" s="8"/>
      <c r="F2711" s="1"/>
      <c r="J2711" s="2"/>
      <c r="K2711" s="7"/>
    </row>
    <row r="2712" spans="1:11" x14ac:dyDescent="0.35">
      <c r="A2712" s="13"/>
      <c r="E2712" s="8"/>
      <c r="F2712" s="1"/>
      <c r="J2712" s="2"/>
      <c r="K2712" s="7"/>
    </row>
    <row r="2713" spans="1:11" x14ac:dyDescent="0.35">
      <c r="A2713" s="13"/>
      <c r="E2713" s="8"/>
      <c r="F2713" s="1"/>
      <c r="J2713" s="2"/>
      <c r="K2713" s="7"/>
    </row>
    <row r="2714" spans="1:11" x14ac:dyDescent="0.35">
      <c r="A2714" s="13"/>
      <c r="E2714" s="8"/>
      <c r="F2714" s="1"/>
      <c r="J2714" s="2"/>
      <c r="K2714" s="7"/>
    </row>
    <row r="2715" spans="1:11" x14ac:dyDescent="0.35">
      <c r="A2715" s="13"/>
      <c r="E2715" s="8"/>
      <c r="F2715" s="1"/>
      <c r="J2715" s="2"/>
      <c r="K2715" s="7"/>
    </row>
    <row r="2716" spans="1:11" x14ac:dyDescent="0.35">
      <c r="A2716" s="13"/>
      <c r="E2716" s="8"/>
      <c r="F2716" s="1"/>
      <c r="J2716" s="2"/>
      <c r="K2716" s="7"/>
    </row>
    <row r="2717" spans="1:11" x14ac:dyDescent="0.35">
      <c r="A2717" s="13"/>
      <c r="E2717" s="8"/>
      <c r="F2717" s="1"/>
      <c r="J2717" s="2"/>
      <c r="K2717" s="7"/>
    </row>
    <row r="2718" spans="1:11" x14ac:dyDescent="0.35">
      <c r="A2718" s="13"/>
      <c r="E2718" s="8"/>
      <c r="F2718" s="1"/>
      <c r="J2718" s="2"/>
      <c r="K2718" s="7"/>
    </row>
    <row r="2719" spans="1:11" x14ac:dyDescent="0.35">
      <c r="A2719" s="13"/>
      <c r="E2719" s="8"/>
      <c r="F2719" s="1"/>
      <c r="J2719" s="2"/>
      <c r="K2719" s="7"/>
    </row>
    <row r="2720" spans="1:11" x14ac:dyDescent="0.35">
      <c r="A2720" s="13"/>
      <c r="E2720" s="8"/>
      <c r="F2720" s="1"/>
      <c r="J2720" s="2"/>
      <c r="K2720" s="7"/>
    </row>
    <row r="2721" spans="1:11" x14ac:dyDescent="0.35">
      <c r="A2721" s="13"/>
      <c r="E2721" s="8"/>
      <c r="F2721" s="1"/>
      <c r="J2721" s="2"/>
      <c r="K2721" s="7"/>
    </row>
    <row r="2722" spans="1:11" x14ac:dyDescent="0.35">
      <c r="A2722" s="13"/>
      <c r="E2722" s="8"/>
      <c r="F2722" s="1"/>
      <c r="J2722" s="2"/>
      <c r="K2722" s="7"/>
    </row>
    <row r="2723" spans="1:11" x14ac:dyDescent="0.35">
      <c r="A2723" s="13"/>
      <c r="E2723" s="8"/>
      <c r="F2723" s="1"/>
      <c r="J2723" s="2"/>
      <c r="K2723" s="7"/>
    </row>
    <row r="2724" spans="1:11" x14ac:dyDescent="0.35">
      <c r="A2724" s="13"/>
      <c r="E2724" s="8"/>
      <c r="F2724" s="1"/>
      <c r="J2724" s="2"/>
      <c r="K2724" s="7"/>
    </row>
    <row r="2725" spans="1:11" x14ac:dyDescent="0.35">
      <c r="A2725" s="13"/>
      <c r="E2725" s="8"/>
      <c r="F2725" s="1"/>
      <c r="J2725" s="2"/>
      <c r="K2725" s="7"/>
    </row>
    <row r="2726" spans="1:11" x14ac:dyDescent="0.35">
      <c r="A2726" s="13"/>
      <c r="E2726" s="8"/>
      <c r="F2726" s="1"/>
      <c r="J2726" s="2"/>
      <c r="K2726" s="7"/>
    </row>
    <row r="2727" spans="1:11" x14ac:dyDescent="0.35">
      <c r="A2727" s="13"/>
      <c r="E2727" s="8"/>
      <c r="F2727" s="1"/>
      <c r="J2727" s="2"/>
      <c r="K2727" s="7"/>
    </row>
    <row r="2728" spans="1:11" x14ac:dyDescent="0.35">
      <c r="A2728" s="13"/>
      <c r="E2728" s="8"/>
      <c r="F2728" s="1"/>
      <c r="J2728" s="2"/>
      <c r="K2728" s="7"/>
    </row>
    <row r="2729" spans="1:11" x14ac:dyDescent="0.35">
      <c r="A2729" s="13"/>
      <c r="E2729" s="8"/>
      <c r="F2729" s="1"/>
      <c r="J2729" s="2"/>
      <c r="K2729" s="7"/>
    </row>
    <row r="2730" spans="1:11" x14ac:dyDescent="0.35">
      <c r="A2730" s="13"/>
      <c r="E2730" s="8"/>
      <c r="F2730" s="1"/>
      <c r="J2730" s="2"/>
      <c r="K2730" s="7"/>
    </row>
    <row r="2731" spans="1:11" x14ac:dyDescent="0.35">
      <c r="A2731" s="13"/>
      <c r="E2731" s="8"/>
      <c r="F2731" s="1"/>
      <c r="J2731" s="2"/>
      <c r="K2731" s="7"/>
    </row>
    <row r="2732" spans="1:11" x14ac:dyDescent="0.35">
      <c r="A2732" s="13"/>
      <c r="E2732" s="8"/>
      <c r="F2732" s="1"/>
      <c r="J2732" s="2"/>
      <c r="K2732" s="7"/>
    </row>
    <row r="2733" spans="1:11" x14ac:dyDescent="0.35">
      <c r="A2733" s="13"/>
      <c r="E2733" s="8"/>
      <c r="F2733" s="1"/>
      <c r="J2733" s="2"/>
      <c r="K2733" s="7"/>
    </row>
    <row r="2734" spans="1:11" x14ac:dyDescent="0.35">
      <c r="A2734" s="13"/>
      <c r="E2734" s="8"/>
      <c r="F2734" s="1"/>
      <c r="J2734" s="2"/>
      <c r="K2734" s="7"/>
    </row>
    <row r="2735" spans="1:11" x14ac:dyDescent="0.35">
      <c r="A2735" s="13"/>
      <c r="E2735" s="8"/>
      <c r="F2735" s="1"/>
      <c r="J2735" s="2"/>
      <c r="K2735" s="7"/>
    </row>
    <row r="2736" spans="1:11" x14ac:dyDescent="0.35">
      <c r="A2736" s="13"/>
      <c r="E2736" s="8"/>
      <c r="F2736" s="1"/>
      <c r="J2736" s="2"/>
      <c r="K2736" s="7"/>
    </row>
    <row r="2737" spans="1:11" x14ac:dyDescent="0.35">
      <c r="A2737" s="13"/>
      <c r="E2737" s="8"/>
      <c r="F2737" s="1"/>
      <c r="J2737" s="2"/>
      <c r="K2737" s="7"/>
    </row>
    <row r="2738" spans="1:11" x14ac:dyDescent="0.35">
      <c r="A2738" s="13"/>
      <c r="E2738" s="8"/>
      <c r="F2738" s="1"/>
      <c r="J2738" s="2"/>
      <c r="K2738" s="7"/>
    </row>
    <row r="2739" spans="1:11" x14ac:dyDescent="0.35">
      <c r="A2739" s="13"/>
      <c r="E2739" s="8"/>
      <c r="F2739" s="1"/>
      <c r="J2739" s="2"/>
      <c r="K2739" s="7"/>
    </row>
    <row r="2740" spans="1:11" x14ac:dyDescent="0.35">
      <c r="A2740" s="13"/>
      <c r="E2740" s="8"/>
      <c r="F2740" s="1"/>
      <c r="J2740" s="2"/>
      <c r="K2740" s="7"/>
    </row>
    <row r="2741" spans="1:11" x14ac:dyDescent="0.35">
      <c r="A2741" s="13"/>
      <c r="E2741" s="8"/>
      <c r="F2741" s="1"/>
      <c r="J2741" s="2"/>
      <c r="K2741" s="7"/>
    </row>
    <row r="2742" spans="1:11" x14ac:dyDescent="0.35">
      <c r="A2742" s="13"/>
      <c r="E2742" s="8"/>
      <c r="F2742" s="1"/>
      <c r="J2742" s="2"/>
      <c r="K2742" s="7"/>
    </row>
    <row r="2743" spans="1:11" x14ac:dyDescent="0.35">
      <c r="A2743" s="13"/>
      <c r="E2743" s="8"/>
      <c r="F2743" s="1"/>
      <c r="J2743" s="2"/>
      <c r="K2743" s="7"/>
    </row>
    <row r="2744" spans="1:11" x14ac:dyDescent="0.35">
      <c r="A2744" s="13"/>
      <c r="E2744" s="8"/>
      <c r="F2744" s="1"/>
      <c r="J2744" s="2"/>
      <c r="K2744" s="7"/>
    </row>
    <row r="2745" spans="1:11" x14ac:dyDescent="0.35">
      <c r="A2745" s="13"/>
      <c r="E2745" s="8"/>
      <c r="F2745" s="1"/>
      <c r="J2745" s="2"/>
      <c r="K2745" s="7"/>
    </row>
    <row r="2746" spans="1:11" x14ac:dyDescent="0.35">
      <c r="A2746" s="13"/>
      <c r="E2746" s="8"/>
      <c r="F2746" s="1"/>
      <c r="J2746" s="2"/>
      <c r="K2746" s="7"/>
    </row>
    <row r="2747" spans="1:11" x14ac:dyDescent="0.35">
      <c r="A2747" s="13"/>
      <c r="E2747" s="8"/>
      <c r="F2747" s="1"/>
      <c r="J2747" s="2"/>
      <c r="K2747" s="7"/>
    </row>
    <row r="2748" spans="1:11" x14ac:dyDescent="0.35">
      <c r="A2748" s="13"/>
      <c r="E2748" s="8"/>
      <c r="F2748" s="1"/>
      <c r="J2748" s="2"/>
      <c r="K2748" s="7"/>
    </row>
    <row r="2749" spans="1:11" x14ac:dyDescent="0.35">
      <c r="A2749" s="13"/>
      <c r="E2749" s="8"/>
      <c r="F2749" s="1"/>
      <c r="J2749" s="2"/>
      <c r="K2749" s="7"/>
    </row>
    <row r="2750" spans="1:11" x14ac:dyDescent="0.35">
      <c r="A2750" s="13"/>
      <c r="E2750" s="8"/>
      <c r="F2750" s="1"/>
      <c r="J2750" s="2"/>
      <c r="K2750" s="7"/>
    </row>
    <row r="2751" spans="1:11" x14ac:dyDescent="0.35">
      <c r="A2751" s="13"/>
      <c r="E2751" s="8"/>
      <c r="F2751" s="1"/>
      <c r="J2751" s="2"/>
      <c r="K2751" s="7"/>
    </row>
    <row r="2752" spans="1:11" x14ac:dyDescent="0.35">
      <c r="A2752" s="13"/>
      <c r="E2752" s="8"/>
      <c r="F2752" s="1"/>
      <c r="J2752" s="2"/>
      <c r="K2752" s="7"/>
    </row>
    <row r="2753" spans="1:11" x14ac:dyDescent="0.35">
      <c r="A2753" s="13"/>
      <c r="E2753" s="8"/>
      <c r="F2753" s="1"/>
      <c r="J2753" s="2"/>
      <c r="K2753" s="7"/>
    </row>
    <row r="2754" spans="1:11" x14ac:dyDescent="0.35">
      <c r="A2754" s="13"/>
      <c r="E2754" s="8"/>
      <c r="F2754" s="1"/>
      <c r="J2754" s="2"/>
      <c r="K2754" s="7"/>
    </row>
    <row r="2755" spans="1:11" x14ac:dyDescent="0.35">
      <c r="A2755" s="13"/>
      <c r="E2755" s="8"/>
      <c r="F2755" s="1"/>
      <c r="J2755" s="2"/>
      <c r="K2755" s="7"/>
    </row>
    <row r="2756" spans="1:11" x14ac:dyDescent="0.35">
      <c r="A2756" s="13"/>
      <c r="E2756" s="8"/>
      <c r="F2756" s="1"/>
      <c r="J2756" s="2"/>
      <c r="K2756" s="7"/>
    </row>
    <row r="2757" spans="1:11" x14ac:dyDescent="0.35">
      <c r="A2757" s="13"/>
      <c r="E2757" s="8"/>
      <c r="F2757" s="1"/>
      <c r="J2757" s="2"/>
      <c r="K2757" s="7"/>
    </row>
    <row r="2758" spans="1:11" x14ac:dyDescent="0.35">
      <c r="A2758" s="13"/>
      <c r="E2758" s="8"/>
      <c r="F2758" s="1"/>
      <c r="J2758" s="2"/>
      <c r="K2758" s="7"/>
    </row>
    <row r="2759" spans="1:11" x14ac:dyDescent="0.35">
      <c r="A2759" s="13"/>
      <c r="E2759" s="8"/>
      <c r="F2759" s="1"/>
      <c r="J2759" s="2"/>
      <c r="K2759" s="7"/>
    </row>
    <row r="2760" spans="1:11" x14ac:dyDescent="0.35">
      <c r="A2760" s="13"/>
      <c r="E2760" s="8"/>
      <c r="F2760" s="1"/>
      <c r="J2760" s="2"/>
      <c r="K2760" s="7"/>
    </row>
    <row r="2761" spans="1:11" x14ac:dyDescent="0.35">
      <c r="A2761" s="13"/>
      <c r="E2761" s="8"/>
      <c r="F2761" s="1"/>
      <c r="J2761" s="2"/>
      <c r="K2761" s="7"/>
    </row>
    <row r="2762" spans="1:11" x14ac:dyDescent="0.35">
      <c r="A2762" s="13"/>
      <c r="E2762" s="8"/>
      <c r="F2762" s="1"/>
      <c r="J2762" s="2"/>
      <c r="K2762" s="7"/>
    </row>
    <row r="2763" spans="1:11" x14ac:dyDescent="0.35">
      <c r="A2763" s="13"/>
      <c r="E2763" s="8"/>
      <c r="F2763" s="1"/>
      <c r="J2763" s="2"/>
      <c r="K2763" s="7"/>
    </row>
    <row r="2764" spans="1:11" x14ac:dyDescent="0.35">
      <c r="A2764" s="13"/>
      <c r="E2764" s="8"/>
      <c r="F2764" s="1"/>
      <c r="J2764" s="2"/>
      <c r="K2764" s="7"/>
    </row>
    <row r="2765" spans="1:11" x14ac:dyDescent="0.35">
      <c r="A2765" s="13"/>
      <c r="E2765" s="8"/>
      <c r="F2765" s="1"/>
      <c r="J2765" s="2"/>
      <c r="K2765" s="7"/>
    </row>
    <row r="2766" spans="1:11" x14ac:dyDescent="0.35">
      <c r="A2766" s="13"/>
      <c r="E2766" s="8"/>
      <c r="F2766" s="1"/>
      <c r="J2766" s="2"/>
      <c r="K2766" s="7"/>
    </row>
    <row r="2767" spans="1:11" x14ac:dyDescent="0.35">
      <c r="A2767" s="13"/>
      <c r="E2767" s="8"/>
      <c r="F2767" s="1"/>
      <c r="J2767" s="2"/>
      <c r="K2767" s="7"/>
    </row>
    <row r="2768" spans="1:11" x14ac:dyDescent="0.35">
      <c r="A2768" s="13"/>
      <c r="E2768" s="8"/>
      <c r="F2768" s="1"/>
      <c r="J2768" s="2"/>
      <c r="K2768" s="7"/>
    </row>
    <row r="2769" spans="1:11" x14ac:dyDescent="0.35">
      <c r="A2769" s="13"/>
      <c r="E2769" s="8"/>
      <c r="F2769" s="1"/>
      <c r="J2769" s="2"/>
      <c r="K2769" s="7"/>
    </row>
    <row r="2770" spans="1:11" x14ac:dyDescent="0.35">
      <c r="A2770" s="13"/>
      <c r="E2770" s="8"/>
      <c r="F2770" s="1"/>
      <c r="J2770" s="2"/>
      <c r="K2770" s="7"/>
    </row>
    <row r="2771" spans="1:11" x14ac:dyDescent="0.35">
      <c r="A2771" s="13"/>
      <c r="E2771" s="8"/>
      <c r="F2771" s="1"/>
      <c r="J2771" s="2"/>
      <c r="K2771" s="7"/>
    </row>
    <row r="2772" spans="1:11" x14ac:dyDescent="0.35">
      <c r="A2772" s="13"/>
      <c r="E2772" s="8"/>
      <c r="F2772" s="1"/>
      <c r="J2772" s="2"/>
      <c r="K2772" s="7"/>
    </row>
    <row r="2773" spans="1:11" x14ac:dyDescent="0.35">
      <c r="A2773" s="13"/>
      <c r="E2773" s="8"/>
      <c r="F2773" s="1"/>
      <c r="J2773" s="2"/>
      <c r="K2773" s="7"/>
    </row>
    <row r="2774" spans="1:11" x14ac:dyDescent="0.35">
      <c r="A2774" s="13"/>
      <c r="E2774" s="8"/>
      <c r="F2774" s="1"/>
      <c r="J2774" s="2"/>
      <c r="K2774" s="7"/>
    </row>
    <row r="2775" spans="1:11" x14ac:dyDescent="0.35">
      <c r="A2775" s="13"/>
      <c r="E2775" s="8"/>
      <c r="F2775" s="1"/>
      <c r="J2775" s="2"/>
      <c r="K2775" s="7"/>
    </row>
    <row r="2776" spans="1:11" x14ac:dyDescent="0.35">
      <c r="A2776" s="13"/>
      <c r="E2776" s="8"/>
      <c r="F2776" s="1"/>
      <c r="J2776" s="2"/>
      <c r="K2776" s="7"/>
    </row>
    <row r="2777" spans="1:11" x14ac:dyDescent="0.35">
      <c r="A2777" s="13"/>
      <c r="E2777" s="8"/>
      <c r="F2777" s="1"/>
      <c r="J2777" s="2"/>
      <c r="K2777" s="7"/>
    </row>
    <row r="2778" spans="1:11" x14ac:dyDescent="0.35">
      <c r="A2778" s="13"/>
      <c r="E2778" s="8"/>
      <c r="F2778" s="1"/>
      <c r="J2778" s="2"/>
      <c r="K2778" s="7"/>
    </row>
    <row r="2779" spans="1:11" x14ac:dyDescent="0.35">
      <c r="A2779" s="13"/>
      <c r="E2779" s="8"/>
      <c r="F2779" s="1"/>
      <c r="J2779" s="2"/>
      <c r="K2779" s="7"/>
    </row>
    <row r="2780" spans="1:11" x14ac:dyDescent="0.35">
      <c r="A2780" s="13"/>
      <c r="E2780" s="8"/>
      <c r="F2780" s="1"/>
      <c r="J2780" s="2"/>
      <c r="K2780" s="7"/>
    </row>
    <row r="2781" spans="1:11" x14ac:dyDescent="0.35">
      <c r="A2781" s="13"/>
      <c r="E2781" s="8"/>
      <c r="F2781" s="1"/>
      <c r="J2781" s="2"/>
      <c r="K2781" s="7"/>
    </row>
    <row r="2782" spans="1:11" x14ac:dyDescent="0.35">
      <c r="A2782" s="13"/>
      <c r="E2782" s="8"/>
      <c r="F2782" s="1"/>
      <c r="J2782" s="2"/>
      <c r="K2782" s="7"/>
    </row>
    <row r="2783" spans="1:11" x14ac:dyDescent="0.35">
      <c r="A2783" s="13"/>
      <c r="E2783" s="8"/>
      <c r="F2783" s="1"/>
      <c r="J2783" s="2"/>
      <c r="K2783" s="7"/>
    </row>
    <row r="2784" spans="1:11" x14ac:dyDescent="0.35">
      <c r="A2784" s="13"/>
      <c r="E2784" s="8"/>
      <c r="F2784" s="1"/>
      <c r="J2784" s="2"/>
      <c r="K2784" s="7"/>
    </row>
    <row r="2785" spans="1:11" x14ac:dyDescent="0.35">
      <c r="A2785" s="13"/>
      <c r="E2785" s="8"/>
      <c r="F2785" s="1"/>
      <c r="J2785" s="2"/>
      <c r="K2785" s="7"/>
    </row>
    <row r="2786" spans="1:11" x14ac:dyDescent="0.35">
      <c r="A2786" s="13"/>
      <c r="E2786" s="8"/>
      <c r="F2786" s="1"/>
      <c r="J2786" s="2"/>
      <c r="K2786" s="7"/>
    </row>
    <row r="2787" spans="1:11" x14ac:dyDescent="0.35">
      <c r="A2787" s="13"/>
      <c r="E2787" s="8"/>
      <c r="F2787" s="1"/>
      <c r="J2787" s="2"/>
      <c r="K2787" s="7"/>
    </row>
    <row r="2788" spans="1:11" x14ac:dyDescent="0.35">
      <c r="A2788" s="13"/>
      <c r="E2788" s="8"/>
      <c r="F2788" s="1"/>
      <c r="J2788" s="2"/>
      <c r="K2788" s="7"/>
    </row>
    <row r="2789" spans="1:11" x14ac:dyDescent="0.35">
      <c r="A2789" s="13"/>
      <c r="E2789" s="8"/>
      <c r="F2789" s="1"/>
      <c r="J2789" s="2"/>
      <c r="K2789" s="7"/>
    </row>
    <row r="2790" spans="1:11" x14ac:dyDescent="0.35">
      <c r="A2790" s="13"/>
      <c r="E2790" s="8"/>
      <c r="F2790" s="1"/>
      <c r="J2790" s="2"/>
      <c r="K2790" s="7"/>
    </row>
    <row r="2791" spans="1:11" x14ac:dyDescent="0.35">
      <c r="A2791" s="13"/>
      <c r="E2791" s="8"/>
      <c r="F2791" s="1"/>
      <c r="J2791" s="2"/>
      <c r="K2791" s="7"/>
    </row>
    <row r="2792" spans="1:11" x14ac:dyDescent="0.35">
      <c r="A2792" s="13"/>
      <c r="E2792" s="8"/>
      <c r="F2792" s="1"/>
      <c r="J2792" s="2"/>
      <c r="K2792" s="7"/>
    </row>
    <row r="2793" spans="1:11" x14ac:dyDescent="0.35">
      <c r="A2793" s="13"/>
      <c r="E2793" s="8"/>
      <c r="F2793" s="1"/>
      <c r="J2793" s="2"/>
      <c r="K2793" s="7"/>
    </row>
    <row r="2794" spans="1:11" x14ac:dyDescent="0.35">
      <c r="A2794" s="13"/>
      <c r="E2794" s="8"/>
      <c r="F2794" s="1"/>
      <c r="J2794" s="2"/>
      <c r="K2794" s="7"/>
    </row>
    <row r="2795" spans="1:11" x14ac:dyDescent="0.35">
      <c r="A2795" s="13"/>
      <c r="E2795" s="8"/>
      <c r="F2795" s="1"/>
      <c r="J2795" s="2"/>
      <c r="K2795" s="7"/>
    </row>
    <row r="2796" spans="1:11" x14ac:dyDescent="0.35">
      <c r="A2796" s="13"/>
      <c r="E2796" s="8"/>
      <c r="F2796" s="1"/>
      <c r="J2796" s="2"/>
      <c r="K2796" s="7"/>
    </row>
    <row r="2797" spans="1:11" x14ac:dyDescent="0.35">
      <c r="A2797" s="13"/>
      <c r="E2797" s="8"/>
      <c r="F2797" s="1"/>
      <c r="J2797" s="2"/>
      <c r="K2797" s="7"/>
    </row>
    <row r="2798" spans="1:11" x14ac:dyDescent="0.35">
      <c r="A2798" s="13"/>
      <c r="E2798" s="8"/>
      <c r="F2798" s="1"/>
      <c r="J2798" s="2"/>
      <c r="K2798" s="7"/>
    </row>
    <row r="2799" spans="1:11" x14ac:dyDescent="0.35">
      <c r="A2799" s="13"/>
      <c r="E2799" s="8"/>
      <c r="F2799" s="1"/>
      <c r="J2799" s="2"/>
      <c r="K2799" s="7"/>
    </row>
    <row r="2800" spans="1:11" x14ac:dyDescent="0.35">
      <c r="A2800" s="13"/>
      <c r="E2800" s="8"/>
      <c r="F2800" s="1"/>
      <c r="J2800" s="2"/>
      <c r="K2800" s="7"/>
    </row>
    <row r="2801" spans="1:11" x14ac:dyDescent="0.35">
      <c r="A2801" s="13"/>
      <c r="E2801" s="8"/>
      <c r="F2801" s="1"/>
      <c r="J2801" s="2"/>
      <c r="K2801" s="7"/>
    </row>
    <row r="2802" spans="1:11" x14ac:dyDescent="0.35">
      <c r="A2802" s="13"/>
      <c r="E2802" s="8"/>
      <c r="F2802" s="1"/>
      <c r="J2802" s="2"/>
      <c r="K2802" s="7"/>
    </row>
    <row r="2803" spans="1:11" x14ac:dyDescent="0.35">
      <c r="A2803" s="13"/>
      <c r="E2803" s="8"/>
      <c r="F2803" s="1"/>
      <c r="J2803" s="2"/>
      <c r="K2803" s="7"/>
    </row>
    <row r="2804" spans="1:11" x14ac:dyDescent="0.35">
      <c r="A2804" s="13"/>
      <c r="E2804" s="8"/>
      <c r="F2804" s="1"/>
      <c r="J2804" s="2"/>
      <c r="K2804" s="7"/>
    </row>
    <row r="2805" spans="1:11" x14ac:dyDescent="0.35">
      <c r="A2805" s="13"/>
      <c r="E2805" s="8"/>
      <c r="F2805" s="1"/>
      <c r="J2805" s="2"/>
      <c r="K2805" s="7"/>
    </row>
    <row r="2806" spans="1:11" x14ac:dyDescent="0.35">
      <c r="A2806" s="13"/>
      <c r="E2806" s="8"/>
      <c r="F2806" s="1"/>
      <c r="J2806" s="2"/>
      <c r="K2806" s="7"/>
    </row>
    <row r="2807" spans="1:11" x14ac:dyDescent="0.35">
      <c r="A2807" s="13"/>
      <c r="E2807" s="8"/>
      <c r="F2807" s="1"/>
      <c r="J2807" s="2"/>
      <c r="K2807" s="7"/>
    </row>
    <row r="2808" spans="1:11" x14ac:dyDescent="0.35">
      <c r="A2808" s="13"/>
      <c r="E2808" s="8"/>
      <c r="F2808" s="1"/>
      <c r="J2808" s="2"/>
      <c r="K2808" s="7"/>
    </row>
    <row r="2809" spans="1:11" x14ac:dyDescent="0.35">
      <c r="A2809" s="13"/>
      <c r="E2809" s="8"/>
      <c r="F2809" s="1"/>
      <c r="J2809" s="2"/>
      <c r="K2809" s="7"/>
    </row>
    <row r="2810" spans="1:11" x14ac:dyDescent="0.35">
      <c r="A2810" s="13"/>
      <c r="E2810" s="8"/>
      <c r="F2810" s="1"/>
      <c r="J2810" s="2"/>
      <c r="K2810" s="7"/>
    </row>
    <row r="2811" spans="1:11" x14ac:dyDescent="0.35">
      <c r="A2811" s="13"/>
      <c r="E2811" s="8"/>
      <c r="F2811" s="1"/>
      <c r="J2811" s="2"/>
      <c r="K2811" s="7"/>
    </row>
    <row r="2812" spans="1:11" x14ac:dyDescent="0.35">
      <c r="A2812" s="13"/>
      <c r="E2812" s="8"/>
      <c r="F2812" s="1"/>
      <c r="J2812" s="2"/>
      <c r="K2812" s="7"/>
    </row>
    <row r="2813" spans="1:11" x14ac:dyDescent="0.35">
      <c r="A2813" s="13"/>
      <c r="E2813" s="8"/>
      <c r="F2813" s="1"/>
      <c r="J2813" s="2"/>
      <c r="K2813" s="7"/>
    </row>
    <row r="2814" spans="1:11" x14ac:dyDescent="0.35">
      <c r="A2814" s="13"/>
      <c r="E2814" s="8"/>
      <c r="F2814" s="1"/>
      <c r="J2814" s="2"/>
      <c r="K2814" s="7"/>
    </row>
    <row r="2815" spans="1:11" x14ac:dyDescent="0.35">
      <c r="A2815" s="13"/>
      <c r="E2815" s="8"/>
      <c r="F2815" s="1"/>
      <c r="J2815" s="2"/>
      <c r="K2815" s="7"/>
    </row>
    <row r="2816" spans="1:11" x14ac:dyDescent="0.35">
      <c r="A2816" s="13"/>
      <c r="E2816" s="8"/>
      <c r="F2816" s="1"/>
      <c r="J2816" s="2"/>
      <c r="K2816" s="7"/>
    </row>
    <row r="2817" spans="1:11" x14ac:dyDescent="0.35">
      <c r="A2817" s="13"/>
      <c r="E2817" s="8"/>
      <c r="F2817" s="1"/>
      <c r="J2817" s="2"/>
      <c r="K2817" s="7"/>
    </row>
    <row r="2818" spans="1:11" x14ac:dyDescent="0.35">
      <c r="A2818" s="13"/>
      <c r="E2818" s="8"/>
      <c r="F2818" s="1"/>
      <c r="J2818" s="2"/>
      <c r="K2818" s="7"/>
    </row>
    <row r="2819" spans="1:11" x14ac:dyDescent="0.35">
      <c r="A2819" s="13"/>
      <c r="E2819" s="8"/>
      <c r="F2819" s="1"/>
      <c r="J2819" s="2"/>
      <c r="K2819" s="7"/>
    </row>
    <row r="2820" spans="1:11" x14ac:dyDescent="0.35">
      <c r="A2820" s="13"/>
      <c r="E2820" s="8"/>
      <c r="F2820" s="1"/>
      <c r="J2820" s="2"/>
      <c r="K2820" s="7"/>
    </row>
    <row r="2821" spans="1:11" x14ac:dyDescent="0.35">
      <c r="A2821" s="13"/>
      <c r="E2821" s="8"/>
      <c r="F2821" s="1"/>
      <c r="J2821" s="2"/>
      <c r="K2821" s="7"/>
    </row>
    <row r="2822" spans="1:11" x14ac:dyDescent="0.35">
      <c r="A2822" s="13"/>
      <c r="E2822" s="8"/>
      <c r="F2822" s="1"/>
      <c r="J2822" s="2"/>
      <c r="K2822" s="7"/>
    </row>
    <row r="2823" spans="1:11" x14ac:dyDescent="0.35">
      <c r="A2823" s="13"/>
      <c r="E2823" s="8"/>
      <c r="F2823" s="1"/>
      <c r="J2823" s="2"/>
      <c r="K2823" s="7"/>
    </row>
    <row r="2824" spans="1:11" x14ac:dyDescent="0.35">
      <c r="A2824" s="13"/>
      <c r="E2824" s="8"/>
      <c r="F2824" s="1"/>
      <c r="J2824" s="2"/>
      <c r="K2824" s="7"/>
    </row>
    <row r="2825" spans="1:11" x14ac:dyDescent="0.35">
      <c r="A2825" s="13"/>
      <c r="E2825" s="8"/>
      <c r="F2825" s="1"/>
      <c r="J2825" s="2"/>
      <c r="K2825" s="7"/>
    </row>
    <row r="2826" spans="1:11" x14ac:dyDescent="0.35">
      <c r="A2826" s="13"/>
      <c r="E2826" s="8"/>
      <c r="F2826" s="1"/>
      <c r="J2826" s="2"/>
      <c r="K2826" s="7"/>
    </row>
    <row r="2827" spans="1:11" x14ac:dyDescent="0.35">
      <c r="A2827" s="13"/>
      <c r="E2827" s="8"/>
      <c r="F2827" s="1"/>
      <c r="J2827" s="2"/>
      <c r="K2827" s="7"/>
    </row>
    <row r="2828" spans="1:11" x14ac:dyDescent="0.35">
      <c r="A2828" s="13"/>
      <c r="E2828" s="8"/>
      <c r="F2828" s="1"/>
      <c r="J2828" s="2"/>
      <c r="K2828" s="7"/>
    </row>
    <row r="2829" spans="1:11" x14ac:dyDescent="0.35">
      <c r="A2829" s="13"/>
      <c r="E2829" s="8"/>
      <c r="F2829" s="1"/>
      <c r="J2829" s="2"/>
      <c r="K2829" s="7"/>
    </row>
    <row r="2830" spans="1:11" x14ac:dyDescent="0.35">
      <c r="A2830" s="13"/>
      <c r="E2830" s="8"/>
      <c r="F2830" s="1"/>
      <c r="J2830" s="2"/>
      <c r="K2830" s="7"/>
    </row>
    <row r="2831" spans="1:11" x14ac:dyDescent="0.35">
      <c r="A2831" s="13"/>
      <c r="E2831" s="8"/>
      <c r="F2831" s="1"/>
      <c r="J2831" s="2"/>
      <c r="K2831" s="7"/>
    </row>
    <row r="2832" spans="1:11" x14ac:dyDescent="0.35">
      <c r="A2832" s="13"/>
      <c r="E2832" s="8"/>
      <c r="F2832" s="1"/>
      <c r="J2832" s="2"/>
      <c r="K2832" s="7"/>
    </row>
    <row r="2833" spans="1:11" x14ac:dyDescent="0.35">
      <c r="A2833" s="13"/>
      <c r="E2833" s="8"/>
      <c r="F2833" s="1"/>
      <c r="J2833" s="2"/>
      <c r="K2833" s="7"/>
    </row>
    <row r="2834" spans="1:11" x14ac:dyDescent="0.35">
      <c r="A2834" s="13"/>
      <c r="E2834" s="8"/>
      <c r="F2834" s="1"/>
      <c r="J2834" s="2"/>
      <c r="K2834" s="7"/>
    </row>
    <row r="2835" spans="1:11" x14ac:dyDescent="0.35">
      <c r="A2835" s="13"/>
      <c r="E2835" s="8"/>
      <c r="F2835" s="1"/>
      <c r="J2835" s="2"/>
      <c r="K2835" s="7"/>
    </row>
    <row r="2836" spans="1:11" x14ac:dyDescent="0.35">
      <c r="A2836" s="13"/>
      <c r="E2836" s="8"/>
      <c r="F2836" s="1"/>
      <c r="J2836" s="2"/>
      <c r="K2836" s="7"/>
    </row>
    <row r="2837" spans="1:11" x14ac:dyDescent="0.35">
      <c r="A2837" s="13"/>
      <c r="E2837" s="8"/>
      <c r="F2837" s="1"/>
      <c r="J2837" s="2"/>
      <c r="K2837" s="7"/>
    </row>
    <row r="2838" spans="1:11" x14ac:dyDescent="0.35">
      <c r="A2838" s="13"/>
      <c r="E2838" s="8"/>
      <c r="F2838" s="1"/>
      <c r="J2838" s="2"/>
      <c r="K2838" s="7"/>
    </row>
    <row r="2839" spans="1:11" x14ac:dyDescent="0.35">
      <c r="A2839" s="13"/>
      <c r="E2839" s="8"/>
      <c r="F2839" s="1"/>
      <c r="J2839" s="2"/>
      <c r="K2839" s="7"/>
    </row>
    <row r="2840" spans="1:11" x14ac:dyDescent="0.35">
      <c r="A2840" s="13"/>
      <c r="E2840" s="8"/>
      <c r="F2840" s="1"/>
      <c r="J2840" s="2"/>
      <c r="K2840" s="7"/>
    </row>
    <row r="2841" spans="1:11" x14ac:dyDescent="0.35">
      <c r="A2841" s="13"/>
      <c r="E2841" s="8"/>
      <c r="F2841" s="1"/>
      <c r="J2841" s="2"/>
      <c r="K2841" s="7"/>
    </row>
    <row r="2842" spans="1:11" x14ac:dyDescent="0.35">
      <c r="A2842" s="13"/>
      <c r="E2842" s="8"/>
      <c r="F2842" s="1"/>
      <c r="J2842" s="2"/>
      <c r="K2842" s="7"/>
    </row>
    <row r="2843" spans="1:11" x14ac:dyDescent="0.35">
      <c r="A2843" s="13"/>
      <c r="E2843" s="8"/>
      <c r="F2843" s="1"/>
      <c r="J2843" s="2"/>
      <c r="K2843" s="7"/>
    </row>
    <row r="2844" spans="1:11" x14ac:dyDescent="0.35">
      <c r="A2844" s="13"/>
      <c r="E2844" s="8"/>
      <c r="F2844" s="1"/>
      <c r="J2844" s="2"/>
      <c r="K2844" s="7"/>
    </row>
    <row r="2845" spans="1:11" x14ac:dyDescent="0.35">
      <c r="A2845" s="13"/>
      <c r="E2845" s="8"/>
      <c r="F2845" s="1"/>
      <c r="J2845" s="2"/>
      <c r="K2845" s="7"/>
    </row>
    <row r="2846" spans="1:11" x14ac:dyDescent="0.35">
      <c r="A2846" s="13"/>
      <c r="E2846" s="8"/>
      <c r="F2846" s="1"/>
      <c r="J2846" s="2"/>
      <c r="K2846" s="7"/>
    </row>
    <row r="2847" spans="1:11" x14ac:dyDescent="0.35">
      <c r="A2847" s="13"/>
      <c r="E2847" s="8"/>
      <c r="F2847" s="1"/>
      <c r="J2847" s="2"/>
      <c r="K2847" s="7"/>
    </row>
    <row r="2848" spans="1:11" x14ac:dyDescent="0.35">
      <c r="A2848" s="13"/>
      <c r="E2848" s="8"/>
      <c r="F2848" s="1"/>
      <c r="J2848" s="2"/>
      <c r="K2848" s="7"/>
    </row>
    <row r="2849" spans="1:11" x14ac:dyDescent="0.35">
      <c r="A2849" s="13"/>
      <c r="E2849" s="8"/>
      <c r="F2849" s="1"/>
      <c r="J2849" s="2"/>
      <c r="K2849" s="7"/>
    </row>
    <row r="2850" spans="1:11" x14ac:dyDescent="0.35">
      <c r="A2850" s="13"/>
      <c r="E2850" s="8"/>
      <c r="F2850" s="1"/>
      <c r="J2850" s="2"/>
      <c r="K2850" s="7"/>
    </row>
    <row r="2851" spans="1:11" x14ac:dyDescent="0.35">
      <c r="A2851" s="13"/>
      <c r="E2851" s="8"/>
      <c r="F2851" s="1"/>
      <c r="J2851" s="2"/>
      <c r="K2851" s="7"/>
    </row>
    <row r="2852" spans="1:11" x14ac:dyDescent="0.35">
      <c r="A2852" s="13"/>
      <c r="E2852" s="8"/>
      <c r="F2852" s="1"/>
      <c r="J2852" s="2"/>
      <c r="K2852" s="7"/>
    </row>
    <row r="2853" spans="1:11" x14ac:dyDescent="0.35">
      <c r="A2853" s="13"/>
      <c r="E2853" s="8"/>
      <c r="F2853" s="1"/>
      <c r="J2853" s="2"/>
      <c r="K2853" s="7"/>
    </row>
    <row r="2854" spans="1:11" x14ac:dyDescent="0.35">
      <c r="A2854" s="13"/>
      <c r="E2854" s="8"/>
      <c r="F2854" s="1"/>
      <c r="J2854" s="2"/>
      <c r="K2854" s="7"/>
    </row>
    <row r="2855" spans="1:11" x14ac:dyDescent="0.35">
      <c r="A2855" s="13"/>
      <c r="E2855" s="8"/>
      <c r="F2855" s="1"/>
      <c r="J2855" s="2"/>
      <c r="K2855" s="7"/>
    </row>
    <row r="2856" spans="1:11" x14ac:dyDescent="0.35">
      <c r="A2856" s="13"/>
      <c r="E2856" s="8"/>
      <c r="F2856" s="1"/>
      <c r="J2856" s="2"/>
      <c r="K2856" s="7"/>
    </row>
    <row r="2857" spans="1:11" x14ac:dyDescent="0.35">
      <c r="A2857" s="13"/>
      <c r="E2857" s="8"/>
      <c r="F2857" s="1"/>
      <c r="J2857" s="2"/>
      <c r="K2857" s="7"/>
    </row>
    <row r="2858" spans="1:11" x14ac:dyDescent="0.35">
      <c r="A2858" s="13"/>
      <c r="E2858" s="8"/>
      <c r="F2858" s="1"/>
      <c r="J2858" s="2"/>
      <c r="K2858" s="7"/>
    </row>
    <row r="2859" spans="1:11" x14ac:dyDescent="0.35">
      <c r="A2859" s="13"/>
      <c r="E2859" s="8"/>
      <c r="F2859" s="1"/>
      <c r="J2859" s="2"/>
      <c r="K2859" s="7"/>
    </row>
    <row r="2860" spans="1:11" x14ac:dyDescent="0.35">
      <c r="A2860" s="13"/>
      <c r="E2860" s="8"/>
      <c r="F2860" s="1"/>
      <c r="J2860" s="2"/>
      <c r="K2860" s="7"/>
    </row>
    <row r="2861" spans="1:11" x14ac:dyDescent="0.35">
      <c r="A2861" s="13"/>
      <c r="E2861" s="8"/>
      <c r="F2861" s="1"/>
      <c r="J2861" s="2"/>
      <c r="K2861" s="7"/>
    </row>
    <row r="2862" spans="1:11" x14ac:dyDescent="0.35">
      <c r="A2862" s="13"/>
      <c r="E2862" s="8"/>
      <c r="F2862" s="1"/>
      <c r="J2862" s="2"/>
      <c r="K2862" s="7"/>
    </row>
    <row r="2863" spans="1:11" x14ac:dyDescent="0.35">
      <c r="A2863" s="13"/>
      <c r="E2863" s="8"/>
      <c r="F2863" s="1"/>
      <c r="J2863" s="2"/>
      <c r="K2863" s="7"/>
    </row>
    <row r="2864" spans="1:11" x14ac:dyDescent="0.35">
      <c r="A2864" s="13"/>
      <c r="E2864" s="8"/>
      <c r="F2864" s="1"/>
      <c r="J2864" s="2"/>
      <c r="K2864" s="7"/>
    </row>
    <row r="2865" spans="1:11" x14ac:dyDescent="0.35">
      <c r="A2865" s="13"/>
      <c r="E2865" s="8"/>
      <c r="F2865" s="1"/>
      <c r="J2865" s="2"/>
      <c r="K2865" s="7"/>
    </row>
    <row r="2866" spans="1:11" x14ac:dyDescent="0.35">
      <c r="A2866" s="13"/>
      <c r="E2866" s="8"/>
      <c r="F2866" s="1"/>
      <c r="J2866" s="2"/>
      <c r="K2866" s="7"/>
    </row>
    <row r="2867" spans="1:11" x14ac:dyDescent="0.35">
      <c r="A2867" s="13"/>
      <c r="E2867" s="8"/>
      <c r="F2867" s="1"/>
      <c r="J2867" s="2"/>
      <c r="K2867" s="7"/>
    </row>
    <row r="2868" spans="1:11" x14ac:dyDescent="0.35">
      <c r="A2868" s="13"/>
      <c r="E2868" s="8"/>
      <c r="F2868" s="1"/>
      <c r="J2868" s="2"/>
      <c r="K2868" s="7"/>
    </row>
    <row r="2869" spans="1:11" x14ac:dyDescent="0.35">
      <c r="A2869" s="13"/>
      <c r="E2869" s="8"/>
      <c r="F2869" s="1"/>
      <c r="J2869" s="2"/>
      <c r="K2869" s="7"/>
    </row>
    <row r="2870" spans="1:11" x14ac:dyDescent="0.35">
      <c r="A2870" s="13"/>
      <c r="E2870" s="8"/>
      <c r="F2870" s="1"/>
      <c r="J2870" s="2"/>
      <c r="K2870" s="7"/>
    </row>
    <row r="2871" spans="1:11" x14ac:dyDescent="0.35">
      <c r="A2871" s="13"/>
      <c r="E2871" s="8"/>
      <c r="F2871" s="1"/>
      <c r="J2871" s="2"/>
      <c r="K2871" s="7"/>
    </row>
    <row r="2872" spans="1:11" x14ac:dyDescent="0.35">
      <c r="A2872" s="13"/>
      <c r="E2872" s="8"/>
      <c r="F2872" s="1"/>
      <c r="J2872" s="2"/>
      <c r="K2872" s="7"/>
    </row>
    <row r="2873" spans="1:11" x14ac:dyDescent="0.35">
      <c r="A2873" s="13"/>
      <c r="E2873" s="8"/>
      <c r="F2873" s="1"/>
      <c r="J2873" s="2"/>
      <c r="K2873" s="7"/>
    </row>
    <row r="2874" spans="1:11" x14ac:dyDescent="0.35">
      <c r="A2874" s="13"/>
      <c r="E2874" s="8"/>
      <c r="F2874" s="1"/>
      <c r="J2874" s="2"/>
      <c r="K2874" s="7"/>
    </row>
    <row r="2875" spans="1:11" x14ac:dyDescent="0.35">
      <c r="A2875" s="13"/>
      <c r="E2875" s="8"/>
      <c r="F2875" s="1"/>
      <c r="J2875" s="2"/>
      <c r="K2875" s="7"/>
    </row>
    <row r="2876" spans="1:11" x14ac:dyDescent="0.35">
      <c r="A2876" s="13"/>
      <c r="E2876" s="8"/>
      <c r="F2876" s="1"/>
      <c r="J2876" s="2"/>
      <c r="K2876" s="7"/>
    </row>
    <row r="2877" spans="1:11" x14ac:dyDescent="0.35">
      <c r="A2877" s="13"/>
      <c r="E2877" s="8"/>
      <c r="F2877" s="1"/>
      <c r="J2877" s="2"/>
      <c r="K2877" s="7"/>
    </row>
    <row r="2878" spans="1:11" x14ac:dyDescent="0.35">
      <c r="A2878" s="13"/>
      <c r="E2878" s="8"/>
      <c r="F2878" s="1"/>
      <c r="J2878" s="2"/>
      <c r="K2878" s="7"/>
    </row>
    <row r="2879" spans="1:11" x14ac:dyDescent="0.35">
      <c r="A2879" s="13"/>
      <c r="E2879" s="8"/>
      <c r="F2879" s="1"/>
      <c r="J2879" s="2"/>
      <c r="K2879" s="7"/>
    </row>
    <row r="2880" spans="1:11" x14ac:dyDescent="0.35">
      <c r="A2880" s="13"/>
      <c r="E2880" s="8"/>
      <c r="F2880" s="1"/>
      <c r="J2880" s="2"/>
      <c r="K2880" s="7"/>
    </row>
    <row r="2881" spans="1:11" x14ac:dyDescent="0.35">
      <c r="A2881" s="13"/>
      <c r="E2881" s="8"/>
      <c r="F2881" s="1"/>
      <c r="J2881" s="2"/>
      <c r="K2881" s="7"/>
    </row>
    <row r="2882" spans="1:11" x14ac:dyDescent="0.35">
      <c r="A2882" s="13"/>
      <c r="E2882" s="8"/>
      <c r="F2882" s="1"/>
      <c r="J2882" s="2"/>
      <c r="K2882" s="7"/>
    </row>
    <row r="2883" spans="1:11" x14ac:dyDescent="0.35">
      <c r="A2883" s="13"/>
      <c r="E2883" s="8"/>
      <c r="F2883" s="1"/>
      <c r="J2883" s="2"/>
      <c r="K2883" s="7"/>
    </row>
    <row r="2884" spans="1:11" x14ac:dyDescent="0.35">
      <c r="A2884" s="13"/>
      <c r="E2884" s="8"/>
      <c r="F2884" s="1"/>
      <c r="J2884" s="2"/>
      <c r="K2884" s="7"/>
    </row>
    <row r="2885" spans="1:11" x14ac:dyDescent="0.35">
      <c r="A2885" s="13"/>
      <c r="E2885" s="8"/>
      <c r="F2885" s="1"/>
      <c r="J2885" s="2"/>
      <c r="K2885" s="7"/>
    </row>
    <row r="2886" spans="1:11" x14ac:dyDescent="0.35">
      <c r="A2886" s="13"/>
      <c r="E2886" s="8"/>
      <c r="F2886" s="1"/>
      <c r="J2886" s="2"/>
      <c r="K2886" s="7"/>
    </row>
    <row r="2887" spans="1:11" x14ac:dyDescent="0.35">
      <c r="A2887" s="13"/>
      <c r="E2887" s="8"/>
      <c r="F2887" s="1"/>
      <c r="J2887" s="2"/>
      <c r="K2887" s="7"/>
    </row>
    <row r="2888" spans="1:11" x14ac:dyDescent="0.35">
      <c r="A2888" s="13"/>
      <c r="E2888" s="8"/>
      <c r="F2888" s="1"/>
      <c r="J2888" s="2"/>
      <c r="K2888" s="7"/>
    </row>
    <row r="2889" spans="1:11" x14ac:dyDescent="0.35">
      <c r="A2889" s="13"/>
      <c r="E2889" s="8"/>
      <c r="F2889" s="1"/>
      <c r="J2889" s="2"/>
      <c r="K2889" s="7"/>
    </row>
    <row r="2890" spans="1:11" x14ac:dyDescent="0.35">
      <c r="A2890" s="13"/>
      <c r="E2890" s="8"/>
      <c r="F2890" s="1"/>
      <c r="J2890" s="2"/>
      <c r="K2890" s="7"/>
    </row>
    <row r="2891" spans="1:11" x14ac:dyDescent="0.35">
      <c r="A2891" s="13"/>
      <c r="E2891" s="8"/>
      <c r="F2891" s="1"/>
      <c r="J2891" s="2"/>
      <c r="K2891" s="7"/>
    </row>
    <row r="2892" spans="1:11" x14ac:dyDescent="0.35">
      <c r="A2892" s="13"/>
      <c r="E2892" s="8"/>
      <c r="F2892" s="1"/>
      <c r="J2892" s="2"/>
      <c r="K2892" s="7"/>
    </row>
    <row r="2893" spans="1:11" x14ac:dyDescent="0.35">
      <c r="A2893" s="13"/>
      <c r="E2893" s="8"/>
      <c r="F2893" s="1"/>
      <c r="J2893" s="2"/>
      <c r="K2893" s="7"/>
    </row>
    <row r="2894" spans="1:11" x14ac:dyDescent="0.35">
      <c r="A2894" s="13"/>
      <c r="E2894" s="8"/>
      <c r="F2894" s="1"/>
      <c r="J2894" s="2"/>
      <c r="K2894" s="7"/>
    </row>
    <row r="2895" spans="1:11" x14ac:dyDescent="0.35">
      <c r="A2895" s="13"/>
      <c r="E2895" s="8"/>
      <c r="F2895" s="1"/>
      <c r="J2895" s="2"/>
      <c r="K2895" s="7"/>
    </row>
    <row r="2896" spans="1:11" x14ac:dyDescent="0.35">
      <c r="A2896" s="13"/>
      <c r="E2896" s="8"/>
      <c r="F2896" s="1"/>
      <c r="J2896" s="2"/>
      <c r="K2896" s="7"/>
    </row>
    <row r="2897" spans="1:11" x14ac:dyDescent="0.35">
      <c r="A2897" s="13"/>
      <c r="E2897" s="8"/>
      <c r="F2897" s="1"/>
      <c r="J2897" s="2"/>
      <c r="K2897" s="7"/>
    </row>
    <row r="2898" spans="1:11" x14ac:dyDescent="0.35">
      <c r="A2898" s="13"/>
      <c r="E2898" s="8"/>
      <c r="F2898" s="1"/>
      <c r="J2898" s="2"/>
      <c r="K2898" s="7"/>
    </row>
    <row r="2899" spans="1:11" x14ac:dyDescent="0.35">
      <c r="A2899" s="13"/>
      <c r="E2899" s="8"/>
      <c r="F2899" s="1"/>
      <c r="J2899" s="2"/>
      <c r="K2899" s="7"/>
    </row>
    <row r="2900" spans="1:11" x14ac:dyDescent="0.35">
      <c r="A2900" s="13"/>
      <c r="E2900" s="8"/>
      <c r="F2900" s="1"/>
      <c r="J2900" s="2"/>
      <c r="K2900" s="7"/>
    </row>
    <row r="2901" spans="1:11" x14ac:dyDescent="0.35">
      <c r="A2901" s="13"/>
      <c r="E2901" s="8"/>
      <c r="F2901" s="1"/>
      <c r="J2901" s="2"/>
      <c r="K2901" s="7"/>
    </row>
    <row r="2902" spans="1:11" x14ac:dyDescent="0.35">
      <c r="A2902" s="13"/>
      <c r="E2902" s="8"/>
      <c r="F2902" s="1"/>
      <c r="J2902" s="2"/>
      <c r="K2902" s="7"/>
    </row>
    <row r="2903" spans="1:11" x14ac:dyDescent="0.35">
      <c r="A2903" s="13"/>
      <c r="E2903" s="8"/>
      <c r="F2903" s="1"/>
      <c r="J2903" s="2"/>
      <c r="K2903" s="7"/>
    </row>
    <row r="2904" spans="1:11" x14ac:dyDescent="0.35">
      <c r="A2904" s="13"/>
      <c r="E2904" s="8"/>
      <c r="F2904" s="1"/>
      <c r="J2904" s="2"/>
      <c r="K2904" s="7"/>
    </row>
    <row r="2905" spans="1:11" x14ac:dyDescent="0.35">
      <c r="A2905" s="13"/>
      <c r="E2905" s="8"/>
      <c r="F2905" s="1"/>
      <c r="J2905" s="2"/>
      <c r="K2905" s="7"/>
    </row>
    <row r="2906" spans="1:11" x14ac:dyDescent="0.35">
      <c r="A2906" s="13"/>
      <c r="E2906" s="8"/>
      <c r="F2906" s="1"/>
      <c r="J2906" s="2"/>
      <c r="K2906" s="7"/>
    </row>
    <row r="2907" spans="1:11" x14ac:dyDescent="0.35">
      <c r="A2907" s="13"/>
      <c r="E2907" s="8"/>
      <c r="F2907" s="1"/>
      <c r="J2907" s="2"/>
      <c r="K2907" s="7"/>
    </row>
    <row r="2908" spans="1:11" x14ac:dyDescent="0.35">
      <c r="A2908" s="13"/>
      <c r="E2908" s="8"/>
      <c r="F2908" s="1"/>
      <c r="J2908" s="2"/>
      <c r="K2908" s="7"/>
    </row>
    <row r="2909" spans="1:11" x14ac:dyDescent="0.35">
      <c r="A2909" s="13"/>
      <c r="E2909" s="8"/>
      <c r="F2909" s="1"/>
      <c r="J2909" s="2"/>
      <c r="K2909" s="7"/>
    </row>
    <row r="2910" spans="1:11" x14ac:dyDescent="0.35">
      <c r="A2910" s="13"/>
      <c r="E2910" s="8"/>
      <c r="F2910" s="1"/>
      <c r="J2910" s="2"/>
      <c r="K2910" s="7"/>
    </row>
    <row r="2911" spans="1:11" x14ac:dyDescent="0.35">
      <c r="A2911" s="13"/>
      <c r="E2911" s="8"/>
      <c r="F2911" s="1"/>
      <c r="J2911" s="2"/>
      <c r="K2911" s="7"/>
    </row>
    <row r="2912" spans="1:11" x14ac:dyDescent="0.35">
      <c r="A2912" s="13"/>
      <c r="E2912" s="8"/>
      <c r="F2912" s="1"/>
      <c r="J2912" s="2"/>
      <c r="K2912" s="7"/>
    </row>
    <row r="2913" spans="1:11" x14ac:dyDescent="0.35">
      <c r="A2913" s="13"/>
      <c r="E2913" s="8"/>
      <c r="F2913" s="1"/>
      <c r="J2913" s="2"/>
      <c r="K2913" s="7"/>
    </row>
    <row r="2914" spans="1:11" x14ac:dyDescent="0.35">
      <c r="A2914" s="13"/>
      <c r="E2914" s="8"/>
      <c r="F2914" s="1"/>
      <c r="J2914" s="2"/>
      <c r="K2914" s="7"/>
    </row>
    <row r="2915" spans="1:11" x14ac:dyDescent="0.35">
      <c r="A2915" s="13"/>
      <c r="E2915" s="8"/>
      <c r="F2915" s="1"/>
      <c r="J2915" s="2"/>
      <c r="K2915" s="7"/>
    </row>
    <row r="2916" spans="1:11" x14ac:dyDescent="0.35">
      <c r="A2916" s="13"/>
      <c r="E2916" s="8"/>
      <c r="F2916" s="1"/>
      <c r="J2916" s="2"/>
      <c r="K2916" s="7"/>
    </row>
    <row r="2917" spans="1:11" x14ac:dyDescent="0.35">
      <c r="A2917" s="13"/>
      <c r="E2917" s="8"/>
      <c r="F2917" s="1"/>
      <c r="J2917" s="2"/>
      <c r="K2917" s="7"/>
    </row>
    <row r="2918" spans="1:11" x14ac:dyDescent="0.35">
      <c r="A2918" s="13"/>
      <c r="E2918" s="8"/>
      <c r="F2918" s="1"/>
      <c r="J2918" s="2"/>
      <c r="K2918" s="7"/>
    </row>
    <row r="2919" spans="1:11" x14ac:dyDescent="0.35">
      <c r="A2919" s="13"/>
      <c r="E2919" s="8"/>
      <c r="F2919" s="1"/>
      <c r="J2919" s="2"/>
      <c r="K2919" s="7"/>
    </row>
    <row r="2920" spans="1:11" x14ac:dyDescent="0.35">
      <c r="A2920" s="13"/>
      <c r="E2920" s="8"/>
      <c r="F2920" s="1"/>
      <c r="J2920" s="2"/>
      <c r="K2920" s="7"/>
    </row>
    <row r="2921" spans="1:11" x14ac:dyDescent="0.35">
      <c r="A2921" s="13"/>
      <c r="E2921" s="8"/>
      <c r="F2921" s="1"/>
      <c r="J2921" s="2"/>
      <c r="K2921" s="7"/>
    </row>
    <row r="2922" spans="1:11" x14ac:dyDescent="0.35">
      <c r="A2922" s="13"/>
      <c r="E2922" s="8"/>
      <c r="F2922" s="1"/>
      <c r="J2922" s="2"/>
      <c r="K2922" s="7"/>
    </row>
    <row r="2923" spans="1:11" x14ac:dyDescent="0.35">
      <c r="A2923" s="13"/>
      <c r="E2923" s="8"/>
      <c r="F2923" s="1"/>
      <c r="J2923" s="2"/>
      <c r="K2923" s="7"/>
    </row>
    <row r="2924" spans="1:11" x14ac:dyDescent="0.35">
      <c r="A2924" s="13"/>
      <c r="E2924" s="8"/>
      <c r="F2924" s="1"/>
      <c r="J2924" s="2"/>
      <c r="K2924" s="7"/>
    </row>
    <row r="2925" spans="1:11" x14ac:dyDescent="0.35">
      <c r="A2925" s="13"/>
      <c r="E2925" s="8"/>
      <c r="F2925" s="1"/>
      <c r="J2925" s="2"/>
      <c r="K2925" s="7"/>
    </row>
    <row r="2926" spans="1:11" x14ac:dyDescent="0.35">
      <c r="A2926" s="13"/>
      <c r="E2926" s="8"/>
      <c r="F2926" s="1"/>
      <c r="J2926" s="2"/>
      <c r="K2926" s="7"/>
    </row>
    <row r="2927" spans="1:11" x14ac:dyDescent="0.35">
      <c r="A2927" s="13"/>
      <c r="E2927" s="8"/>
      <c r="F2927" s="1"/>
      <c r="J2927" s="2"/>
      <c r="K2927" s="7"/>
    </row>
    <row r="2928" spans="1:11" x14ac:dyDescent="0.35">
      <c r="A2928" s="13"/>
      <c r="E2928" s="8"/>
      <c r="F2928" s="1"/>
      <c r="J2928" s="2"/>
      <c r="K2928" s="7"/>
    </row>
    <row r="2929" spans="1:11" x14ac:dyDescent="0.35">
      <c r="A2929" s="13"/>
      <c r="E2929" s="8"/>
      <c r="F2929" s="1"/>
      <c r="J2929" s="2"/>
      <c r="K2929" s="7"/>
    </row>
    <row r="2930" spans="1:11" x14ac:dyDescent="0.35">
      <c r="A2930" s="13"/>
      <c r="E2930" s="8"/>
      <c r="F2930" s="1"/>
      <c r="J2930" s="2"/>
      <c r="K2930" s="7"/>
    </row>
    <row r="2931" spans="1:11" x14ac:dyDescent="0.35">
      <c r="A2931" s="13"/>
      <c r="E2931" s="8"/>
      <c r="F2931" s="1"/>
      <c r="J2931" s="2"/>
      <c r="K2931" s="7"/>
    </row>
    <row r="2932" spans="1:11" x14ac:dyDescent="0.35">
      <c r="A2932" s="13"/>
      <c r="E2932" s="8"/>
      <c r="F2932" s="1"/>
      <c r="J2932" s="2"/>
      <c r="K2932" s="7"/>
    </row>
    <row r="2933" spans="1:11" x14ac:dyDescent="0.35">
      <c r="A2933" s="13"/>
      <c r="E2933" s="8"/>
      <c r="F2933" s="1"/>
      <c r="J2933" s="2"/>
      <c r="K2933" s="7"/>
    </row>
    <row r="2934" spans="1:11" x14ac:dyDescent="0.35">
      <c r="A2934" s="13"/>
      <c r="E2934" s="8"/>
      <c r="F2934" s="1"/>
      <c r="J2934" s="2"/>
      <c r="K2934" s="7"/>
    </row>
    <row r="2935" spans="1:11" x14ac:dyDescent="0.35">
      <c r="A2935" s="13"/>
      <c r="E2935" s="8"/>
      <c r="F2935" s="1"/>
      <c r="J2935" s="2"/>
      <c r="K2935" s="7"/>
    </row>
    <row r="2936" spans="1:11" x14ac:dyDescent="0.35">
      <c r="A2936" s="13"/>
      <c r="E2936" s="8"/>
      <c r="F2936" s="1"/>
      <c r="J2936" s="2"/>
      <c r="K2936" s="7"/>
    </row>
    <row r="2937" spans="1:11" x14ac:dyDescent="0.35">
      <c r="A2937" s="13"/>
      <c r="E2937" s="8"/>
      <c r="F2937" s="1"/>
      <c r="J2937" s="2"/>
      <c r="K2937" s="7"/>
    </row>
    <row r="2938" spans="1:11" x14ac:dyDescent="0.35">
      <c r="A2938" s="13"/>
      <c r="E2938" s="8"/>
      <c r="F2938" s="1"/>
      <c r="J2938" s="2"/>
      <c r="K2938" s="7"/>
    </row>
    <row r="2939" spans="1:11" x14ac:dyDescent="0.35">
      <c r="A2939" s="13"/>
      <c r="E2939" s="8"/>
      <c r="F2939" s="1"/>
      <c r="J2939" s="2"/>
      <c r="K2939" s="7"/>
    </row>
    <row r="2940" spans="1:11" x14ac:dyDescent="0.35">
      <c r="A2940" s="13"/>
      <c r="E2940" s="8"/>
      <c r="F2940" s="1"/>
      <c r="J2940" s="2"/>
      <c r="K2940" s="7"/>
    </row>
    <row r="2941" spans="1:11" x14ac:dyDescent="0.35">
      <c r="A2941" s="13"/>
      <c r="E2941" s="8"/>
      <c r="F2941" s="1"/>
      <c r="J2941" s="2"/>
      <c r="K2941" s="7"/>
    </row>
    <row r="2942" spans="1:11" x14ac:dyDescent="0.35">
      <c r="A2942" s="13"/>
      <c r="E2942" s="8"/>
      <c r="F2942" s="1"/>
      <c r="J2942" s="2"/>
      <c r="K2942" s="7"/>
    </row>
    <row r="2943" spans="1:11" x14ac:dyDescent="0.35">
      <c r="A2943" s="13"/>
      <c r="E2943" s="8"/>
      <c r="F2943" s="1"/>
      <c r="J2943" s="2"/>
      <c r="K2943" s="7"/>
    </row>
    <row r="2944" spans="1:11" x14ac:dyDescent="0.35">
      <c r="A2944" s="13"/>
      <c r="E2944" s="8"/>
      <c r="F2944" s="1"/>
      <c r="J2944" s="2"/>
      <c r="K2944" s="7"/>
    </row>
    <row r="2945" spans="1:11" x14ac:dyDescent="0.35">
      <c r="A2945" s="13"/>
      <c r="E2945" s="8"/>
      <c r="F2945" s="1"/>
      <c r="J2945" s="2"/>
      <c r="K2945" s="7"/>
    </row>
    <row r="2946" spans="1:11" x14ac:dyDescent="0.35">
      <c r="A2946" s="13"/>
      <c r="E2946" s="8"/>
      <c r="F2946" s="1"/>
      <c r="J2946" s="2"/>
      <c r="K2946" s="7"/>
    </row>
    <row r="2947" spans="1:11" x14ac:dyDescent="0.35">
      <c r="A2947" s="13"/>
      <c r="E2947" s="8"/>
      <c r="F2947" s="1"/>
      <c r="J2947" s="2"/>
      <c r="K2947" s="7"/>
    </row>
    <row r="2948" spans="1:11" x14ac:dyDescent="0.35">
      <c r="A2948" s="13"/>
      <c r="E2948" s="8"/>
      <c r="F2948" s="1"/>
      <c r="J2948" s="2"/>
      <c r="K2948" s="7"/>
    </row>
    <row r="2949" spans="1:11" x14ac:dyDescent="0.35">
      <c r="A2949" s="13"/>
      <c r="E2949" s="8"/>
      <c r="F2949" s="1"/>
      <c r="J2949" s="2"/>
      <c r="K2949" s="7"/>
    </row>
    <row r="2950" spans="1:11" x14ac:dyDescent="0.35">
      <c r="A2950" s="13"/>
      <c r="E2950" s="8"/>
      <c r="F2950" s="1"/>
      <c r="J2950" s="2"/>
      <c r="K2950" s="7"/>
    </row>
    <row r="2951" spans="1:11" x14ac:dyDescent="0.35">
      <c r="A2951" s="13"/>
      <c r="E2951" s="8"/>
      <c r="F2951" s="1"/>
      <c r="J2951" s="2"/>
      <c r="K2951" s="7"/>
    </row>
    <row r="2952" spans="1:11" x14ac:dyDescent="0.35">
      <c r="A2952" s="13"/>
      <c r="E2952" s="8"/>
      <c r="F2952" s="1"/>
      <c r="J2952" s="2"/>
      <c r="K2952" s="7"/>
    </row>
    <row r="2953" spans="1:11" x14ac:dyDescent="0.35">
      <c r="A2953" s="13"/>
      <c r="E2953" s="8"/>
      <c r="F2953" s="1"/>
      <c r="J2953" s="2"/>
      <c r="K2953" s="7"/>
    </row>
    <row r="2954" spans="1:11" x14ac:dyDescent="0.35">
      <c r="A2954" s="13"/>
      <c r="E2954" s="8"/>
      <c r="F2954" s="1"/>
      <c r="J2954" s="2"/>
      <c r="K2954" s="7"/>
    </row>
    <row r="2955" spans="1:11" x14ac:dyDescent="0.35">
      <c r="A2955" s="13"/>
      <c r="E2955" s="8"/>
      <c r="F2955" s="1"/>
      <c r="J2955" s="2"/>
      <c r="K2955" s="7"/>
    </row>
    <row r="2956" spans="1:11" x14ac:dyDescent="0.35">
      <c r="A2956" s="13"/>
      <c r="E2956" s="8"/>
      <c r="F2956" s="1"/>
      <c r="J2956" s="2"/>
      <c r="K2956" s="7"/>
    </row>
    <row r="2957" spans="1:11" x14ac:dyDescent="0.35">
      <c r="A2957" s="13"/>
      <c r="E2957" s="8"/>
      <c r="F2957" s="1"/>
      <c r="J2957" s="2"/>
      <c r="K2957" s="7"/>
    </row>
    <row r="2958" spans="1:11" x14ac:dyDescent="0.35">
      <c r="A2958" s="13"/>
      <c r="E2958" s="8"/>
      <c r="F2958" s="1"/>
      <c r="J2958" s="2"/>
      <c r="K2958" s="7"/>
    </row>
    <row r="2959" spans="1:11" x14ac:dyDescent="0.35">
      <c r="A2959" s="13"/>
      <c r="E2959" s="8"/>
      <c r="F2959" s="1"/>
      <c r="J2959" s="2"/>
      <c r="K2959" s="7"/>
    </row>
    <row r="2960" spans="1:11" x14ac:dyDescent="0.35">
      <c r="A2960" s="13"/>
      <c r="E2960" s="8"/>
      <c r="F2960" s="1"/>
      <c r="J2960" s="2"/>
      <c r="K2960" s="7"/>
    </row>
    <row r="2961" spans="1:11" x14ac:dyDescent="0.35">
      <c r="A2961" s="13"/>
      <c r="E2961" s="8"/>
      <c r="F2961" s="1"/>
      <c r="J2961" s="2"/>
      <c r="K2961" s="7"/>
    </row>
    <row r="2962" spans="1:11" x14ac:dyDescent="0.35">
      <c r="A2962" s="13"/>
      <c r="E2962" s="8"/>
      <c r="F2962" s="1"/>
      <c r="J2962" s="2"/>
      <c r="K2962" s="7"/>
    </row>
    <row r="2963" spans="1:11" x14ac:dyDescent="0.35">
      <c r="A2963" s="13"/>
      <c r="E2963" s="8"/>
      <c r="F2963" s="1"/>
      <c r="J2963" s="2"/>
      <c r="K2963" s="7"/>
    </row>
    <row r="2964" spans="1:11" x14ac:dyDescent="0.35">
      <c r="A2964" s="13"/>
      <c r="E2964" s="8"/>
      <c r="F2964" s="1"/>
      <c r="J2964" s="2"/>
      <c r="K2964" s="7"/>
    </row>
    <row r="2965" spans="1:11" x14ac:dyDescent="0.35">
      <c r="A2965" s="13"/>
      <c r="E2965" s="8"/>
      <c r="F2965" s="1"/>
      <c r="J2965" s="2"/>
      <c r="K2965" s="7"/>
    </row>
    <row r="2966" spans="1:11" x14ac:dyDescent="0.35">
      <c r="A2966" s="13"/>
      <c r="E2966" s="8"/>
      <c r="F2966" s="1"/>
      <c r="J2966" s="2"/>
      <c r="K2966" s="7"/>
    </row>
    <row r="2967" spans="1:11" x14ac:dyDescent="0.35">
      <c r="A2967" s="13"/>
      <c r="E2967" s="8"/>
      <c r="F2967" s="1"/>
      <c r="J2967" s="2"/>
      <c r="K2967" s="7"/>
    </row>
    <row r="2968" spans="1:11" x14ac:dyDescent="0.35">
      <c r="A2968" s="13"/>
      <c r="E2968" s="8"/>
      <c r="F2968" s="1"/>
      <c r="J2968" s="2"/>
      <c r="K2968" s="7"/>
    </row>
    <row r="2969" spans="1:11" x14ac:dyDescent="0.35">
      <c r="A2969" s="13"/>
      <c r="E2969" s="8"/>
      <c r="F2969" s="1"/>
      <c r="J2969" s="2"/>
      <c r="K2969" s="7"/>
    </row>
    <row r="2970" spans="1:11" x14ac:dyDescent="0.35">
      <c r="A2970" s="13"/>
      <c r="E2970" s="8"/>
      <c r="F2970" s="1"/>
      <c r="J2970" s="2"/>
      <c r="K2970" s="7"/>
    </row>
    <row r="2971" spans="1:11" x14ac:dyDescent="0.35">
      <c r="A2971" s="13"/>
      <c r="E2971" s="8"/>
      <c r="F2971" s="1"/>
      <c r="J2971" s="2"/>
      <c r="K2971" s="7"/>
    </row>
    <row r="2972" spans="1:11" x14ac:dyDescent="0.35">
      <c r="A2972" s="13"/>
      <c r="E2972" s="8"/>
      <c r="F2972" s="1"/>
      <c r="J2972" s="2"/>
      <c r="K2972" s="7"/>
    </row>
    <row r="2973" spans="1:11" x14ac:dyDescent="0.35">
      <c r="A2973" s="13"/>
      <c r="E2973" s="8"/>
      <c r="F2973" s="1"/>
      <c r="J2973" s="2"/>
      <c r="K2973" s="7"/>
    </row>
    <row r="2974" spans="1:11" x14ac:dyDescent="0.35">
      <c r="A2974" s="13"/>
      <c r="E2974" s="8"/>
      <c r="F2974" s="1"/>
      <c r="J2974" s="2"/>
      <c r="K2974" s="7"/>
    </row>
    <row r="2975" spans="1:11" x14ac:dyDescent="0.35">
      <c r="A2975" s="13"/>
      <c r="E2975" s="8"/>
      <c r="F2975" s="1"/>
      <c r="J2975" s="2"/>
      <c r="K2975" s="7"/>
    </row>
    <row r="2976" spans="1:11" x14ac:dyDescent="0.35">
      <c r="A2976" s="13"/>
      <c r="E2976" s="8"/>
      <c r="F2976" s="1"/>
      <c r="J2976" s="2"/>
      <c r="K2976" s="7"/>
    </row>
    <row r="2977" spans="1:11" x14ac:dyDescent="0.35">
      <c r="A2977" s="13"/>
      <c r="E2977" s="8"/>
      <c r="F2977" s="1"/>
      <c r="J2977" s="2"/>
      <c r="K2977" s="7"/>
    </row>
    <row r="2978" spans="1:11" x14ac:dyDescent="0.35">
      <c r="A2978" s="13"/>
      <c r="E2978" s="8"/>
      <c r="F2978" s="1"/>
      <c r="J2978" s="2"/>
      <c r="K2978" s="7"/>
    </row>
    <row r="2979" spans="1:11" x14ac:dyDescent="0.35">
      <c r="A2979" s="13"/>
      <c r="E2979" s="8"/>
      <c r="F2979" s="1"/>
      <c r="J2979" s="2"/>
      <c r="K2979" s="7"/>
    </row>
    <row r="2980" spans="1:11" x14ac:dyDescent="0.35">
      <c r="A2980" s="13"/>
      <c r="E2980" s="8"/>
      <c r="F2980" s="1"/>
      <c r="J2980" s="2"/>
      <c r="K2980" s="7"/>
    </row>
    <row r="2981" spans="1:11" x14ac:dyDescent="0.35">
      <c r="A2981" s="13"/>
      <c r="E2981" s="8"/>
      <c r="F2981" s="1"/>
      <c r="J2981" s="2"/>
      <c r="K2981" s="7"/>
    </row>
    <row r="2982" spans="1:11" x14ac:dyDescent="0.35">
      <c r="A2982" s="13"/>
      <c r="E2982" s="8"/>
      <c r="F2982" s="1"/>
      <c r="J2982" s="2"/>
      <c r="K2982" s="7"/>
    </row>
    <row r="2983" spans="1:11" x14ac:dyDescent="0.35">
      <c r="A2983" s="13"/>
      <c r="E2983" s="8"/>
      <c r="F2983" s="1"/>
      <c r="J2983" s="2"/>
      <c r="K2983" s="7"/>
    </row>
    <row r="2984" spans="1:11" x14ac:dyDescent="0.35">
      <c r="A2984" s="13"/>
      <c r="E2984" s="8"/>
      <c r="F2984" s="1"/>
      <c r="J2984" s="2"/>
      <c r="K2984" s="7"/>
    </row>
    <row r="2985" spans="1:11" x14ac:dyDescent="0.35">
      <c r="A2985" s="13"/>
      <c r="E2985" s="8"/>
      <c r="F2985" s="1"/>
      <c r="J2985" s="2"/>
      <c r="K2985" s="7"/>
    </row>
    <row r="2986" spans="1:11" x14ac:dyDescent="0.35">
      <c r="A2986" s="13"/>
      <c r="E2986" s="8"/>
      <c r="F2986" s="1"/>
      <c r="J2986" s="2"/>
      <c r="K2986" s="7"/>
    </row>
    <row r="2987" spans="1:11" x14ac:dyDescent="0.35">
      <c r="A2987" s="13"/>
      <c r="E2987" s="8"/>
      <c r="F2987" s="1"/>
      <c r="J2987" s="2"/>
      <c r="K2987" s="7"/>
    </row>
    <row r="2988" spans="1:11" x14ac:dyDescent="0.35">
      <c r="A2988" s="13"/>
      <c r="E2988" s="8"/>
      <c r="F2988" s="1"/>
      <c r="J2988" s="2"/>
      <c r="K2988" s="7"/>
    </row>
    <row r="2989" spans="1:11" x14ac:dyDescent="0.35">
      <c r="A2989" s="13"/>
      <c r="E2989" s="8"/>
      <c r="F2989" s="1"/>
      <c r="J2989" s="2"/>
      <c r="K2989" s="7"/>
    </row>
    <row r="2990" spans="1:11" x14ac:dyDescent="0.35">
      <c r="A2990" s="13"/>
      <c r="E2990" s="8"/>
      <c r="F2990" s="1"/>
      <c r="J2990" s="2"/>
      <c r="K2990" s="7"/>
    </row>
    <row r="2991" spans="1:11" x14ac:dyDescent="0.35">
      <c r="A2991" s="13"/>
      <c r="E2991" s="8"/>
      <c r="F2991" s="1"/>
      <c r="J2991" s="2"/>
      <c r="K2991" s="7"/>
    </row>
    <row r="2992" spans="1:11" x14ac:dyDescent="0.35">
      <c r="A2992" s="13"/>
      <c r="E2992" s="8"/>
      <c r="F2992" s="1"/>
      <c r="J2992" s="2"/>
      <c r="K2992" s="7"/>
    </row>
    <row r="2993" spans="1:11" x14ac:dyDescent="0.35">
      <c r="A2993" s="13"/>
      <c r="E2993" s="8"/>
      <c r="F2993" s="1"/>
      <c r="J2993" s="2"/>
      <c r="K2993" s="7"/>
    </row>
    <row r="2994" spans="1:11" x14ac:dyDescent="0.35">
      <c r="A2994" s="13"/>
      <c r="E2994" s="8"/>
      <c r="F2994" s="1"/>
      <c r="J2994" s="2"/>
      <c r="K2994" s="7"/>
    </row>
    <row r="2995" spans="1:11" x14ac:dyDescent="0.35">
      <c r="A2995" s="13"/>
      <c r="E2995" s="8"/>
      <c r="F2995" s="1"/>
      <c r="J2995" s="2"/>
      <c r="K2995" s="7"/>
    </row>
    <row r="2996" spans="1:11" x14ac:dyDescent="0.35">
      <c r="A2996" s="13"/>
      <c r="E2996" s="8"/>
      <c r="F2996" s="1"/>
      <c r="J2996" s="2"/>
      <c r="K2996" s="7"/>
    </row>
    <row r="2997" spans="1:11" x14ac:dyDescent="0.35">
      <c r="A2997" s="13"/>
      <c r="E2997" s="8"/>
      <c r="F2997" s="1"/>
      <c r="J2997" s="2"/>
      <c r="K2997" s="7"/>
    </row>
    <row r="2998" spans="1:11" x14ac:dyDescent="0.35">
      <c r="A2998" s="13"/>
      <c r="E2998" s="8"/>
      <c r="F2998" s="1"/>
      <c r="J2998" s="2"/>
      <c r="K2998" s="7"/>
    </row>
    <row r="2999" spans="1:11" x14ac:dyDescent="0.35">
      <c r="A2999" s="13"/>
      <c r="E2999" s="8"/>
      <c r="F2999" s="1"/>
      <c r="J2999" s="2"/>
      <c r="K2999" s="7"/>
    </row>
    <row r="3000" spans="1:11" x14ac:dyDescent="0.35">
      <c r="A3000" s="13"/>
      <c r="E3000" s="8"/>
      <c r="F3000" s="1"/>
      <c r="J3000" s="2"/>
      <c r="K3000" s="7"/>
    </row>
    <row r="3001" spans="1:11" x14ac:dyDescent="0.35">
      <c r="A3001" s="13"/>
      <c r="E3001" s="8"/>
      <c r="F3001" s="1"/>
      <c r="J3001" s="2"/>
      <c r="K3001" s="7"/>
    </row>
    <row r="3002" spans="1:11" x14ac:dyDescent="0.35">
      <c r="A3002" s="13"/>
      <c r="E3002" s="8"/>
      <c r="F3002" s="1"/>
      <c r="J3002" s="2"/>
      <c r="K3002" s="7"/>
    </row>
    <row r="3003" spans="1:11" x14ac:dyDescent="0.35">
      <c r="A3003" s="13"/>
      <c r="E3003" s="8"/>
      <c r="F3003" s="1"/>
      <c r="J3003" s="2"/>
      <c r="K3003" s="7"/>
    </row>
    <row r="3004" spans="1:11" x14ac:dyDescent="0.35">
      <c r="A3004" s="13"/>
      <c r="E3004" s="8"/>
      <c r="F3004" s="1"/>
      <c r="J3004" s="2"/>
      <c r="K3004" s="7"/>
    </row>
    <row r="3005" spans="1:11" x14ac:dyDescent="0.35">
      <c r="A3005" s="13"/>
      <c r="E3005" s="8"/>
      <c r="F3005" s="1"/>
      <c r="J3005" s="2"/>
      <c r="K3005" s="7"/>
    </row>
    <row r="3006" spans="1:11" x14ac:dyDescent="0.35">
      <c r="A3006" s="13"/>
      <c r="E3006" s="8"/>
      <c r="F3006" s="1"/>
      <c r="J3006" s="2"/>
      <c r="K3006" s="7"/>
    </row>
    <row r="3007" spans="1:11" x14ac:dyDescent="0.35">
      <c r="A3007" s="13"/>
      <c r="E3007" s="8"/>
      <c r="F3007" s="1"/>
      <c r="J3007" s="2"/>
      <c r="K3007" s="7"/>
    </row>
    <row r="3008" spans="1:11" x14ac:dyDescent="0.35">
      <c r="A3008" s="13"/>
      <c r="E3008" s="8"/>
      <c r="F3008" s="1"/>
      <c r="J3008" s="2"/>
      <c r="K3008" s="7"/>
    </row>
    <row r="3009" spans="1:11" x14ac:dyDescent="0.35">
      <c r="A3009" s="13"/>
      <c r="E3009" s="8"/>
      <c r="F3009" s="1"/>
      <c r="J3009" s="2"/>
      <c r="K3009" s="7"/>
    </row>
    <row r="3010" spans="1:11" x14ac:dyDescent="0.35">
      <c r="A3010" s="13"/>
      <c r="E3010" s="8"/>
      <c r="F3010" s="1"/>
      <c r="J3010" s="2"/>
      <c r="K3010" s="7"/>
    </row>
    <row r="3011" spans="1:11" x14ac:dyDescent="0.35">
      <c r="A3011" s="13"/>
      <c r="E3011" s="8"/>
      <c r="F3011" s="1"/>
      <c r="J3011" s="2"/>
      <c r="K3011" s="7"/>
    </row>
    <row r="3012" spans="1:11" x14ac:dyDescent="0.35">
      <c r="A3012" s="13"/>
      <c r="E3012" s="8"/>
      <c r="F3012" s="1"/>
      <c r="J3012" s="2"/>
      <c r="K3012" s="7"/>
    </row>
    <row r="3013" spans="1:11" x14ac:dyDescent="0.35">
      <c r="A3013" s="13"/>
      <c r="E3013" s="8"/>
      <c r="F3013" s="1"/>
      <c r="J3013" s="2"/>
      <c r="K3013" s="7"/>
    </row>
    <row r="3014" spans="1:11" x14ac:dyDescent="0.35">
      <c r="A3014" s="13"/>
      <c r="E3014" s="8"/>
      <c r="F3014" s="1"/>
      <c r="J3014" s="2"/>
      <c r="K3014" s="7"/>
    </row>
    <row r="3015" spans="1:11" x14ac:dyDescent="0.35">
      <c r="A3015" s="13"/>
      <c r="E3015" s="8"/>
      <c r="F3015" s="1"/>
      <c r="J3015" s="2"/>
      <c r="K3015" s="7"/>
    </row>
    <row r="3016" spans="1:11" x14ac:dyDescent="0.35">
      <c r="A3016" s="13"/>
      <c r="E3016" s="8"/>
      <c r="F3016" s="1"/>
      <c r="J3016" s="2"/>
      <c r="K3016" s="7"/>
    </row>
    <row r="3017" spans="1:11" x14ac:dyDescent="0.35">
      <c r="A3017" s="13"/>
      <c r="E3017" s="8"/>
      <c r="F3017" s="1"/>
      <c r="J3017" s="2"/>
      <c r="K3017" s="7"/>
    </row>
    <row r="3018" spans="1:11" x14ac:dyDescent="0.35">
      <c r="A3018" s="13"/>
      <c r="E3018" s="8"/>
      <c r="F3018" s="1"/>
      <c r="J3018" s="2"/>
      <c r="K3018" s="7"/>
    </row>
    <row r="3019" spans="1:11" x14ac:dyDescent="0.35">
      <c r="A3019" s="13"/>
      <c r="E3019" s="8"/>
      <c r="F3019" s="1"/>
      <c r="J3019" s="2"/>
      <c r="K3019" s="7"/>
    </row>
    <row r="3020" spans="1:11" x14ac:dyDescent="0.35">
      <c r="A3020" s="13"/>
      <c r="E3020" s="8"/>
      <c r="F3020" s="1"/>
      <c r="J3020" s="2"/>
      <c r="K3020" s="7"/>
    </row>
    <row r="3021" spans="1:11" x14ac:dyDescent="0.35">
      <c r="A3021" s="13"/>
      <c r="E3021" s="8"/>
      <c r="F3021" s="1"/>
      <c r="J3021" s="2"/>
      <c r="K3021" s="7"/>
    </row>
    <row r="3022" spans="1:11" x14ac:dyDescent="0.35">
      <c r="A3022" s="13"/>
      <c r="E3022" s="8"/>
      <c r="F3022" s="1"/>
      <c r="J3022" s="2"/>
      <c r="K3022" s="7"/>
    </row>
    <row r="3023" spans="1:11" x14ac:dyDescent="0.35">
      <c r="A3023" s="13"/>
      <c r="E3023" s="8"/>
      <c r="F3023" s="1"/>
      <c r="J3023" s="2"/>
      <c r="K3023" s="7"/>
    </row>
    <row r="3024" spans="1:11" x14ac:dyDescent="0.35">
      <c r="A3024" s="13"/>
      <c r="E3024" s="8"/>
      <c r="F3024" s="1"/>
      <c r="J3024" s="2"/>
      <c r="K3024" s="7"/>
    </row>
    <row r="3025" spans="1:11" x14ac:dyDescent="0.35">
      <c r="A3025" s="13"/>
      <c r="E3025" s="8"/>
      <c r="F3025" s="1"/>
      <c r="J3025" s="2"/>
      <c r="K3025" s="7"/>
    </row>
    <row r="3026" spans="1:11" x14ac:dyDescent="0.35">
      <c r="A3026" s="13"/>
      <c r="E3026" s="8"/>
      <c r="F3026" s="1"/>
      <c r="J3026" s="2"/>
      <c r="K3026" s="7"/>
    </row>
    <row r="3027" spans="1:11" x14ac:dyDescent="0.35">
      <c r="A3027" s="13"/>
      <c r="E3027" s="8"/>
      <c r="F3027" s="1"/>
      <c r="J3027" s="2"/>
      <c r="K3027" s="7"/>
    </row>
    <row r="3028" spans="1:11" x14ac:dyDescent="0.35">
      <c r="A3028" s="13"/>
      <c r="E3028" s="8"/>
      <c r="F3028" s="1"/>
      <c r="J3028" s="2"/>
      <c r="K3028" s="7"/>
    </row>
    <row r="3029" spans="1:11" x14ac:dyDescent="0.35">
      <c r="A3029" s="13"/>
      <c r="E3029" s="8"/>
      <c r="F3029" s="1"/>
      <c r="J3029" s="2"/>
      <c r="K3029" s="7"/>
    </row>
    <row r="3030" spans="1:11" x14ac:dyDescent="0.35">
      <c r="A3030" s="13"/>
      <c r="E3030" s="8"/>
      <c r="F3030" s="1"/>
      <c r="J3030" s="2"/>
      <c r="K3030" s="7"/>
    </row>
    <row r="3031" spans="1:11" x14ac:dyDescent="0.35">
      <c r="A3031" s="13"/>
      <c r="E3031" s="8"/>
      <c r="F3031" s="1"/>
      <c r="J3031" s="2"/>
      <c r="K3031" s="7"/>
    </row>
    <row r="3032" spans="1:11" x14ac:dyDescent="0.35">
      <c r="A3032" s="13"/>
      <c r="E3032" s="8"/>
      <c r="F3032" s="1"/>
      <c r="J3032" s="2"/>
      <c r="K3032" s="7"/>
    </row>
    <row r="3033" spans="1:11" x14ac:dyDescent="0.35">
      <c r="A3033" s="13"/>
      <c r="E3033" s="8"/>
      <c r="F3033" s="1"/>
      <c r="J3033" s="2"/>
      <c r="K3033" s="7"/>
    </row>
    <row r="3034" spans="1:11" x14ac:dyDescent="0.35">
      <c r="A3034" s="13"/>
      <c r="E3034" s="8"/>
      <c r="F3034" s="1"/>
      <c r="J3034" s="2"/>
      <c r="K3034" s="7"/>
    </row>
    <row r="3035" spans="1:11" x14ac:dyDescent="0.35">
      <c r="A3035" s="13"/>
      <c r="E3035" s="8"/>
      <c r="F3035" s="1"/>
      <c r="J3035" s="2"/>
      <c r="K3035" s="7"/>
    </row>
    <row r="3036" spans="1:11" x14ac:dyDescent="0.35">
      <c r="A3036" s="13"/>
      <c r="E3036" s="8"/>
      <c r="F3036" s="1"/>
      <c r="J3036" s="2"/>
      <c r="K3036" s="7"/>
    </row>
    <row r="3037" spans="1:11" x14ac:dyDescent="0.35">
      <c r="A3037" s="13"/>
      <c r="E3037" s="8"/>
      <c r="F3037" s="1"/>
      <c r="J3037" s="2"/>
      <c r="K3037" s="7"/>
    </row>
    <row r="3038" spans="1:11" x14ac:dyDescent="0.35">
      <c r="A3038" s="13"/>
      <c r="E3038" s="8"/>
      <c r="F3038" s="1"/>
      <c r="J3038" s="2"/>
      <c r="K3038" s="7"/>
    </row>
    <row r="3039" spans="1:11" x14ac:dyDescent="0.35">
      <c r="A3039" s="13"/>
      <c r="E3039" s="8"/>
      <c r="F3039" s="1"/>
      <c r="J3039" s="2"/>
      <c r="K3039" s="7"/>
    </row>
    <row r="3040" spans="1:11" x14ac:dyDescent="0.35">
      <c r="A3040" s="13"/>
      <c r="E3040" s="8"/>
      <c r="F3040" s="1"/>
      <c r="J3040" s="2"/>
      <c r="K3040" s="7"/>
    </row>
    <row r="3041" spans="1:11" x14ac:dyDescent="0.35">
      <c r="A3041" s="13"/>
      <c r="E3041" s="8"/>
      <c r="F3041" s="1"/>
      <c r="J3041" s="2"/>
      <c r="K3041" s="7"/>
    </row>
    <row r="3042" spans="1:11" x14ac:dyDescent="0.35">
      <c r="A3042" s="13"/>
      <c r="E3042" s="8"/>
      <c r="F3042" s="1"/>
      <c r="J3042" s="2"/>
      <c r="K3042" s="7"/>
    </row>
    <row r="3043" spans="1:11" x14ac:dyDescent="0.35">
      <c r="A3043" s="13"/>
      <c r="E3043" s="8"/>
      <c r="F3043" s="1"/>
      <c r="J3043" s="2"/>
      <c r="K3043" s="7"/>
    </row>
    <row r="3044" spans="1:11" x14ac:dyDescent="0.35">
      <c r="A3044" s="13"/>
      <c r="E3044" s="8"/>
      <c r="F3044" s="1"/>
      <c r="J3044" s="2"/>
      <c r="K3044" s="7"/>
    </row>
    <row r="3045" spans="1:11" x14ac:dyDescent="0.35">
      <c r="A3045" s="13"/>
      <c r="E3045" s="8"/>
      <c r="F3045" s="1"/>
      <c r="J3045" s="2"/>
      <c r="K3045" s="7"/>
    </row>
    <row r="3046" spans="1:11" x14ac:dyDescent="0.35">
      <c r="A3046" s="13"/>
      <c r="E3046" s="8"/>
      <c r="F3046" s="1"/>
      <c r="J3046" s="2"/>
      <c r="K3046" s="7"/>
    </row>
    <row r="3047" spans="1:11" x14ac:dyDescent="0.35">
      <c r="A3047" s="13"/>
      <c r="E3047" s="8"/>
      <c r="F3047" s="1"/>
      <c r="J3047" s="2"/>
      <c r="K3047" s="7"/>
    </row>
    <row r="3048" spans="1:11" x14ac:dyDescent="0.35">
      <c r="A3048" s="13"/>
      <c r="E3048" s="8"/>
      <c r="F3048" s="1"/>
      <c r="J3048" s="2"/>
      <c r="K3048" s="7"/>
    </row>
    <row r="3049" spans="1:11" x14ac:dyDescent="0.35">
      <c r="A3049" s="13"/>
      <c r="E3049" s="8"/>
      <c r="F3049" s="1"/>
      <c r="J3049" s="2"/>
      <c r="K3049" s="7"/>
    </row>
    <row r="3050" spans="1:11" x14ac:dyDescent="0.35">
      <c r="A3050" s="13"/>
      <c r="E3050" s="8"/>
      <c r="F3050" s="1"/>
      <c r="J3050" s="2"/>
      <c r="K3050" s="7"/>
    </row>
    <row r="3051" spans="1:11" x14ac:dyDescent="0.35">
      <c r="A3051" s="13"/>
      <c r="E3051" s="8"/>
      <c r="F3051" s="1"/>
      <c r="J3051" s="2"/>
      <c r="K3051" s="7"/>
    </row>
    <row r="3052" spans="1:11" x14ac:dyDescent="0.35">
      <c r="A3052" s="13"/>
      <c r="E3052" s="8"/>
      <c r="F3052" s="1"/>
      <c r="J3052" s="2"/>
      <c r="K3052" s="7"/>
    </row>
    <row r="3053" spans="1:11" x14ac:dyDescent="0.35">
      <c r="A3053" s="13"/>
      <c r="E3053" s="8"/>
      <c r="F3053" s="1"/>
      <c r="J3053" s="2"/>
      <c r="K3053" s="7"/>
    </row>
    <row r="3054" spans="1:11" x14ac:dyDescent="0.35">
      <c r="A3054" s="13"/>
      <c r="E3054" s="8"/>
      <c r="F3054" s="1"/>
      <c r="J3054" s="2"/>
      <c r="K3054" s="7"/>
    </row>
    <row r="3055" spans="1:11" x14ac:dyDescent="0.35">
      <c r="A3055" s="13"/>
      <c r="E3055" s="8"/>
      <c r="F3055" s="1"/>
      <c r="J3055" s="2"/>
      <c r="K3055" s="7"/>
    </row>
    <row r="3056" spans="1:11" x14ac:dyDescent="0.35">
      <c r="A3056" s="13"/>
      <c r="E3056" s="8"/>
      <c r="F3056" s="1"/>
      <c r="J3056" s="2"/>
      <c r="K3056" s="7"/>
    </row>
    <row r="3057" spans="1:11" x14ac:dyDescent="0.35">
      <c r="A3057" s="13"/>
      <c r="E3057" s="8"/>
      <c r="F3057" s="1"/>
      <c r="J3057" s="2"/>
      <c r="K3057" s="7"/>
    </row>
    <row r="3058" spans="1:11" x14ac:dyDescent="0.35">
      <c r="A3058" s="13"/>
      <c r="E3058" s="8"/>
      <c r="F3058" s="1"/>
      <c r="J3058" s="2"/>
      <c r="K3058" s="7"/>
    </row>
    <row r="3059" spans="1:11" x14ac:dyDescent="0.35">
      <c r="A3059" s="13"/>
      <c r="E3059" s="8"/>
      <c r="F3059" s="1"/>
      <c r="J3059" s="2"/>
      <c r="K3059" s="7"/>
    </row>
    <row r="3060" spans="1:11" x14ac:dyDescent="0.35">
      <c r="A3060" s="13"/>
      <c r="E3060" s="8"/>
      <c r="F3060" s="1"/>
      <c r="J3060" s="2"/>
      <c r="K3060" s="7"/>
    </row>
    <row r="3061" spans="1:11" x14ac:dyDescent="0.35">
      <c r="A3061" s="13"/>
      <c r="E3061" s="8"/>
      <c r="F3061" s="1"/>
      <c r="J3061" s="2"/>
      <c r="K3061" s="7"/>
    </row>
    <row r="3062" spans="1:11" x14ac:dyDescent="0.35">
      <c r="A3062" s="13"/>
      <c r="E3062" s="8"/>
      <c r="F3062" s="1"/>
      <c r="J3062" s="2"/>
      <c r="K3062" s="7"/>
    </row>
    <row r="3063" spans="1:11" x14ac:dyDescent="0.35">
      <c r="A3063" s="13"/>
      <c r="E3063" s="8"/>
      <c r="F3063" s="1"/>
      <c r="J3063" s="2"/>
      <c r="K3063" s="7"/>
    </row>
    <row r="3064" spans="1:11" x14ac:dyDescent="0.35">
      <c r="A3064" s="13"/>
      <c r="E3064" s="8"/>
      <c r="F3064" s="1"/>
      <c r="J3064" s="2"/>
      <c r="K3064" s="7"/>
    </row>
    <row r="3065" spans="1:11" x14ac:dyDescent="0.35">
      <c r="A3065" s="13"/>
      <c r="E3065" s="8"/>
      <c r="F3065" s="1"/>
      <c r="J3065" s="2"/>
      <c r="K3065" s="7"/>
    </row>
    <row r="3066" spans="1:11" x14ac:dyDescent="0.35">
      <c r="A3066" s="13"/>
      <c r="E3066" s="8"/>
      <c r="F3066" s="1"/>
      <c r="J3066" s="2"/>
      <c r="K3066" s="7"/>
    </row>
    <row r="3067" spans="1:11" x14ac:dyDescent="0.35">
      <c r="A3067" s="13"/>
      <c r="E3067" s="8"/>
      <c r="F3067" s="1"/>
      <c r="J3067" s="2"/>
      <c r="K3067" s="7"/>
    </row>
    <row r="3068" spans="1:11" x14ac:dyDescent="0.35">
      <c r="A3068" s="13"/>
      <c r="E3068" s="8"/>
      <c r="F3068" s="1"/>
      <c r="J3068" s="2"/>
      <c r="K3068" s="7"/>
    </row>
    <row r="3069" spans="1:11" x14ac:dyDescent="0.35">
      <c r="A3069" s="13"/>
      <c r="E3069" s="8"/>
      <c r="F3069" s="1"/>
      <c r="J3069" s="2"/>
      <c r="K3069" s="7"/>
    </row>
    <row r="3070" spans="1:11" x14ac:dyDescent="0.35">
      <c r="A3070" s="13"/>
      <c r="E3070" s="8"/>
      <c r="F3070" s="1"/>
      <c r="J3070" s="2"/>
      <c r="K3070" s="7"/>
    </row>
    <row r="3071" spans="1:11" x14ac:dyDescent="0.35">
      <c r="A3071" s="13"/>
      <c r="E3071" s="8"/>
      <c r="F3071" s="1"/>
      <c r="J3071" s="2"/>
      <c r="K3071" s="7"/>
    </row>
    <row r="3072" spans="1:11" x14ac:dyDescent="0.35">
      <c r="A3072" s="13"/>
      <c r="E3072" s="8"/>
      <c r="F3072" s="1"/>
      <c r="J3072" s="2"/>
      <c r="K3072" s="7"/>
    </row>
    <row r="3073" spans="1:11" x14ac:dyDescent="0.35">
      <c r="A3073" s="13"/>
      <c r="E3073" s="8"/>
      <c r="F3073" s="1"/>
      <c r="J3073" s="2"/>
      <c r="K3073" s="7"/>
    </row>
    <row r="3074" spans="1:11" x14ac:dyDescent="0.35">
      <c r="A3074" s="13"/>
      <c r="E3074" s="8"/>
      <c r="F3074" s="1"/>
      <c r="J3074" s="2"/>
      <c r="K3074" s="7"/>
    </row>
    <row r="3075" spans="1:11" x14ac:dyDescent="0.35">
      <c r="A3075" s="13"/>
      <c r="E3075" s="8"/>
      <c r="F3075" s="1"/>
      <c r="J3075" s="2"/>
      <c r="K3075" s="7"/>
    </row>
    <row r="3076" spans="1:11" x14ac:dyDescent="0.35">
      <c r="A3076" s="13"/>
      <c r="E3076" s="8"/>
      <c r="F3076" s="1"/>
      <c r="J3076" s="2"/>
      <c r="K3076" s="7"/>
    </row>
    <row r="3077" spans="1:11" x14ac:dyDescent="0.35">
      <c r="A3077" s="13"/>
      <c r="E3077" s="8"/>
      <c r="F3077" s="1"/>
      <c r="J3077" s="2"/>
      <c r="K3077" s="7"/>
    </row>
    <row r="3078" spans="1:11" x14ac:dyDescent="0.35">
      <c r="A3078" s="13"/>
      <c r="E3078" s="8"/>
      <c r="F3078" s="1"/>
      <c r="J3078" s="2"/>
      <c r="K3078" s="7"/>
    </row>
    <row r="3079" spans="1:11" x14ac:dyDescent="0.35">
      <c r="A3079" s="13"/>
      <c r="E3079" s="8"/>
      <c r="F3079" s="1"/>
      <c r="J3079" s="2"/>
      <c r="K3079" s="7"/>
    </row>
    <row r="3080" spans="1:11" x14ac:dyDescent="0.35">
      <c r="A3080" s="13"/>
      <c r="E3080" s="8"/>
      <c r="F3080" s="1"/>
      <c r="J3080" s="2"/>
      <c r="K3080" s="7"/>
    </row>
    <row r="3081" spans="1:11" x14ac:dyDescent="0.35">
      <c r="A3081" s="13"/>
      <c r="E3081" s="8"/>
      <c r="F3081" s="1"/>
      <c r="J3081" s="2"/>
      <c r="K3081" s="7"/>
    </row>
    <row r="3082" spans="1:11" x14ac:dyDescent="0.35">
      <c r="A3082" s="13"/>
      <c r="E3082" s="8"/>
      <c r="F3082" s="1"/>
      <c r="J3082" s="2"/>
      <c r="K3082" s="7"/>
    </row>
    <row r="3083" spans="1:11" x14ac:dyDescent="0.35">
      <c r="A3083" s="13"/>
      <c r="E3083" s="8"/>
      <c r="F3083" s="1"/>
      <c r="J3083" s="2"/>
      <c r="K3083" s="7"/>
    </row>
    <row r="3084" spans="1:11" x14ac:dyDescent="0.35">
      <c r="A3084" s="13"/>
      <c r="E3084" s="8"/>
      <c r="F3084" s="1"/>
      <c r="J3084" s="2"/>
      <c r="K3084" s="7"/>
    </row>
    <row r="3085" spans="1:11" x14ac:dyDescent="0.35">
      <c r="A3085" s="13"/>
      <c r="E3085" s="8"/>
      <c r="F3085" s="1"/>
      <c r="J3085" s="2"/>
      <c r="K3085" s="7"/>
    </row>
    <row r="3086" spans="1:11" x14ac:dyDescent="0.35">
      <c r="A3086" s="13"/>
      <c r="E3086" s="8"/>
      <c r="F3086" s="1"/>
      <c r="J3086" s="2"/>
      <c r="K3086" s="7"/>
    </row>
    <row r="3087" spans="1:11" x14ac:dyDescent="0.35">
      <c r="A3087" s="13"/>
      <c r="E3087" s="8"/>
      <c r="F3087" s="1"/>
      <c r="J3087" s="2"/>
      <c r="K3087" s="7"/>
    </row>
    <row r="3088" spans="1:11" x14ac:dyDescent="0.35">
      <c r="A3088" s="13"/>
      <c r="E3088" s="8"/>
      <c r="F3088" s="1"/>
      <c r="J3088" s="2"/>
      <c r="K3088" s="7"/>
    </row>
    <row r="3089" spans="1:11" x14ac:dyDescent="0.35">
      <c r="A3089" s="13"/>
      <c r="E3089" s="8"/>
      <c r="F3089" s="1"/>
      <c r="J3089" s="2"/>
      <c r="K3089" s="7"/>
    </row>
    <row r="3090" spans="1:11" x14ac:dyDescent="0.35">
      <c r="A3090" s="13"/>
      <c r="E3090" s="8"/>
      <c r="F3090" s="1"/>
      <c r="J3090" s="2"/>
      <c r="K3090" s="7"/>
    </row>
    <row r="3091" spans="1:11" x14ac:dyDescent="0.35">
      <c r="A3091" s="13"/>
      <c r="E3091" s="8"/>
      <c r="F3091" s="1"/>
      <c r="J3091" s="2"/>
      <c r="K3091" s="7"/>
    </row>
    <row r="3092" spans="1:11" x14ac:dyDescent="0.35">
      <c r="A3092" s="13"/>
      <c r="E3092" s="8"/>
      <c r="F3092" s="1"/>
      <c r="J3092" s="2"/>
      <c r="K3092" s="7"/>
    </row>
    <row r="3093" spans="1:11" x14ac:dyDescent="0.35">
      <c r="A3093" s="13"/>
      <c r="E3093" s="8"/>
      <c r="F3093" s="1"/>
      <c r="J3093" s="2"/>
      <c r="K3093" s="7"/>
    </row>
    <row r="3094" spans="1:11" x14ac:dyDescent="0.35">
      <c r="A3094" s="13"/>
      <c r="E3094" s="8"/>
      <c r="F3094" s="1"/>
      <c r="J3094" s="2"/>
      <c r="K3094" s="7"/>
    </row>
    <row r="3095" spans="1:11" x14ac:dyDescent="0.35">
      <c r="A3095" s="13"/>
      <c r="E3095" s="8"/>
      <c r="F3095" s="1"/>
      <c r="J3095" s="2"/>
      <c r="K3095" s="7"/>
    </row>
    <row r="3096" spans="1:11" x14ac:dyDescent="0.35">
      <c r="A3096" s="13"/>
      <c r="E3096" s="8"/>
      <c r="F3096" s="1"/>
      <c r="J3096" s="2"/>
      <c r="K3096" s="7"/>
    </row>
    <row r="3097" spans="1:11" x14ac:dyDescent="0.35">
      <c r="A3097" s="13"/>
      <c r="E3097" s="8"/>
      <c r="F3097" s="1"/>
      <c r="J3097" s="2"/>
      <c r="K3097" s="7"/>
    </row>
    <row r="3098" spans="1:11" x14ac:dyDescent="0.35">
      <c r="A3098" s="13"/>
      <c r="E3098" s="8"/>
      <c r="F3098" s="1"/>
      <c r="J3098" s="2"/>
      <c r="K3098" s="7"/>
    </row>
    <row r="3099" spans="1:11" x14ac:dyDescent="0.35">
      <c r="A3099" s="13"/>
      <c r="E3099" s="8"/>
      <c r="F3099" s="1"/>
      <c r="J3099" s="2"/>
      <c r="K3099" s="7"/>
    </row>
    <row r="3100" spans="1:11" x14ac:dyDescent="0.35">
      <c r="A3100" s="13"/>
      <c r="E3100" s="8"/>
      <c r="F3100" s="1"/>
      <c r="J3100" s="2"/>
      <c r="K3100" s="7"/>
    </row>
    <row r="3101" spans="1:11" x14ac:dyDescent="0.35">
      <c r="A3101" s="13"/>
      <c r="E3101" s="8"/>
      <c r="F3101" s="1"/>
      <c r="J3101" s="2"/>
      <c r="K3101" s="7"/>
    </row>
    <row r="3102" spans="1:11" x14ac:dyDescent="0.35">
      <c r="A3102" s="13"/>
      <c r="E3102" s="8"/>
      <c r="F3102" s="1"/>
      <c r="J3102" s="2"/>
      <c r="K3102" s="7"/>
    </row>
    <row r="3103" spans="1:11" x14ac:dyDescent="0.35">
      <c r="A3103" s="13"/>
      <c r="E3103" s="8"/>
      <c r="F3103" s="1"/>
      <c r="J3103" s="2"/>
      <c r="K3103" s="7"/>
    </row>
    <row r="3104" spans="1:11" x14ac:dyDescent="0.35">
      <c r="A3104" s="13"/>
      <c r="E3104" s="8"/>
      <c r="F3104" s="1"/>
      <c r="J3104" s="2"/>
      <c r="K3104" s="7"/>
    </row>
    <row r="3105" spans="1:11" x14ac:dyDescent="0.35">
      <c r="A3105" s="13"/>
      <c r="E3105" s="8"/>
      <c r="F3105" s="1"/>
      <c r="J3105" s="2"/>
      <c r="K3105" s="7"/>
    </row>
    <row r="3106" spans="1:11" x14ac:dyDescent="0.35">
      <c r="A3106" s="13"/>
      <c r="E3106" s="8"/>
      <c r="F3106" s="1"/>
      <c r="J3106" s="2"/>
      <c r="K3106" s="7"/>
    </row>
    <row r="3107" spans="1:11" x14ac:dyDescent="0.35">
      <c r="A3107" s="13"/>
      <c r="E3107" s="8"/>
      <c r="F3107" s="1"/>
      <c r="J3107" s="2"/>
      <c r="K3107" s="7"/>
    </row>
    <row r="3108" spans="1:11" x14ac:dyDescent="0.35">
      <c r="A3108" s="13"/>
      <c r="E3108" s="8"/>
      <c r="F3108" s="1"/>
      <c r="J3108" s="2"/>
      <c r="K3108" s="7"/>
    </row>
    <row r="3109" spans="1:11" x14ac:dyDescent="0.35">
      <c r="A3109" s="13"/>
      <c r="E3109" s="8"/>
      <c r="F3109" s="1"/>
      <c r="J3109" s="2"/>
      <c r="K3109" s="7"/>
    </row>
    <row r="3110" spans="1:11" x14ac:dyDescent="0.35">
      <c r="A3110" s="13"/>
      <c r="E3110" s="8"/>
      <c r="F3110" s="1"/>
      <c r="J3110" s="2"/>
      <c r="K3110" s="7"/>
    </row>
    <row r="3111" spans="1:11" x14ac:dyDescent="0.35">
      <c r="A3111" s="13"/>
      <c r="E3111" s="8"/>
      <c r="F3111" s="1"/>
      <c r="J3111" s="2"/>
      <c r="K3111" s="7"/>
    </row>
    <row r="3112" spans="1:11" x14ac:dyDescent="0.35">
      <c r="A3112" s="13"/>
      <c r="E3112" s="8"/>
      <c r="F3112" s="1"/>
      <c r="J3112" s="2"/>
      <c r="K3112" s="7"/>
    </row>
    <row r="3113" spans="1:11" x14ac:dyDescent="0.35">
      <c r="A3113" s="13"/>
      <c r="E3113" s="8"/>
      <c r="F3113" s="1"/>
      <c r="J3113" s="2"/>
      <c r="K3113" s="7"/>
    </row>
    <row r="3114" spans="1:11" x14ac:dyDescent="0.35">
      <c r="A3114" s="13"/>
      <c r="E3114" s="8"/>
      <c r="F3114" s="1"/>
      <c r="J3114" s="2"/>
      <c r="K3114" s="7"/>
    </row>
    <row r="3115" spans="1:11" x14ac:dyDescent="0.35">
      <c r="A3115" s="13"/>
      <c r="E3115" s="8"/>
      <c r="F3115" s="1"/>
      <c r="J3115" s="2"/>
      <c r="K3115" s="7"/>
    </row>
    <row r="3116" spans="1:11" x14ac:dyDescent="0.35">
      <c r="A3116" s="13"/>
      <c r="E3116" s="8"/>
      <c r="F3116" s="1"/>
      <c r="J3116" s="2"/>
      <c r="K3116" s="7"/>
    </row>
    <row r="3117" spans="1:11" x14ac:dyDescent="0.35">
      <c r="A3117" s="13"/>
      <c r="E3117" s="8"/>
      <c r="F3117" s="1"/>
      <c r="J3117" s="2"/>
      <c r="K3117" s="7"/>
    </row>
    <row r="3118" spans="1:11" x14ac:dyDescent="0.35">
      <c r="A3118" s="13"/>
      <c r="E3118" s="8"/>
      <c r="F3118" s="1"/>
      <c r="J3118" s="2"/>
      <c r="K3118" s="7"/>
    </row>
    <row r="3119" spans="1:11" x14ac:dyDescent="0.35">
      <c r="A3119" s="13"/>
      <c r="E3119" s="8"/>
      <c r="F3119" s="1"/>
      <c r="J3119" s="2"/>
      <c r="K3119" s="7"/>
    </row>
    <row r="3120" spans="1:11" x14ac:dyDescent="0.35">
      <c r="A3120" s="13"/>
      <c r="E3120" s="8"/>
      <c r="F3120" s="1"/>
      <c r="J3120" s="2"/>
      <c r="K3120" s="7"/>
    </row>
    <row r="3121" spans="1:11" x14ac:dyDescent="0.35">
      <c r="A3121" s="13"/>
      <c r="E3121" s="8"/>
      <c r="F3121" s="1"/>
      <c r="J3121" s="2"/>
      <c r="K3121" s="7"/>
    </row>
    <row r="3122" spans="1:11" x14ac:dyDescent="0.35">
      <c r="A3122" s="13"/>
      <c r="E3122" s="8"/>
      <c r="F3122" s="1"/>
      <c r="J3122" s="2"/>
      <c r="K3122" s="7"/>
    </row>
    <row r="3123" spans="1:11" x14ac:dyDescent="0.35">
      <c r="A3123" s="13"/>
      <c r="E3123" s="8"/>
      <c r="F3123" s="1"/>
      <c r="J3123" s="2"/>
      <c r="K3123" s="7"/>
    </row>
    <row r="3124" spans="1:11" x14ac:dyDescent="0.35">
      <c r="A3124" s="13"/>
      <c r="E3124" s="8"/>
      <c r="F3124" s="1"/>
      <c r="J3124" s="2"/>
      <c r="K3124" s="7"/>
    </row>
    <row r="3125" spans="1:11" x14ac:dyDescent="0.35">
      <c r="A3125" s="13"/>
      <c r="E3125" s="8"/>
      <c r="F3125" s="1"/>
      <c r="J3125" s="2"/>
      <c r="K3125" s="7"/>
    </row>
    <row r="3126" spans="1:11" x14ac:dyDescent="0.35">
      <c r="A3126" s="13"/>
      <c r="E3126" s="8"/>
      <c r="F3126" s="1"/>
      <c r="J3126" s="2"/>
      <c r="K3126" s="7"/>
    </row>
    <row r="3127" spans="1:11" x14ac:dyDescent="0.35">
      <c r="A3127" s="13"/>
      <c r="E3127" s="8"/>
      <c r="F3127" s="1"/>
      <c r="J3127" s="2"/>
      <c r="K3127" s="7"/>
    </row>
    <row r="3128" spans="1:11" x14ac:dyDescent="0.35">
      <c r="A3128" s="13"/>
      <c r="E3128" s="8"/>
      <c r="F3128" s="1"/>
      <c r="J3128" s="2"/>
      <c r="K3128" s="7"/>
    </row>
    <row r="3129" spans="1:11" x14ac:dyDescent="0.35">
      <c r="A3129" s="13"/>
      <c r="E3129" s="8"/>
      <c r="F3129" s="1"/>
      <c r="J3129" s="2"/>
      <c r="K3129" s="7"/>
    </row>
    <row r="3130" spans="1:11" x14ac:dyDescent="0.35">
      <c r="A3130" s="13"/>
      <c r="E3130" s="8"/>
      <c r="F3130" s="1"/>
      <c r="J3130" s="2"/>
      <c r="K3130" s="7"/>
    </row>
    <row r="3131" spans="1:11" x14ac:dyDescent="0.35">
      <c r="A3131" s="13"/>
      <c r="E3131" s="8"/>
      <c r="F3131" s="1"/>
      <c r="J3131" s="2"/>
      <c r="K3131" s="7"/>
    </row>
    <row r="3132" spans="1:11" x14ac:dyDescent="0.35">
      <c r="A3132" s="13"/>
      <c r="E3132" s="8"/>
      <c r="F3132" s="1"/>
      <c r="J3132" s="2"/>
      <c r="K3132" s="7"/>
    </row>
    <row r="3133" spans="1:11" x14ac:dyDescent="0.35">
      <c r="A3133" s="13"/>
      <c r="E3133" s="8"/>
      <c r="F3133" s="1"/>
      <c r="J3133" s="2"/>
      <c r="K3133" s="7"/>
    </row>
    <row r="3134" spans="1:11" x14ac:dyDescent="0.35">
      <c r="A3134" s="13"/>
      <c r="E3134" s="8"/>
      <c r="F3134" s="1"/>
      <c r="J3134" s="2"/>
      <c r="K3134" s="7"/>
    </row>
    <row r="3135" spans="1:11" x14ac:dyDescent="0.35">
      <c r="A3135" s="13"/>
      <c r="E3135" s="8"/>
      <c r="F3135" s="1"/>
      <c r="J3135" s="2"/>
      <c r="K3135" s="7"/>
    </row>
    <row r="3136" spans="1:11" x14ac:dyDescent="0.35">
      <c r="A3136" s="13"/>
      <c r="E3136" s="8"/>
      <c r="F3136" s="1"/>
      <c r="J3136" s="2"/>
      <c r="K3136" s="7"/>
    </row>
    <row r="3137" spans="1:11" x14ac:dyDescent="0.35">
      <c r="A3137" s="13"/>
      <c r="E3137" s="8"/>
      <c r="F3137" s="1"/>
      <c r="J3137" s="2"/>
      <c r="K3137" s="7"/>
    </row>
    <row r="3138" spans="1:11" x14ac:dyDescent="0.35">
      <c r="A3138" s="13"/>
      <c r="E3138" s="8"/>
      <c r="F3138" s="1"/>
      <c r="J3138" s="2"/>
      <c r="K3138" s="7"/>
    </row>
    <row r="3139" spans="1:11" x14ac:dyDescent="0.35">
      <c r="A3139" s="13"/>
      <c r="E3139" s="8"/>
      <c r="F3139" s="1"/>
      <c r="J3139" s="2"/>
      <c r="K3139" s="7"/>
    </row>
    <row r="3140" spans="1:11" x14ac:dyDescent="0.35">
      <c r="A3140" s="13"/>
      <c r="E3140" s="8"/>
      <c r="F3140" s="1"/>
      <c r="J3140" s="2"/>
      <c r="K3140" s="7"/>
    </row>
    <row r="3141" spans="1:11" x14ac:dyDescent="0.35">
      <c r="A3141" s="13"/>
      <c r="E3141" s="8"/>
      <c r="F3141" s="1"/>
      <c r="J3141" s="2"/>
      <c r="K3141" s="7"/>
    </row>
    <row r="3142" spans="1:11" x14ac:dyDescent="0.35">
      <c r="A3142" s="13"/>
      <c r="E3142" s="8"/>
      <c r="F3142" s="1"/>
      <c r="J3142" s="2"/>
      <c r="K3142" s="7"/>
    </row>
    <row r="3143" spans="1:11" x14ac:dyDescent="0.35">
      <c r="A3143" s="13"/>
      <c r="E3143" s="8"/>
      <c r="F3143" s="1"/>
      <c r="J3143" s="2"/>
      <c r="K3143" s="7"/>
    </row>
    <row r="3144" spans="1:11" x14ac:dyDescent="0.35">
      <c r="A3144" s="13"/>
      <c r="E3144" s="8"/>
      <c r="F3144" s="1"/>
      <c r="J3144" s="2"/>
      <c r="K3144" s="7"/>
    </row>
    <row r="3145" spans="1:11" x14ac:dyDescent="0.35">
      <c r="A3145" s="13"/>
      <c r="E3145" s="8"/>
      <c r="F3145" s="1"/>
      <c r="J3145" s="2"/>
      <c r="K3145" s="7"/>
    </row>
    <row r="3146" spans="1:11" x14ac:dyDescent="0.35">
      <c r="A3146" s="13"/>
      <c r="E3146" s="8"/>
      <c r="F3146" s="1"/>
      <c r="J3146" s="2"/>
      <c r="K3146" s="7"/>
    </row>
    <row r="3147" spans="1:11" x14ac:dyDescent="0.35">
      <c r="A3147" s="13"/>
      <c r="E3147" s="8"/>
      <c r="F3147" s="1"/>
      <c r="J3147" s="2"/>
      <c r="K3147" s="7"/>
    </row>
    <row r="3148" spans="1:11" x14ac:dyDescent="0.35">
      <c r="A3148" s="13"/>
      <c r="E3148" s="8"/>
      <c r="F3148" s="1"/>
      <c r="J3148" s="2"/>
      <c r="K3148" s="7"/>
    </row>
    <row r="3149" spans="1:11" x14ac:dyDescent="0.35">
      <c r="A3149" s="13"/>
      <c r="E3149" s="8"/>
      <c r="F3149" s="1"/>
      <c r="J3149" s="2"/>
      <c r="K3149" s="7"/>
    </row>
    <row r="3150" spans="1:11" x14ac:dyDescent="0.35">
      <c r="A3150" s="13"/>
      <c r="E3150" s="8"/>
      <c r="F3150" s="1"/>
      <c r="J3150" s="2"/>
      <c r="K3150" s="7"/>
    </row>
    <row r="3151" spans="1:11" x14ac:dyDescent="0.35">
      <c r="A3151" s="13"/>
      <c r="E3151" s="8"/>
      <c r="F3151" s="1"/>
      <c r="J3151" s="2"/>
      <c r="K3151" s="7"/>
    </row>
    <row r="3152" spans="1:11" x14ac:dyDescent="0.35">
      <c r="A3152" s="13"/>
      <c r="E3152" s="8"/>
      <c r="F3152" s="1"/>
      <c r="J3152" s="2"/>
      <c r="K3152" s="7"/>
    </row>
    <row r="3153" spans="1:11" x14ac:dyDescent="0.35">
      <c r="A3153" s="13"/>
      <c r="E3153" s="8"/>
      <c r="F3153" s="1"/>
      <c r="J3153" s="2"/>
      <c r="K3153" s="7"/>
    </row>
    <row r="3154" spans="1:11" x14ac:dyDescent="0.35">
      <c r="A3154" s="13"/>
      <c r="E3154" s="8"/>
      <c r="F3154" s="1"/>
      <c r="J3154" s="2"/>
      <c r="K3154" s="7"/>
    </row>
    <row r="3155" spans="1:11" x14ac:dyDescent="0.35">
      <c r="A3155" s="13"/>
      <c r="E3155" s="8"/>
      <c r="F3155" s="1"/>
      <c r="J3155" s="2"/>
      <c r="K3155" s="7"/>
    </row>
    <row r="3156" spans="1:11" x14ac:dyDescent="0.35">
      <c r="A3156" s="13"/>
      <c r="E3156" s="8"/>
      <c r="F3156" s="1"/>
      <c r="J3156" s="2"/>
      <c r="K3156" s="7"/>
    </row>
    <row r="3157" spans="1:11" x14ac:dyDescent="0.35">
      <c r="A3157" s="13"/>
      <c r="E3157" s="8"/>
      <c r="F3157" s="1"/>
      <c r="J3157" s="2"/>
      <c r="K3157" s="7"/>
    </row>
    <row r="3158" spans="1:11" x14ac:dyDescent="0.35">
      <c r="A3158" s="13"/>
      <c r="E3158" s="8"/>
      <c r="F3158" s="1"/>
      <c r="J3158" s="2"/>
      <c r="K3158" s="7"/>
    </row>
    <row r="3159" spans="1:11" x14ac:dyDescent="0.35">
      <c r="A3159" s="13"/>
      <c r="E3159" s="8"/>
      <c r="F3159" s="1"/>
      <c r="J3159" s="2"/>
      <c r="K3159" s="7"/>
    </row>
    <row r="3160" spans="1:11" x14ac:dyDescent="0.35">
      <c r="A3160" s="13"/>
      <c r="E3160" s="8"/>
      <c r="F3160" s="1"/>
      <c r="J3160" s="2"/>
      <c r="K3160" s="7"/>
    </row>
    <row r="3161" spans="1:11" x14ac:dyDescent="0.35">
      <c r="A3161" s="13"/>
      <c r="E3161" s="8"/>
      <c r="F3161" s="1"/>
      <c r="J3161" s="2"/>
      <c r="K3161" s="7"/>
    </row>
    <row r="3162" spans="1:11" x14ac:dyDescent="0.35">
      <c r="A3162" s="13"/>
      <c r="E3162" s="8"/>
      <c r="F3162" s="1"/>
      <c r="J3162" s="2"/>
      <c r="K3162" s="7"/>
    </row>
    <row r="3163" spans="1:11" x14ac:dyDescent="0.35">
      <c r="A3163" s="13"/>
      <c r="E3163" s="8"/>
      <c r="F3163" s="1"/>
      <c r="J3163" s="2"/>
      <c r="K3163" s="7"/>
    </row>
    <row r="3164" spans="1:11" x14ac:dyDescent="0.35">
      <c r="A3164" s="13"/>
      <c r="E3164" s="8"/>
      <c r="F3164" s="1"/>
      <c r="J3164" s="2"/>
      <c r="K3164" s="7"/>
    </row>
    <row r="3165" spans="1:11" x14ac:dyDescent="0.35">
      <c r="A3165" s="13"/>
      <c r="E3165" s="8"/>
      <c r="F3165" s="1"/>
      <c r="J3165" s="2"/>
      <c r="K3165" s="7"/>
    </row>
    <row r="3166" spans="1:11" x14ac:dyDescent="0.35">
      <c r="A3166" s="13"/>
      <c r="E3166" s="8"/>
      <c r="F3166" s="1"/>
      <c r="J3166" s="2"/>
      <c r="K3166" s="7"/>
    </row>
    <row r="3167" spans="1:11" x14ac:dyDescent="0.35">
      <c r="A3167" s="13"/>
      <c r="E3167" s="8"/>
      <c r="F3167" s="1"/>
      <c r="J3167" s="2"/>
      <c r="K3167" s="7"/>
    </row>
    <row r="3168" spans="1:11" x14ac:dyDescent="0.35">
      <c r="A3168" s="13"/>
      <c r="E3168" s="8"/>
      <c r="F3168" s="1"/>
      <c r="J3168" s="2"/>
      <c r="K3168" s="7"/>
    </row>
    <row r="3169" spans="1:11" x14ac:dyDescent="0.35">
      <c r="A3169" s="13"/>
      <c r="E3169" s="8"/>
      <c r="F3169" s="1"/>
      <c r="J3169" s="2"/>
      <c r="K3169" s="7"/>
    </row>
    <row r="3170" spans="1:11" x14ac:dyDescent="0.35">
      <c r="A3170" s="13"/>
      <c r="E3170" s="8"/>
      <c r="F3170" s="1"/>
      <c r="J3170" s="2"/>
      <c r="K3170" s="7"/>
    </row>
    <row r="3171" spans="1:11" x14ac:dyDescent="0.35">
      <c r="A3171" s="13"/>
      <c r="E3171" s="8"/>
      <c r="F3171" s="1"/>
      <c r="J3171" s="2"/>
      <c r="K3171" s="7"/>
    </row>
    <row r="3172" spans="1:11" x14ac:dyDescent="0.35">
      <c r="A3172" s="13"/>
      <c r="E3172" s="8"/>
      <c r="F3172" s="1"/>
      <c r="J3172" s="2"/>
      <c r="K3172" s="7"/>
    </row>
    <row r="3173" spans="1:11" x14ac:dyDescent="0.35">
      <c r="A3173" s="13"/>
      <c r="E3173" s="8"/>
      <c r="F3173" s="1"/>
      <c r="J3173" s="2"/>
      <c r="K3173" s="7"/>
    </row>
    <row r="3174" spans="1:11" x14ac:dyDescent="0.35">
      <c r="A3174" s="13"/>
      <c r="E3174" s="8"/>
      <c r="F3174" s="1"/>
      <c r="J3174" s="2"/>
      <c r="K3174" s="7"/>
    </row>
    <row r="3175" spans="1:11" x14ac:dyDescent="0.35">
      <c r="A3175" s="13"/>
      <c r="E3175" s="8"/>
      <c r="F3175" s="1"/>
      <c r="J3175" s="2"/>
      <c r="K3175" s="7"/>
    </row>
    <row r="3176" spans="1:11" x14ac:dyDescent="0.35">
      <c r="A3176" s="13"/>
      <c r="E3176" s="8"/>
      <c r="F3176" s="1"/>
      <c r="J3176" s="2"/>
      <c r="K3176" s="7"/>
    </row>
    <row r="3177" spans="1:11" x14ac:dyDescent="0.35">
      <c r="A3177" s="13"/>
      <c r="E3177" s="8"/>
      <c r="F3177" s="1"/>
      <c r="J3177" s="2"/>
      <c r="K3177" s="7"/>
    </row>
    <row r="3178" spans="1:11" x14ac:dyDescent="0.35">
      <c r="A3178" s="13"/>
      <c r="E3178" s="8"/>
      <c r="F3178" s="1"/>
      <c r="J3178" s="2"/>
      <c r="K3178" s="7"/>
    </row>
    <row r="3179" spans="1:11" x14ac:dyDescent="0.35">
      <c r="A3179" s="13"/>
      <c r="E3179" s="8"/>
      <c r="F3179" s="1"/>
      <c r="J3179" s="2"/>
      <c r="K3179" s="7"/>
    </row>
    <row r="3180" spans="1:11" x14ac:dyDescent="0.35">
      <c r="A3180" s="13"/>
      <c r="E3180" s="8"/>
      <c r="F3180" s="1"/>
      <c r="J3180" s="2"/>
      <c r="K3180" s="7"/>
    </row>
    <row r="3181" spans="1:11" x14ac:dyDescent="0.35">
      <c r="A3181" s="13"/>
      <c r="E3181" s="8"/>
      <c r="F3181" s="1"/>
      <c r="J3181" s="2"/>
      <c r="K3181" s="7"/>
    </row>
    <row r="3182" spans="1:11" x14ac:dyDescent="0.35">
      <c r="A3182" s="13"/>
      <c r="E3182" s="8"/>
      <c r="F3182" s="1"/>
      <c r="J3182" s="2"/>
      <c r="K3182" s="7"/>
    </row>
    <row r="3183" spans="1:11" x14ac:dyDescent="0.35">
      <c r="A3183" s="13"/>
      <c r="E3183" s="8"/>
      <c r="F3183" s="1"/>
      <c r="J3183" s="2"/>
      <c r="K3183" s="7"/>
    </row>
    <row r="3184" spans="1:11" x14ac:dyDescent="0.35">
      <c r="A3184" s="13"/>
      <c r="E3184" s="8"/>
      <c r="F3184" s="1"/>
      <c r="J3184" s="2"/>
      <c r="K3184" s="7"/>
    </row>
    <row r="3185" spans="1:11" x14ac:dyDescent="0.35">
      <c r="A3185" s="13"/>
      <c r="E3185" s="8"/>
      <c r="F3185" s="1"/>
      <c r="J3185" s="2"/>
      <c r="K3185" s="7"/>
    </row>
    <row r="3186" spans="1:11" x14ac:dyDescent="0.35">
      <c r="A3186" s="13"/>
      <c r="E3186" s="8"/>
      <c r="F3186" s="1"/>
      <c r="J3186" s="2"/>
      <c r="K3186" s="7"/>
    </row>
    <row r="3187" spans="1:11" x14ac:dyDescent="0.35">
      <c r="A3187" s="13"/>
      <c r="E3187" s="8"/>
      <c r="F3187" s="1"/>
      <c r="J3187" s="2"/>
      <c r="K3187" s="7"/>
    </row>
    <row r="3188" spans="1:11" x14ac:dyDescent="0.35">
      <c r="A3188" s="13"/>
      <c r="E3188" s="8"/>
      <c r="F3188" s="1"/>
      <c r="J3188" s="2"/>
      <c r="K3188" s="7"/>
    </row>
    <row r="3189" spans="1:11" x14ac:dyDescent="0.35">
      <c r="A3189" s="13"/>
      <c r="E3189" s="8"/>
      <c r="F3189" s="1"/>
      <c r="J3189" s="2"/>
      <c r="K3189" s="7"/>
    </row>
    <row r="3190" spans="1:11" x14ac:dyDescent="0.35">
      <c r="A3190" s="13"/>
      <c r="E3190" s="8"/>
      <c r="F3190" s="1"/>
      <c r="J3190" s="2"/>
      <c r="K3190" s="7"/>
    </row>
    <row r="3191" spans="1:11" x14ac:dyDescent="0.35">
      <c r="A3191" s="13"/>
      <c r="E3191" s="8"/>
      <c r="F3191" s="1"/>
      <c r="J3191" s="2"/>
      <c r="K3191" s="7"/>
    </row>
    <row r="3192" spans="1:11" x14ac:dyDescent="0.35">
      <c r="A3192" s="13"/>
      <c r="E3192" s="8"/>
      <c r="F3192" s="1"/>
      <c r="J3192" s="2"/>
      <c r="K3192" s="7"/>
    </row>
    <row r="3193" spans="1:11" x14ac:dyDescent="0.35">
      <c r="A3193" s="13"/>
      <c r="E3193" s="8"/>
      <c r="F3193" s="1"/>
      <c r="J3193" s="2"/>
      <c r="K3193" s="7"/>
    </row>
    <row r="3194" spans="1:11" x14ac:dyDescent="0.35">
      <c r="A3194" s="13"/>
      <c r="E3194" s="8"/>
      <c r="F3194" s="1"/>
      <c r="J3194" s="2"/>
      <c r="K3194" s="7"/>
    </row>
    <row r="3195" spans="1:11" x14ac:dyDescent="0.35">
      <c r="A3195" s="13"/>
      <c r="E3195" s="8"/>
      <c r="F3195" s="1"/>
      <c r="J3195" s="2"/>
      <c r="K3195" s="7"/>
    </row>
    <row r="3196" spans="1:11" x14ac:dyDescent="0.35">
      <c r="A3196" s="13"/>
      <c r="E3196" s="8"/>
      <c r="F3196" s="1"/>
      <c r="J3196" s="2"/>
      <c r="K3196" s="7"/>
    </row>
    <row r="3197" spans="1:11" x14ac:dyDescent="0.35">
      <c r="A3197" s="13"/>
      <c r="E3197" s="8"/>
      <c r="F3197" s="1"/>
      <c r="J3197" s="2"/>
      <c r="K3197" s="7"/>
    </row>
    <row r="3198" spans="1:11" x14ac:dyDescent="0.35">
      <c r="A3198" s="13"/>
      <c r="E3198" s="8"/>
      <c r="F3198" s="1"/>
      <c r="J3198" s="2"/>
      <c r="K3198" s="7"/>
    </row>
    <row r="3199" spans="1:11" x14ac:dyDescent="0.35">
      <c r="A3199" s="13"/>
      <c r="E3199" s="8"/>
      <c r="F3199" s="1"/>
      <c r="J3199" s="2"/>
      <c r="K3199" s="7"/>
    </row>
    <row r="3200" spans="1:11" x14ac:dyDescent="0.35">
      <c r="A3200" s="13"/>
      <c r="E3200" s="8"/>
      <c r="F3200" s="1"/>
      <c r="J3200" s="2"/>
      <c r="K3200" s="7"/>
    </row>
    <row r="3201" spans="1:11" x14ac:dyDescent="0.35">
      <c r="A3201" s="13"/>
      <c r="E3201" s="8"/>
      <c r="F3201" s="1"/>
      <c r="J3201" s="2"/>
      <c r="K3201" s="7"/>
    </row>
    <row r="3202" spans="1:11" x14ac:dyDescent="0.35">
      <c r="A3202" s="13"/>
      <c r="E3202" s="8"/>
      <c r="F3202" s="1"/>
      <c r="J3202" s="2"/>
      <c r="K3202" s="7"/>
    </row>
    <row r="3203" spans="1:11" x14ac:dyDescent="0.35">
      <c r="A3203" s="13"/>
      <c r="E3203" s="8"/>
      <c r="F3203" s="1"/>
      <c r="J3203" s="2"/>
      <c r="K3203" s="7"/>
    </row>
    <row r="3204" spans="1:11" x14ac:dyDescent="0.35">
      <c r="A3204" s="13"/>
      <c r="E3204" s="8"/>
      <c r="F3204" s="1"/>
      <c r="J3204" s="2"/>
      <c r="K3204" s="7"/>
    </row>
    <row r="3205" spans="1:11" x14ac:dyDescent="0.35">
      <c r="A3205" s="13"/>
      <c r="E3205" s="8"/>
      <c r="F3205" s="1"/>
      <c r="J3205" s="2"/>
      <c r="K3205" s="7"/>
    </row>
    <row r="3206" spans="1:11" x14ac:dyDescent="0.35">
      <c r="A3206" s="13"/>
      <c r="E3206" s="8"/>
      <c r="F3206" s="1"/>
      <c r="J3206" s="2"/>
      <c r="K3206" s="7"/>
    </row>
    <row r="3207" spans="1:11" x14ac:dyDescent="0.35">
      <c r="A3207" s="13"/>
      <c r="E3207" s="8"/>
      <c r="F3207" s="1"/>
      <c r="J3207" s="2"/>
      <c r="K3207" s="7"/>
    </row>
    <row r="3208" spans="1:11" x14ac:dyDescent="0.35">
      <c r="A3208" s="13"/>
      <c r="E3208" s="8"/>
      <c r="F3208" s="1"/>
      <c r="J3208" s="2"/>
      <c r="K3208" s="7"/>
    </row>
    <row r="3209" spans="1:11" x14ac:dyDescent="0.35">
      <c r="A3209" s="13"/>
      <c r="E3209" s="8"/>
      <c r="F3209" s="1"/>
      <c r="J3209" s="2"/>
      <c r="K3209" s="7"/>
    </row>
    <row r="3210" spans="1:11" x14ac:dyDescent="0.35">
      <c r="A3210" s="13"/>
      <c r="E3210" s="8"/>
      <c r="F3210" s="1"/>
      <c r="J3210" s="2"/>
      <c r="K3210" s="7"/>
    </row>
    <row r="3211" spans="1:11" x14ac:dyDescent="0.35">
      <c r="A3211" s="13"/>
      <c r="E3211" s="8"/>
      <c r="F3211" s="1"/>
      <c r="J3211" s="2"/>
      <c r="K3211" s="7"/>
    </row>
    <row r="3212" spans="1:11" x14ac:dyDescent="0.35">
      <c r="A3212" s="13"/>
      <c r="E3212" s="8"/>
      <c r="F3212" s="1"/>
      <c r="J3212" s="2"/>
      <c r="K3212" s="7"/>
    </row>
    <row r="3213" spans="1:11" x14ac:dyDescent="0.35">
      <c r="A3213" s="13"/>
      <c r="E3213" s="8"/>
      <c r="F3213" s="1"/>
      <c r="J3213" s="2"/>
      <c r="K3213" s="7"/>
    </row>
    <row r="3214" spans="1:11" x14ac:dyDescent="0.35">
      <c r="A3214" s="13"/>
      <c r="E3214" s="8"/>
      <c r="F3214" s="1"/>
      <c r="J3214" s="2"/>
      <c r="K3214" s="7"/>
    </row>
    <row r="3215" spans="1:11" x14ac:dyDescent="0.35">
      <c r="A3215" s="13"/>
      <c r="E3215" s="8"/>
      <c r="F3215" s="1"/>
      <c r="J3215" s="2"/>
      <c r="K3215" s="7"/>
    </row>
    <row r="3216" spans="1:11" x14ac:dyDescent="0.35">
      <c r="A3216" s="13"/>
      <c r="E3216" s="8"/>
      <c r="F3216" s="1"/>
      <c r="J3216" s="2"/>
      <c r="K3216" s="7"/>
    </row>
    <row r="3217" spans="1:11" x14ac:dyDescent="0.35">
      <c r="A3217" s="13"/>
      <c r="E3217" s="8"/>
      <c r="F3217" s="1"/>
      <c r="J3217" s="2"/>
      <c r="K3217" s="7"/>
    </row>
    <row r="3218" spans="1:11" x14ac:dyDescent="0.35">
      <c r="A3218" s="13"/>
      <c r="E3218" s="8"/>
      <c r="F3218" s="1"/>
      <c r="J3218" s="2"/>
      <c r="K3218" s="7"/>
    </row>
    <row r="3219" spans="1:11" x14ac:dyDescent="0.35">
      <c r="A3219" s="13"/>
      <c r="E3219" s="8"/>
      <c r="F3219" s="1"/>
      <c r="J3219" s="2"/>
      <c r="K3219" s="7"/>
    </row>
    <row r="3220" spans="1:11" x14ac:dyDescent="0.35">
      <c r="A3220" s="13"/>
      <c r="E3220" s="8"/>
      <c r="F3220" s="1"/>
      <c r="J3220" s="2"/>
      <c r="K3220" s="7"/>
    </row>
    <row r="3221" spans="1:11" x14ac:dyDescent="0.35">
      <c r="A3221" s="13"/>
      <c r="E3221" s="8"/>
      <c r="F3221" s="1"/>
      <c r="J3221" s="2"/>
      <c r="K3221" s="7"/>
    </row>
    <row r="3222" spans="1:11" x14ac:dyDescent="0.35">
      <c r="A3222" s="13"/>
      <c r="E3222" s="8"/>
      <c r="F3222" s="1"/>
      <c r="J3222" s="2"/>
      <c r="K3222" s="7"/>
    </row>
    <row r="3223" spans="1:11" x14ac:dyDescent="0.35">
      <c r="A3223" s="13"/>
      <c r="E3223" s="8"/>
      <c r="F3223" s="1"/>
      <c r="J3223" s="2"/>
      <c r="K3223" s="7"/>
    </row>
    <row r="3224" spans="1:11" x14ac:dyDescent="0.35">
      <c r="A3224" s="13"/>
      <c r="E3224" s="8"/>
      <c r="F3224" s="1"/>
      <c r="J3224" s="2"/>
      <c r="K3224" s="7"/>
    </row>
    <row r="3225" spans="1:11" x14ac:dyDescent="0.35">
      <c r="A3225" s="13"/>
      <c r="E3225" s="8"/>
      <c r="F3225" s="1"/>
      <c r="J3225" s="2"/>
      <c r="K3225" s="7"/>
    </row>
    <row r="3226" spans="1:11" x14ac:dyDescent="0.35">
      <c r="A3226" s="13"/>
      <c r="E3226" s="8"/>
      <c r="F3226" s="1"/>
      <c r="J3226" s="2"/>
      <c r="K3226" s="7"/>
    </row>
    <row r="3227" spans="1:11" x14ac:dyDescent="0.35">
      <c r="A3227" s="13"/>
      <c r="E3227" s="8"/>
      <c r="F3227" s="1"/>
      <c r="J3227" s="2"/>
      <c r="K3227" s="7"/>
    </row>
    <row r="3228" spans="1:11" x14ac:dyDescent="0.35">
      <c r="A3228" s="13"/>
      <c r="E3228" s="8"/>
      <c r="F3228" s="1"/>
      <c r="J3228" s="2"/>
      <c r="K3228" s="7"/>
    </row>
    <row r="3229" spans="1:11" x14ac:dyDescent="0.35">
      <c r="A3229" s="13"/>
      <c r="E3229" s="8"/>
      <c r="F3229" s="1"/>
      <c r="J3229" s="2"/>
      <c r="K3229" s="7"/>
    </row>
    <row r="3230" spans="1:11" x14ac:dyDescent="0.35">
      <c r="A3230" s="13"/>
      <c r="E3230" s="8"/>
      <c r="F3230" s="1"/>
      <c r="J3230" s="2"/>
      <c r="K3230" s="7"/>
    </row>
    <row r="3231" spans="1:11" x14ac:dyDescent="0.35">
      <c r="A3231" s="13"/>
      <c r="E3231" s="8"/>
      <c r="F3231" s="1"/>
      <c r="J3231" s="2"/>
      <c r="K3231" s="7"/>
    </row>
    <row r="3232" spans="1:11" x14ac:dyDescent="0.35">
      <c r="A3232" s="13"/>
      <c r="E3232" s="8"/>
      <c r="F3232" s="1"/>
      <c r="J3232" s="2"/>
      <c r="K3232" s="7"/>
    </row>
    <row r="3233" spans="1:11" x14ac:dyDescent="0.35">
      <c r="A3233" s="13"/>
      <c r="E3233" s="8"/>
      <c r="F3233" s="1"/>
      <c r="J3233" s="2"/>
      <c r="K3233" s="7"/>
    </row>
    <row r="3234" spans="1:11" x14ac:dyDescent="0.35">
      <c r="A3234" s="13"/>
      <c r="E3234" s="8"/>
      <c r="F3234" s="1"/>
      <c r="J3234" s="2"/>
      <c r="K3234" s="7"/>
    </row>
    <row r="3235" spans="1:11" x14ac:dyDescent="0.35">
      <c r="A3235" s="13"/>
      <c r="E3235" s="8"/>
      <c r="F3235" s="1"/>
      <c r="J3235" s="2"/>
      <c r="K3235" s="7"/>
    </row>
    <row r="3236" spans="1:11" x14ac:dyDescent="0.35">
      <c r="A3236" s="13"/>
      <c r="E3236" s="8"/>
      <c r="F3236" s="1"/>
      <c r="J3236" s="2"/>
      <c r="K3236" s="7"/>
    </row>
    <row r="3237" spans="1:11" x14ac:dyDescent="0.35">
      <c r="A3237" s="13"/>
      <c r="E3237" s="8"/>
      <c r="F3237" s="1"/>
      <c r="J3237" s="2"/>
      <c r="K3237" s="7"/>
    </row>
    <row r="3238" spans="1:11" x14ac:dyDescent="0.35">
      <c r="A3238" s="13"/>
      <c r="E3238" s="8"/>
      <c r="F3238" s="1"/>
      <c r="J3238" s="2"/>
      <c r="K3238" s="7"/>
    </row>
    <row r="3239" spans="1:11" x14ac:dyDescent="0.35">
      <c r="A3239" s="13"/>
      <c r="E3239" s="8"/>
      <c r="F3239" s="1"/>
      <c r="J3239" s="2"/>
      <c r="K3239" s="7"/>
    </row>
    <row r="3240" spans="1:11" x14ac:dyDescent="0.35">
      <c r="A3240" s="13"/>
      <c r="E3240" s="8"/>
      <c r="F3240" s="1"/>
      <c r="J3240" s="2"/>
      <c r="K3240" s="7"/>
    </row>
    <row r="3241" spans="1:11" x14ac:dyDescent="0.35">
      <c r="A3241" s="13"/>
      <c r="E3241" s="8"/>
      <c r="F3241" s="1"/>
      <c r="J3241" s="2"/>
      <c r="K3241" s="7"/>
    </row>
    <row r="3242" spans="1:11" x14ac:dyDescent="0.35">
      <c r="A3242" s="13"/>
      <c r="E3242" s="8"/>
      <c r="F3242" s="1"/>
      <c r="J3242" s="2"/>
      <c r="K3242" s="7"/>
    </row>
    <row r="3243" spans="1:11" x14ac:dyDescent="0.35">
      <c r="A3243" s="13"/>
      <c r="E3243" s="8"/>
      <c r="F3243" s="1"/>
      <c r="J3243" s="2"/>
      <c r="K3243" s="7"/>
    </row>
    <row r="3244" spans="1:11" x14ac:dyDescent="0.35">
      <c r="A3244" s="13"/>
      <c r="E3244" s="8"/>
      <c r="F3244" s="1"/>
      <c r="J3244" s="2"/>
      <c r="K3244" s="7"/>
    </row>
    <row r="3245" spans="1:11" x14ac:dyDescent="0.35">
      <c r="A3245" s="13"/>
      <c r="E3245" s="8"/>
      <c r="F3245" s="1"/>
      <c r="J3245" s="2"/>
      <c r="K3245" s="7"/>
    </row>
    <row r="3246" spans="1:11" x14ac:dyDescent="0.35">
      <c r="A3246" s="13"/>
      <c r="E3246" s="8"/>
      <c r="F3246" s="1"/>
      <c r="J3246" s="2"/>
      <c r="K3246" s="7"/>
    </row>
    <row r="3247" spans="1:11" x14ac:dyDescent="0.35">
      <c r="A3247" s="13"/>
      <c r="E3247" s="8"/>
      <c r="F3247" s="1"/>
      <c r="J3247" s="2"/>
      <c r="K3247" s="7"/>
    </row>
    <row r="3248" spans="1:11" x14ac:dyDescent="0.35">
      <c r="A3248" s="13"/>
      <c r="E3248" s="8"/>
      <c r="F3248" s="1"/>
      <c r="J3248" s="2"/>
      <c r="K3248" s="7"/>
    </row>
    <row r="3249" spans="1:11" x14ac:dyDescent="0.35">
      <c r="A3249" s="13"/>
      <c r="E3249" s="8"/>
      <c r="F3249" s="1"/>
      <c r="J3249" s="2"/>
      <c r="K3249" s="7"/>
    </row>
    <row r="3250" spans="1:11" x14ac:dyDescent="0.35">
      <c r="A3250" s="13"/>
      <c r="E3250" s="8"/>
      <c r="F3250" s="1"/>
      <c r="J3250" s="2"/>
      <c r="K3250" s="7"/>
    </row>
    <row r="3251" spans="1:11" x14ac:dyDescent="0.35">
      <c r="A3251" s="13"/>
      <c r="E3251" s="8"/>
      <c r="F3251" s="1"/>
      <c r="J3251" s="2"/>
      <c r="K3251" s="7"/>
    </row>
    <row r="3252" spans="1:11" x14ac:dyDescent="0.35">
      <c r="A3252" s="13"/>
      <c r="E3252" s="8"/>
      <c r="F3252" s="1"/>
      <c r="J3252" s="2"/>
      <c r="K3252" s="7"/>
    </row>
    <row r="3253" spans="1:11" x14ac:dyDescent="0.35">
      <c r="A3253" s="13"/>
      <c r="E3253" s="8"/>
      <c r="F3253" s="1"/>
      <c r="J3253" s="2"/>
      <c r="K3253" s="7"/>
    </row>
    <row r="3254" spans="1:11" x14ac:dyDescent="0.35">
      <c r="A3254" s="13"/>
      <c r="E3254" s="8"/>
      <c r="F3254" s="1"/>
      <c r="J3254" s="2"/>
      <c r="K3254" s="7"/>
    </row>
    <row r="3255" spans="1:11" x14ac:dyDescent="0.35">
      <c r="A3255" s="13"/>
      <c r="E3255" s="8"/>
      <c r="F3255" s="1"/>
      <c r="J3255" s="2"/>
      <c r="K3255" s="7"/>
    </row>
    <row r="3256" spans="1:11" x14ac:dyDescent="0.35">
      <c r="A3256" s="13"/>
      <c r="E3256" s="8"/>
      <c r="F3256" s="1"/>
      <c r="J3256" s="2"/>
      <c r="K3256" s="7"/>
    </row>
    <row r="3257" spans="1:11" x14ac:dyDescent="0.35">
      <c r="A3257" s="13"/>
      <c r="E3257" s="8"/>
      <c r="F3257" s="1"/>
      <c r="J3257" s="2"/>
      <c r="K3257" s="7"/>
    </row>
    <row r="3258" spans="1:11" x14ac:dyDescent="0.35">
      <c r="A3258" s="13"/>
      <c r="E3258" s="8"/>
      <c r="F3258" s="1"/>
      <c r="J3258" s="2"/>
      <c r="K3258" s="7"/>
    </row>
    <row r="3259" spans="1:11" x14ac:dyDescent="0.35">
      <c r="A3259" s="13"/>
      <c r="E3259" s="8"/>
      <c r="F3259" s="1"/>
      <c r="J3259" s="2"/>
      <c r="K3259" s="7"/>
    </row>
    <row r="3260" spans="1:11" x14ac:dyDescent="0.35">
      <c r="A3260" s="13"/>
      <c r="E3260" s="8"/>
      <c r="F3260" s="1"/>
      <c r="J3260" s="2"/>
      <c r="K3260" s="7"/>
    </row>
    <row r="3261" spans="1:11" x14ac:dyDescent="0.35">
      <c r="A3261" s="13"/>
      <c r="E3261" s="8"/>
      <c r="F3261" s="1"/>
      <c r="J3261" s="2"/>
      <c r="K3261" s="7"/>
    </row>
    <row r="3262" spans="1:11" x14ac:dyDescent="0.35">
      <c r="A3262" s="13"/>
      <c r="E3262" s="8"/>
      <c r="F3262" s="1"/>
      <c r="J3262" s="2"/>
      <c r="K3262" s="7"/>
    </row>
    <row r="3263" spans="1:11" x14ac:dyDescent="0.35">
      <c r="A3263" s="13"/>
      <c r="E3263" s="8"/>
      <c r="F3263" s="1"/>
      <c r="J3263" s="2"/>
      <c r="K3263" s="7"/>
    </row>
    <row r="3264" spans="1:11" x14ac:dyDescent="0.35">
      <c r="A3264" s="13"/>
      <c r="E3264" s="8"/>
      <c r="F3264" s="1"/>
      <c r="J3264" s="2"/>
      <c r="K3264" s="7"/>
    </row>
    <row r="3265" spans="1:11" x14ac:dyDescent="0.35">
      <c r="A3265" s="13"/>
      <c r="E3265" s="8"/>
      <c r="F3265" s="1"/>
      <c r="J3265" s="2"/>
      <c r="K3265" s="7"/>
    </row>
    <row r="3266" spans="1:11" x14ac:dyDescent="0.35">
      <c r="A3266" s="13"/>
      <c r="E3266" s="8"/>
      <c r="F3266" s="1"/>
      <c r="J3266" s="2"/>
      <c r="K3266" s="7"/>
    </row>
    <row r="3267" spans="1:11" x14ac:dyDescent="0.35">
      <c r="A3267" s="13"/>
      <c r="E3267" s="8"/>
      <c r="F3267" s="1"/>
      <c r="J3267" s="2"/>
      <c r="K3267" s="7"/>
    </row>
    <row r="3268" spans="1:11" x14ac:dyDescent="0.35">
      <c r="A3268" s="13"/>
      <c r="E3268" s="8"/>
      <c r="F3268" s="1"/>
      <c r="J3268" s="2"/>
      <c r="K3268" s="7"/>
    </row>
    <row r="3269" spans="1:11" x14ac:dyDescent="0.35">
      <c r="A3269" s="13"/>
      <c r="E3269" s="8"/>
      <c r="F3269" s="1"/>
      <c r="J3269" s="2"/>
      <c r="K3269" s="7"/>
    </row>
    <row r="3270" spans="1:11" x14ac:dyDescent="0.35">
      <c r="A3270" s="13"/>
      <c r="E3270" s="8"/>
      <c r="F3270" s="1"/>
      <c r="J3270" s="2"/>
      <c r="K3270" s="7"/>
    </row>
    <row r="3271" spans="1:11" x14ac:dyDescent="0.35">
      <c r="A3271" s="13"/>
      <c r="E3271" s="8"/>
      <c r="F3271" s="1"/>
      <c r="J3271" s="2"/>
      <c r="K3271" s="7"/>
    </row>
    <row r="3272" spans="1:11" x14ac:dyDescent="0.35">
      <c r="A3272" s="13"/>
      <c r="E3272" s="8"/>
      <c r="F3272" s="1"/>
      <c r="J3272" s="2"/>
      <c r="K3272" s="7"/>
    </row>
    <row r="3273" spans="1:11" x14ac:dyDescent="0.35">
      <c r="A3273" s="13"/>
      <c r="E3273" s="8"/>
      <c r="F3273" s="1"/>
      <c r="J3273" s="2"/>
      <c r="K3273" s="7"/>
    </row>
    <row r="3274" spans="1:11" x14ac:dyDescent="0.35">
      <c r="A3274" s="13"/>
      <c r="E3274" s="8"/>
      <c r="F3274" s="1"/>
      <c r="J3274" s="2"/>
      <c r="K3274" s="7"/>
    </row>
    <row r="3275" spans="1:11" x14ac:dyDescent="0.35">
      <c r="A3275" s="13"/>
      <c r="E3275" s="8"/>
      <c r="F3275" s="1"/>
      <c r="J3275" s="2"/>
      <c r="K3275" s="7"/>
    </row>
    <row r="3276" spans="1:11" x14ac:dyDescent="0.35">
      <c r="A3276" s="13"/>
      <c r="E3276" s="8"/>
      <c r="F3276" s="1"/>
      <c r="J3276" s="2"/>
      <c r="K3276" s="7"/>
    </row>
    <row r="3277" spans="1:11" x14ac:dyDescent="0.35">
      <c r="A3277" s="13"/>
      <c r="E3277" s="8"/>
      <c r="F3277" s="1"/>
      <c r="J3277" s="2"/>
      <c r="K3277" s="7"/>
    </row>
    <row r="3278" spans="1:11" x14ac:dyDescent="0.35">
      <c r="A3278" s="13"/>
      <c r="E3278" s="8"/>
      <c r="F3278" s="1"/>
      <c r="J3278" s="2"/>
      <c r="K3278" s="7"/>
    </row>
    <row r="3279" spans="1:11" x14ac:dyDescent="0.35">
      <c r="A3279" s="13"/>
      <c r="E3279" s="8"/>
      <c r="F3279" s="1"/>
      <c r="J3279" s="2"/>
      <c r="K3279" s="7"/>
    </row>
    <row r="3280" spans="1:11" x14ac:dyDescent="0.35">
      <c r="A3280" s="13"/>
      <c r="E3280" s="8"/>
      <c r="F3280" s="1"/>
      <c r="J3280" s="2"/>
      <c r="K3280" s="7"/>
    </row>
    <row r="3281" spans="1:11" x14ac:dyDescent="0.35">
      <c r="A3281" s="13"/>
      <c r="E3281" s="8"/>
      <c r="F3281" s="1"/>
      <c r="J3281" s="2"/>
      <c r="K3281" s="7"/>
    </row>
    <row r="3282" spans="1:11" x14ac:dyDescent="0.35">
      <c r="A3282" s="13"/>
      <c r="E3282" s="8"/>
      <c r="F3282" s="1"/>
      <c r="J3282" s="2"/>
      <c r="K3282" s="7"/>
    </row>
    <row r="3283" spans="1:11" x14ac:dyDescent="0.35">
      <c r="A3283" s="13"/>
      <c r="E3283" s="8"/>
      <c r="F3283" s="1"/>
      <c r="J3283" s="2"/>
      <c r="K3283" s="7"/>
    </row>
    <row r="3284" spans="1:11" x14ac:dyDescent="0.35">
      <c r="A3284" s="13"/>
      <c r="E3284" s="8"/>
      <c r="F3284" s="1"/>
      <c r="J3284" s="2"/>
      <c r="K3284" s="7"/>
    </row>
    <row r="3285" spans="1:11" x14ac:dyDescent="0.35">
      <c r="A3285" s="13"/>
      <c r="E3285" s="8"/>
      <c r="F3285" s="1"/>
      <c r="J3285" s="2"/>
      <c r="K3285" s="7"/>
    </row>
    <row r="3286" spans="1:11" x14ac:dyDescent="0.35">
      <c r="A3286" s="13"/>
      <c r="E3286" s="8"/>
      <c r="F3286" s="1"/>
      <c r="J3286" s="2"/>
      <c r="K3286" s="7"/>
    </row>
    <row r="3287" spans="1:11" x14ac:dyDescent="0.35">
      <c r="A3287" s="13"/>
      <c r="E3287" s="8"/>
      <c r="F3287" s="1"/>
      <c r="J3287" s="2"/>
      <c r="K3287" s="7"/>
    </row>
    <row r="3288" spans="1:11" x14ac:dyDescent="0.35">
      <c r="A3288" s="13"/>
      <c r="E3288" s="8"/>
      <c r="F3288" s="1"/>
      <c r="J3288" s="2"/>
      <c r="K3288" s="7"/>
    </row>
    <row r="3289" spans="1:11" x14ac:dyDescent="0.35">
      <c r="A3289" s="13"/>
      <c r="E3289" s="8"/>
      <c r="F3289" s="1"/>
      <c r="J3289" s="2"/>
      <c r="K3289" s="7"/>
    </row>
    <row r="3290" spans="1:11" x14ac:dyDescent="0.35">
      <c r="A3290" s="13"/>
      <c r="E3290" s="8"/>
      <c r="F3290" s="1"/>
      <c r="J3290" s="2"/>
      <c r="K3290" s="7"/>
    </row>
    <row r="3291" spans="1:11" x14ac:dyDescent="0.35">
      <c r="A3291" s="13"/>
      <c r="E3291" s="8"/>
      <c r="F3291" s="1"/>
      <c r="J3291" s="2"/>
      <c r="K3291" s="7"/>
    </row>
    <row r="3292" spans="1:11" x14ac:dyDescent="0.35">
      <c r="A3292" s="13"/>
      <c r="E3292" s="8"/>
      <c r="F3292" s="1"/>
      <c r="J3292" s="2"/>
      <c r="K3292" s="7"/>
    </row>
    <row r="3293" spans="1:11" x14ac:dyDescent="0.35">
      <c r="A3293" s="13"/>
      <c r="E3293" s="8"/>
      <c r="F3293" s="1"/>
      <c r="J3293" s="2"/>
      <c r="K3293" s="7"/>
    </row>
    <row r="3294" spans="1:11" x14ac:dyDescent="0.35">
      <c r="A3294" s="13"/>
      <c r="E3294" s="8"/>
      <c r="F3294" s="1"/>
      <c r="J3294" s="2"/>
      <c r="K3294" s="7"/>
    </row>
    <row r="3295" spans="1:11" x14ac:dyDescent="0.35">
      <c r="A3295" s="13"/>
      <c r="E3295" s="8"/>
      <c r="F3295" s="1"/>
      <c r="J3295" s="2"/>
      <c r="K3295" s="7"/>
    </row>
    <row r="3296" spans="1:11" x14ac:dyDescent="0.35">
      <c r="A3296" s="13"/>
      <c r="E3296" s="8"/>
      <c r="F3296" s="1"/>
      <c r="J3296" s="2"/>
      <c r="K3296" s="7"/>
    </row>
    <row r="3297" spans="1:11" x14ac:dyDescent="0.35">
      <c r="A3297" s="13"/>
      <c r="E3297" s="8"/>
      <c r="F3297" s="1"/>
      <c r="J3297" s="2"/>
      <c r="K3297" s="7"/>
    </row>
    <row r="3298" spans="1:11" x14ac:dyDescent="0.35">
      <c r="A3298" s="13"/>
      <c r="E3298" s="8"/>
      <c r="F3298" s="1"/>
      <c r="J3298" s="2"/>
      <c r="K3298" s="7"/>
    </row>
    <row r="3299" spans="1:11" x14ac:dyDescent="0.35">
      <c r="A3299" s="13"/>
      <c r="E3299" s="8"/>
      <c r="F3299" s="1"/>
      <c r="J3299" s="2"/>
      <c r="K3299" s="7"/>
    </row>
    <row r="3300" spans="1:11" x14ac:dyDescent="0.35">
      <c r="A3300" s="13"/>
      <c r="E3300" s="8"/>
      <c r="F3300" s="1"/>
      <c r="J3300" s="2"/>
      <c r="K3300" s="7"/>
    </row>
    <row r="3301" spans="1:11" x14ac:dyDescent="0.35">
      <c r="A3301" s="13"/>
      <c r="E3301" s="8"/>
      <c r="F3301" s="1"/>
      <c r="J3301" s="2"/>
      <c r="K3301" s="7"/>
    </row>
    <row r="3302" spans="1:11" x14ac:dyDescent="0.35">
      <c r="A3302" s="13"/>
      <c r="E3302" s="8"/>
      <c r="F3302" s="1"/>
      <c r="J3302" s="2"/>
      <c r="K3302" s="7"/>
    </row>
    <row r="3303" spans="1:11" x14ac:dyDescent="0.35">
      <c r="A3303" s="13"/>
      <c r="E3303" s="8"/>
      <c r="F3303" s="1"/>
      <c r="J3303" s="2"/>
      <c r="K3303" s="7"/>
    </row>
    <row r="3304" spans="1:11" x14ac:dyDescent="0.35">
      <c r="A3304" s="13"/>
      <c r="E3304" s="8"/>
      <c r="F3304" s="1"/>
      <c r="J3304" s="2"/>
      <c r="K3304" s="7"/>
    </row>
    <row r="3305" spans="1:11" x14ac:dyDescent="0.35">
      <c r="A3305" s="13"/>
      <c r="E3305" s="8"/>
      <c r="F3305" s="1"/>
      <c r="J3305" s="2"/>
      <c r="K3305" s="7"/>
    </row>
    <row r="3306" spans="1:11" x14ac:dyDescent="0.35">
      <c r="A3306" s="13"/>
      <c r="E3306" s="8"/>
      <c r="F3306" s="1"/>
      <c r="J3306" s="2"/>
      <c r="K3306" s="7"/>
    </row>
    <row r="3307" spans="1:11" x14ac:dyDescent="0.35">
      <c r="A3307" s="13"/>
      <c r="E3307" s="8"/>
      <c r="F3307" s="1"/>
      <c r="J3307" s="2"/>
      <c r="K3307" s="7"/>
    </row>
    <row r="3308" spans="1:11" x14ac:dyDescent="0.35">
      <c r="A3308" s="13"/>
      <c r="E3308" s="8"/>
      <c r="F3308" s="1"/>
      <c r="J3308" s="2"/>
      <c r="K3308" s="7"/>
    </row>
    <row r="3309" spans="1:11" x14ac:dyDescent="0.35">
      <c r="A3309" s="13"/>
      <c r="E3309" s="8"/>
      <c r="F3309" s="1"/>
      <c r="J3309" s="2"/>
      <c r="K3309" s="7"/>
    </row>
    <row r="3310" spans="1:11" x14ac:dyDescent="0.35">
      <c r="A3310" s="13"/>
      <c r="E3310" s="8"/>
      <c r="F3310" s="1"/>
      <c r="J3310" s="2"/>
      <c r="K3310" s="7"/>
    </row>
    <row r="3311" spans="1:11" x14ac:dyDescent="0.35">
      <c r="A3311" s="13"/>
      <c r="E3311" s="8"/>
      <c r="F3311" s="1"/>
      <c r="J3311" s="2"/>
      <c r="K3311" s="7"/>
    </row>
    <row r="3312" spans="1:11" x14ac:dyDescent="0.35">
      <c r="A3312" s="13"/>
      <c r="E3312" s="8"/>
      <c r="F3312" s="1"/>
      <c r="J3312" s="2"/>
      <c r="K3312" s="7"/>
    </row>
    <row r="3313" spans="1:11" x14ac:dyDescent="0.35">
      <c r="A3313" s="13"/>
      <c r="E3313" s="8"/>
      <c r="F3313" s="1"/>
      <c r="J3313" s="2"/>
      <c r="K3313" s="7"/>
    </row>
    <row r="3314" spans="1:11" x14ac:dyDescent="0.35">
      <c r="A3314" s="13"/>
      <c r="E3314" s="8"/>
      <c r="F3314" s="1"/>
      <c r="J3314" s="2"/>
      <c r="K3314" s="7"/>
    </row>
    <row r="3315" spans="1:11" x14ac:dyDescent="0.35">
      <c r="A3315" s="13"/>
      <c r="E3315" s="8"/>
      <c r="F3315" s="1"/>
      <c r="J3315" s="2"/>
      <c r="K3315" s="7"/>
    </row>
    <row r="3316" spans="1:11" x14ac:dyDescent="0.35">
      <c r="A3316" s="13"/>
      <c r="E3316" s="8"/>
      <c r="F3316" s="1"/>
      <c r="J3316" s="2"/>
      <c r="K3316" s="7"/>
    </row>
    <row r="3317" spans="1:11" x14ac:dyDescent="0.35">
      <c r="A3317" s="13"/>
      <c r="E3317" s="8"/>
      <c r="F3317" s="1"/>
      <c r="J3317" s="2"/>
      <c r="K3317" s="7"/>
    </row>
    <row r="3318" spans="1:11" x14ac:dyDescent="0.35">
      <c r="A3318" s="13"/>
      <c r="E3318" s="8"/>
      <c r="F3318" s="1"/>
      <c r="J3318" s="2"/>
      <c r="K3318" s="7"/>
    </row>
    <row r="3319" spans="1:11" x14ac:dyDescent="0.35">
      <c r="A3319" s="13"/>
      <c r="E3319" s="8"/>
      <c r="F3319" s="1"/>
      <c r="J3319" s="2"/>
      <c r="K3319" s="7"/>
    </row>
    <row r="3320" spans="1:11" x14ac:dyDescent="0.35">
      <c r="A3320" s="13"/>
      <c r="E3320" s="8"/>
      <c r="F3320" s="1"/>
      <c r="J3320" s="2"/>
      <c r="K3320" s="7"/>
    </row>
    <row r="3321" spans="1:11" x14ac:dyDescent="0.35">
      <c r="A3321" s="13"/>
      <c r="E3321" s="8"/>
      <c r="F3321" s="1"/>
      <c r="J3321" s="2"/>
      <c r="K3321" s="7"/>
    </row>
    <row r="3322" spans="1:11" x14ac:dyDescent="0.35">
      <c r="A3322" s="13"/>
      <c r="E3322" s="8"/>
      <c r="F3322" s="1"/>
      <c r="J3322" s="2"/>
      <c r="K3322" s="7"/>
    </row>
    <row r="3323" spans="1:11" x14ac:dyDescent="0.35">
      <c r="A3323" s="13"/>
      <c r="E3323" s="8"/>
      <c r="F3323" s="1"/>
      <c r="J3323" s="2"/>
      <c r="K3323" s="7"/>
    </row>
    <row r="3324" spans="1:11" x14ac:dyDescent="0.35">
      <c r="A3324" s="13"/>
      <c r="E3324" s="8"/>
      <c r="F3324" s="1"/>
      <c r="J3324" s="2"/>
      <c r="K3324" s="7"/>
    </row>
    <row r="3325" spans="1:11" x14ac:dyDescent="0.35">
      <c r="A3325" s="13"/>
      <c r="E3325" s="8"/>
      <c r="F3325" s="1"/>
      <c r="J3325" s="2"/>
      <c r="K3325" s="7"/>
    </row>
    <row r="3326" spans="1:11" x14ac:dyDescent="0.35">
      <c r="A3326" s="13"/>
      <c r="E3326" s="8"/>
      <c r="F3326" s="1"/>
      <c r="J3326" s="2"/>
      <c r="K3326" s="7"/>
    </row>
    <row r="3327" spans="1:11" x14ac:dyDescent="0.35">
      <c r="A3327" s="13"/>
      <c r="E3327" s="8"/>
      <c r="F3327" s="1"/>
      <c r="J3327" s="2"/>
      <c r="K3327" s="7"/>
    </row>
    <row r="3328" spans="1:11" x14ac:dyDescent="0.35">
      <c r="A3328" s="13"/>
      <c r="E3328" s="8"/>
      <c r="F3328" s="1"/>
      <c r="J3328" s="2"/>
      <c r="K3328" s="7"/>
    </row>
    <row r="3329" spans="1:11" x14ac:dyDescent="0.35">
      <c r="A3329" s="13"/>
      <c r="E3329" s="8"/>
      <c r="F3329" s="1"/>
      <c r="J3329" s="2"/>
      <c r="K3329" s="7"/>
    </row>
    <row r="3330" spans="1:11" x14ac:dyDescent="0.35">
      <c r="A3330" s="13"/>
      <c r="E3330" s="8"/>
      <c r="F3330" s="1"/>
      <c r="J3330" s="2"/>
      <c r="K3330" s="7"/>
    </row>
    <row r="3331" spans="1:11" x14ac:dyDescent="0.35">
      <c r="A3331" s="13"/>
      <c r="E3331" s="8"/>
      <c r="F3331" s="1"/>
      <c r="J3331" s="2"/>
      <c r="K3331" s="7"/>
    </row>
    <row r="3332" spans="1:11" x14ac:dyDescent="0.35">
      <c r="A3332" s="13"/>
      <c r="E3332" s="8"/>
      <c r="F3332" s="1"/>
      <c r="J3332" s="2"/>
      <c r="K3332" s="7"/>
    </row>
    <row r="3333" spans="1:11" x14ac:dyDescent="0.35">
      <c r="A3333" s="13"/>
      <c r="E3333" s="8"/>
      <c r="F3333" s="1"/>
      <c r="J3333" s="2"/>
      <c r="K3333" s="7"/>
    </row>
    <row r="3334" spans="1:11" x14ac:dyDescent="0.35">
      <c r="A3334" s="13"/>
      <c r="E3334" s="8"/>
      <c r="F3334" s="1"/>
      <c r="J3334" s="2"/>
      <c r="K3334" s="7"/>
    </row>
    <row r="3335" spans="1:11" x14ac:dyDescent="0.35">
      <c r="A3335" s="13"/>
      <c r="E3335" s="8"/>
      <c r="F3335" s="1"/>
      <c r="J3335" s="2"/>
      <c r="K3335" s="7"/>
    </row>
    <row r="3336" spans="1:11" x14ac:dyDescent="0.35">
      <c r="A3336" s="13"/>
      <c r="E3336" s="8"/>
      <c r="F3336" s="1"/>
      <c r="J3336" s="2"/>
      <c r="K3336" s="7"/>
    </row>
    <row r="3337" spans="1:11" x14ac:dyDescent="0.35">
      <c r="A3337" s="13"/>
      <c r="E3337" s="8"/>
      <c r="F3337" s="1"/>
      <c r="J3337" s="2"/>
      <c r="K3337" s="7"/>
    </row>
    <row r="3338" spans="1:11" x14ac:dyDescent="0.35">
      <c r="A3338" s="13"/>
      <c r="E3338" s="8"/>
      <c r="F3338" s="1"/>
      <c r="J3338" s="2"/>
      <c r="K3338" s="7"/>
    </row>
    <row r="3339" spans="1:11" x14ac:dyDescent="0.35">
      <c r="A3339" s="13"/>
      <c r="E3339" s="8"/>
      <c r="F3339" s="1"/>
      <c r="J3339" s="2"/>
      <c r="K3339" s="7"/>
    </row>
    <row r="3340" spans="1:11" x14ac:dyDescent="0.35">
      <c r="A3340" s="13"/>
      <c r="E3340" s="8"/>
      <c r="F3340" s="1"/>
      <c r="J3340" s="2"/>
      <c r="K3340" s="7"/>
    </row>
    <row r="3341" spans="1:11" x14ac:dyDescent="0.35">
      <c r="A3341" s="13"/>
      <c r="E3341" s="8"/>
      <c r="F3341" s="1"/>
      <c r="J3341" s="2"/>
      <c r="K3341" s="7"/>
    </row>
    <row r="3342" spans="1:11" x14ac:dyDescent="0.35">
      <c r="A3342" s="13"/>
      <c r="E3342" s="8"/>
      <c r="F3342" s="1"/>
      <c r="J3342" s="2"/>
      <c r="K3342" s="7"/>
    </row>
    <row r="3343" spans="1:11" x14ac:dyDescent="0.35">
      <c r="A3343" s="13"/>
      <c r="E3343" s="8"/>
      <c r="F3343" s="1"/>
      <c r="J3343" s="2"/>
      <c r="K3343" s="7"/>
    </row>
    <row r="3344" spans="1:11" x14ac:dyDescent="0.35">
      <c r="A3344" s="13"/>
      <c r="E3344" s="8"/>
      <c r="F3344" s="1"/>
      <c r="J3344" s="2"/>
      <c r="K3344" s="7"/>
    </row>
    <row r="3345" spans="1:11" x14ac:dyDescent="0.35">
      <c r="A3345" s="13"/>
      <c r="E3345" s="8"/>
      <c r="F3345" s="1"/>
      <c r="J3345" s="2"/>
      <c r="K3345" s="7"/>
    </row>
    <row r="3346" spans="1:11" x14ac:dyDescent="0.35">
      <c r="A3346" s="13"/>
      <c r="E3346" s="8"/>
      <c r="F3346" s="1"/>
      <c r="J3346" s="2"/>
      <c r="K3346" s="7"/>
    </row>
    <row r="3347" spans="1:11" x14ac:dyDescent="0.35">
      <c r="A3347" s="13"/>
      <c r="E3347" s="8"/>
      <c r="F3347" s="1"/>
      <c r="J3347" s="2"/>
      <c r="K3347" s="7"/>
    </row>
    <row r="3348" spans="1:11" x14ac:dyDescent="0.35">
      <c r="A3348" s="13"/>
      <c r="E3348" s="8"/>
      <c r="F3348" s="1"/>
      <c r="J3348" s="2"/>
      <c r="K3348" s="7"/>
    </row>
    <row r="3349" spans="1:11" x14ac:dyDescent="0.35">
      <c r="A3349" s="13"/>
      <c r="E3349" s="8"/>
      <c r="F3349" s="1"/>
      <c r="J3349" s="2"/>
      <c r="K3349" s="7"/>
    </row>
    <row r="3350" spans="1:11" x14ac:dyDescent="0.35">
      <c r="A3350" s="13"/>
      <c r="E3350" s="8"/>
      <c r="F3350" s="1"/>
      <c r="J3350" s="2"/>
      <c r="K3350" s="7"/>
    </row>
    <row r="3351" spans="1:11" x14ac:dyDescent="0.35">
      <c r="A3351" s="13"/>
      <c r="E3351" s="8"/>
      <c r="F3351" s="1"/>
      <c r="J3351" s="2"/>
      <c r="K3351" s="7"/>
    </row>
    <row r="3352" spans="1:11" x14ac:dyDescent="0.35">
      <c r="A3352" s="13"/>
      <c r="E3352" s="8"/>
      <c r="F3352" s="1"/>
      <c r="J3352" s="2"/>
      <c r="K3352" s="7"/>
    </row>
    <row r="3353" spans="1:11" x14ac:dyDescent="0.35">
      <c r="A3353" s="13"/>
      <c r="E3353" s="8"/>
      <c r="F3353" s="1"/>
      <c r="J3353" s="2"/>
      <c r="K3353" s="7"/>
    </row>
    <row r="3354" spans="1:11" x14ac:dyDescent="0.35">
      <c r="A3354" s="13"/>
      <c r="E3354" s="8"/>
      <c r="F3354" s="1"/>
      <c r="J3354" s="2"/>
      <c r="K3354" s="7"/>
    </row>
    <row r="3355" spans="1:11" x14ac:dyDescent="0.35">
      <c r="A3355" s="13"/>
      <c r="E3355" s="8"/>
      <c r="F3355" s="1"/>
      <c r="J3355" s="2"/>
      <c r="K3355" s="7"/>
    </row>
    <row r="3356" spans="1:11" x14ac:dyDescent="0.35">
      <c r="A3356" s="13"/>
      <c r="E3356" s="8"/>
      <c r="F3356" s="1"/>
      <c r="J3356" s="2"/>
      <c r="K3356" s="7"/>
    </row>
    <row r="3357" spans="1:11" x14ac:dyDescent="0.35">
      <c r="A3357" s="13"/>
      <c r="E3357" s="8"/>
      <c r="F3357" s="1"/>
      <c r="J3357" s="2"/>
      <c r="K3357" s="7"/>
    </row>
    <row r="3358" spans="1:11" x14ac:dyDescent="0.35">
      <c r="A3358" s="13"/>
      <c r="E3358" s="8"/>
      <c r="F3358" s="1"/>
      <c r="J3358" s="2"/>
      <c r="K3358" s="7"/>
    </row>
    <row r="3359" spans="1:11" x14ac:dyDescent="0.35">
      <c r="A3359" s="13"/>
      <c r="E3359" s="8"/>
      <c r="F3359" s="1"/>
      <c r="J3359" s="2"/>
      <c r="K3359" s="7"/>
    </row>
    <row r="3360" spans="1:11" x14ac:dyDescent="0.35">
      <c r="A3360" s="13"/>
      <c r="E3360" s="8"/>
      <c r="F3360" s="1"/>
      <c r="J3360" s="2"/>
      <c r="K3360" s="7"/>
    </row>
    <row r="3361" spans="1:11" x14ac:dyDescent="0.35">
      <c r="A3361" s="13"/>
      <c r="E3361" s="8"/>
      <c r="F3361" s="1"/>
      <c r="J3361" s="2"/>
      <c r="K3361" s="7"/>
    </row>
    <row r="3362" spans="1:11" x14ac:dyDescent="0.35">
      <c r="A3362" s="13"/>
      <c r="E3362" s="8"/>
      <c r="F3362" s="1"/>
      <c r="J3362" s="2"/>
      <c r="K3362" s="7"/>
    </row>
    <row r="3363" spans="1:11" x14ac:dyDescent="0.35">
      <c r="A3363" s="13"/>
      <c r="E3363" s="8"/>
      <c r="F3363" s="1"/>
      <c r="J3363" s="2"/>
      <c r="K3363" s="7"/>
    </row>
    <row r="3364" spans="1:11" x14ac:dyDescent="0.35">
      <c r="A3364" s="13"/>
      <c r="E3364" s="8"/>
      <c r="F3364" s="1"/>
      <c r="J3364" s="2"/>
      <c r="K3364" s="7"/>
    </row>
    <row r="3365" spans="1:11" x14ac:dyDescent="0.35">
      <c r="A3365" s="13"/>
      <c r="E3365" s="8"/>
      <c r="F3365" s="1"/>
      <c r="J3365" s="2"/>
      <c r="K3365" s="7"/>
    </row>
    <row r="3366" spans="1:11" x14ac:dyDescent="0.35">
      <c r="A3366" s="13"/>
      <c r="E3366" s="8"/>
      <c r="F3366" s="1"/>
      <c r="J3366" s="2"/>
      <c r="K3366" s="7"/>
    </row>
    <row r="3367" spans="1:11" x14ac:dyDescent="0.35">
      <c r="A3367" s="13"/>
      <c r="E3367" s="8"/>
      <c r="F3367" s="1"/>
      <c r="J3367" s="2"/>
      <c r="K3367" s="7"/>
    </row>
    <row r="3368" spans="1:11" x14ac:dyDescent="0.35">
      <c r="A3368" s="13"/>
      <c r="E3368" s="8"/>
      <c r="F3368" s="1"/>
      <c r="J3368" s="2"/>
      <c r="K3368" s="7"/>
    </row>
    <row r="3369" spans="1:11" x14ac:dyDescent="0.35">
      <c r="A3369" s="13"/>
      <c r="E3369" s="8"/>
      <c r="F3369" s="1"/>
      <c r="J3369" s="2"/>
      <c r="K3369" s="7"/>
    </row>
    <row r="3370" spans="1:11" x14ac:dyDescent="0.35">
      <c r="A3370" s="13"/>
      <c r="E3370" s="8"/>
      <c r="F3370" s="1"/>
      <c r="J3370" s="2"/>
      <c r="K3370" s="7"/>
    </row>
    <row r="3371" spans="1:11" x14ac:dyDescent="0.35">
      <c r="A3371" s="13"/>
      <c r="E3371" s="8"/>
      <c r="F3371" s="1"/>
      <c r="J3371" s="2"/>
      <c r="K3371" s="7"/>
    </row>
    <row r="3372" spans="1:11" x14ac:dyDescent="0.35">
      <c r="A3372" s="13"/>
      <c r="E3372" s="8"/>
      <c r="F3372" s="1"/>
      <c r="J3372" s="2"/>
      <c r="K3372" s="7"/>
    </row>
    <row r="3373" spans="1:11" x14ac:dyDescent="0.35">
      <c r="A3373" s="13"/>
      <c r="E3373" s="8"/>
      <c r="F3373" s="1"/>
      <c r="J3373" s="2"/>
      <c r="K3373" s="7"/>
    </row>
    <row r="3374" spans="1:11" x14ac:dyDescent="0.35">
      <c r="A3374" s="13"/>
      <c r="E3374" s="8"/>
      <c r="F3374" s="1"/>
      <c r="J3374" s="2"/>
      <c r="K3374" s="7"/>
    </row>
    <row r="3375" spans="1:11" x14ac:dyDescent="0.35">
      <c r="A3375" s="13"/>
      <c r="E3375" s="8"/>
      <c r="F3375" s="1"/>
      <c r="J3375" s="2"/>
      <c r="K3375" s="7"/>
    </row>
    <row r="3376" spans="1:11" x14ac:dyDescent="0.35">
      <c r="A3376" s="13"/>
      <c r="E3376" s="8"/>
      <c r="F3376" s="1"/>
      <c r="J3376" s="2"/>
      <c r="K3376" s="7"/>
    </row>
    <row r="3377" spans="1:11" x14ac:dyDescent="0.35">
      <c r="A3377" s="13"/>
      <c r="E3377" s="8"/>
      <c r="F3377" s="1"/>
      <c r="J3377" s="2"/>
      <c r="K3377" s="7"/>
    </row>
    <row r="3378" spans="1:11" x14ac:dyDescent="0.35">
      <c r="A3378" s="13"/>
      <c r="E3378" s="8"/>
      <c r="F3378" s="1"/>
      <c r="J3378" s="2"/>
      <c r="K3378" s="7"/>
    </row>
    <row r="3379" spans="1:11" x14ac:dyDescent="0.35">
      <c r="A3379" s="13"/>
      <c r="E3379" s="8"/>
      <c r="F3379" s="1"/>
      <c r="J3379" s="2"/>
      <c r="K3379" s="7"/>
    </row>
    <row r="3380" spans="1:11" x14ac:dyDescent="0.35">
      <c r="A3380" s="13"/>
      <c r="E3380" s="8"/>
      <c r="F3380" s="1"/>
      <c r="J3380" s="2"/>
      <c r="K3380" s="7"/>
    </row>
    <row r="3381" spans="1:11" x14ac:dyDescent="0.35">
      <c r="A3381" s="13"/>
      <c r="E3381" s="8"/>
      <c r="F3381" s="1"/>
      <c r="J3381" s="2"/>
      <c r="K3381" s="7"/>
    </row>
    <row r="3382" spans="1:11" x14ac:dyDescent="0.35">
      <c r="A3382" s="13"/>
      <c r="E3382" s="8"/>
      <c r="F3382" s="1"/>
      <c r="J3382" s="2"/>
      <c r="K3382" s="7"/>
    </row>
    <row r="3383" spans="1:11" x14ac:dyDescent="0.35">
      <c r="A3383" s="13"/>
      <c r="E3383" s="8"/>
      <c r="F3383" s="1"/>
      <c r="J3383" s="2"/>
      <c r="K3383" s="7"/>
    </row>
    <row r="3384" spans="1:11" x14ac:dyDescent="0.35">
      <c r="A3384" s="13"/>
      <c r="E3384" s="8"/>
      <c r="F3384" s="1"/>
      <c r="J3384" s="2"/>
      <c r="K3384" s="7"/>
    </row>
    <row r="3385" spans="1:11" x14ac:dyDescent="0.35">
      <c r="A3385" s="13"/>
      <c r="E3385" s="8"/>
      <c r="F3385" s="1"/>
      <c r="J3385" s="2"/>
      <c r="K3385" s="7"/>
    </row>
    <row r="3386" spans="1:11" x14ac:dyDescent="0.35">
      <c r="A3386" s="13"/>
      <c r="E3386" s="8"/>
      <c r="F3386" s="1"/>
      <c r="J3386" s="2"/>
      <c r="K3386" s="7"/>
    </row>
    <row r="3387" spans="1:11" x14ac:dyDescent="0.35">
      <c r="A3387" s="13"/>
      <c r="E3387" s="8"/>
      <c r="F3387" s="1"/>
      <c r="J3387" s="2"/>
      <c r="K3387" s="7"/>
    </row>
    <row r="3388" spans="1:11" x14ac:dyDescent="0.35">
      <c r="A3388" s="13"/>
      <c r="E3388" s="8"/>
      <c r="F3388" s="1"/>
      <c r="J3388" s="2"/>
      <c r="K3388" s="7"/>
    </row>
    <row r="3389" spans="1:11" x14ac:dyDescent="0.35">
      <c r="A3389" s="13"/>
      <c r="E3389" s="8"/>
      <c r="F3389" s="1"/>
      <c r="J3389" s="2"/>
      <c r="K3389" s="7"/>
    </row>
    <row r="3390" spans="1:11" x14ac:dyDescent="0.35">
      <c r="A3390" s="13"/>
      <c r="E3390" s="8"/>
      <c r="F3390" s="1"/>
      <c r="J3390" s="2"/>
      <c r="K3390" s="7"/>
    </row>
    <row r="3391" spans="1:11" x14ac:dyDescent="0.35">
      <c r="A3391" s="13"/>
      <c r="E3391" s="8"/>
      <c r="F3391" s="1"/>
      <c r="J3391" s="2"/>
      <c r="K3391" s="7"/>
    </row>
    <row r="3392" spans="1:11" x14ac:dyDescent="0.35">
      <c r="A3392" s="13"/>
      <c r="E3392" s="8"/>
      <c r="F3392" s="1"/>
      <c r="J3392" s="2"/>
      <c r="K3392" s="7"/>
    </row>
    <row r="3393" spans="1:11" x14ac:dyDescent="0.35">
      <c r="A3393" s="13"/>
      <c r="E3393" s="8"/>
      <c r="F3393" s="1"/>
      <c r="J3393" s="2"/>
      <c r="K3393" s="7"/>
    </row>
    <row r="3394" spans="1:11" x14ac:dyDescent="0.35">
      <c r="A3394" s="13"/>
      <c r="E3394" s="8"/>
      <c r="F3394" s="1"/>
      <c r="J3394" s="2"/>
      <c r="K3394" s="7"/>
    </row>
    <row r="3395" spans="1:11" x14ac:dyDescent="0.35">
      <c r="A3395" s="13"/>
      <c r="E3395" s="8"/>
      <c r="F3395" s="1"/>
      <c r="J3395" s="2"/>
      <c r="K3395" s="7"/>
    </row>
    <row r="3396" spans="1:11" x14ac:dyDescent="0.35">
      <c r="A3396" s="13"/>
      <c r="E3396" s="8"/>
      <c r="F3396" s="1"/>
      <c r="J3396" s="2"/>
      <c r="K3396" s="7"/>
    </row>
    <row r="3397" spans="1:11" x14ac:dyDescent="0.35">
      <c r="A3397" s="13"/>
      <c r="E3397" s="8"/>
      <c r="F3397" s="1"/>
      <c r="J3397" s="2"/>
      <c r="K3397" s="7"/>
    </row>
    <row r="3398" spans="1:11" x14ac:dyDescent="0.35">
      <c r="A3398" s="13"/>
      <c r="E3398" s="8"/>
      <c r="F3398" s="1"/>
      <c r="J3398" s="2"/>
      <c r="K3398" s="7"/>
    </row>
    <row r="3399" spans="1:11" x14ac:dyDescent="0.35">
      <c r="A3399" s="13"/>
      <c r="E3399" s="8"/>
      <c r="F3399" s="1"/>
      <c r="J3399" s="2"/>
      <c r="K3399" s="7"/>
    </row>
    <row r="3400" spans="1:11" x14ac:dyDescent="0.35">
      <c r="A3400" s="13"/>
      <c r="E3400" s="8"/>
      <c r="F3400" s="1"/>
      <c r="J3400" s="2"/>
      <c r="K3400" s="7"/>
    </row>
    <row r="3401" spans="1:11" x14ac:dyDescent="0.35">
      <c r="A3401" s="13"/>
      <c r="E3401" s="8"/>
      <c r="F3401" s="1"/>
      <c r="J3401" s="2"/>
      <c r="K3401" s="7"/>
    </row>
    <row r="3402" spans="1:11" x14ac:dyDescent="0.35">
      <c r="A3402" s="13"/>
      <c r="E3402" s="8"/>
      <c r="F3402" s="1"/>
      <c r="J3402" s="2"/>
      <c r="K3402" s="7"/>
    </row>
    <row r="3403" spans="1:11" x14ac:dyDescent="0.35">
      <c r="A3403" s="13"/>
      <c r="E3403" s="8"/>
      <c r="F3403" s="1"/>
      <c r="J3403" s="2"/>
      <c r="K3403" s="7"/>
    </row>
    <row r="3404" spans="1:11" x14ac:dyDescent="0.35">
      <c r="A3404" s="13"/>
      <c r="E3404" s="8"/>
      <c r="F3404" s="1"/>
      <c r="J3404" s="2"/>
      <c r="K3404" s="7"/>
    </row>
    <row r="3405" spans="1:11" x14ac:dyDescent="0.35">
      <c r="A3405" s="13"/>
      <c r="E3405" s="8"/>
      <c r="F3405" s="1"/>
      <c r="J3405" s="2"/>
      <c r="K3405" s="7"/>
    </row>
    <row r="3406" spans="1:11" x14ac:dyDescent="0.35">
      <c r="A3406" s="13"/>
      <c r="E3406" s="8"/>
      <c r="F3406" s="1"/>
      <c r="J3406" s="2"/>
      <c r="K3406" s="7"/>
    </row>
    <row r="3407" spans="1:11" x14ac:dyDescent="0.35">
      <c r="A3407" s="13"/>
      <c r="E3407" s="8"/>
      <c r="F3407" s="1"/>
      <c r="J3407" s="2"/>
      <c r="K3407" s="7"/>
    </row>
    <row r="3408" spans="1:11" x14ac:dyDescent="0.35">
      <c r="A3408" s="13"/>
      <c r="E3408" s="8"/>
      <c r="F3408" s="1"/>
      <c r="J3408" s="2"/>
      <c r="K3408" s="7"/>
    </row>
    <row r="3409" spans="1:11" x14ac:dyDescent="0.35">
      <c r="A3409" s="13"/>
      <c r="E3409" s="8"/>
      <c r="F3409" s="1"/>
      <c r="J3409" s="2"/>
      <c r="K3409" s="7"/>
    </row>
    <row r="3410" spans="1:11" x14ac:dyDescent="0.35">
      <c r="A3410" s="13"/>
      <c r="E3410" s="8"/>
      <c r="F3410" s="1"/>
      <c r="J3410" s="2"/>
      <c r="K3410" s="7"/>
    </row>
    <row r="3411" spans="1:11" x14ac:dyDescent="0.35">
      <c r="A3411" s="13"/>
      <c r="E3411" s="8"/>
      <c r="F3411" s="1"/>
      <c r="J3411" s="2"/>
      <c r="K3411" s="7"/>
    </row>
    <row r="3412" spans="1:11" x14ac:dyDescent="0.35">
      <c r="A3412" s="13"/>
      <c r="E3412" s="8"/>
      <c r="F3412" s="1"/>
      <c r="J3412" s="2"/>
      <c r="K3412" s="7"/>
    </row>
    <row r="3413" spans="1:11" x14ac:dyDescent="0.35">
      <c r="A3413" s="13"/>
      <c r="E3413" s="8"/>
      <c r="F3413" s="1"/>
      <c r="J3413" s="2"/>
      <c r="K3413" s="7"/>
    </row>
    <row r="3414" spans="1:11" x14ac:dyDescent="0.35">
      <c r="A3414" s="13"/>
      <c r="E3414" s="8"/>
      <c r="F3414" s="1"/>
      <c r="J3414" s="2"/>
      <c r="K3414" s="7"/>
    </row>
    <row r="3415" spans="1:11" x14ac:dyDescent="0.35">
      <c r="A3415" s="13"/>
      <c r="E3415" s="8"/>
      <c r="F3415" s="1"/>
      <c r="J3415" s="2"/>
      <c r="K3415" s="7"/>
    </row>
    <row r="3416" spans="1:11" x14ac:dyDescent="0.35">
      <c r="A3416" s="13"/>
      <c r="E3416" s="8"/>
      <c r="F3416" s="1"/>
      <c r="J3416" s="2"/>
      <c r="K3416" s="7"/>
    </row>
    <row r="3417" spans="1:11" x14ac:dyDescent="0.35">
      <c r="A3417" s="13"/>
      <c r="E3417" s="8"/>
      <c r="F3417" s="1"/>
      <c r="J3417" s="2"/>
      <c r="K3417" s="7"/>
    </row>
    <row r="3418" spans="1:11" x14ac:dyDescent="0.35">
      <c r="A3418" s="13"/>
      <c r="E3418" s="8"/>
      <c r="F3418" s="1"/>
      <c r="J3418" s="2"/>
      <c r="K3418" s="7"/>
    </row>
    <row r="3419" spans="1:11" x14ac:dyDescent="0.35">
      <c r="A3419" s="13"/>
      <c r="E3419" s="8"/>
      <c r="F3419" s="1"/>
      <c r="J3419" s="2"/>
      <c r="K3419" s="7"/>
    </row>
    <row r="3420" spans="1:11" x14ac:dyDescent="0.35">
      <c r="A3420" s="13"/>
      <c r="E3420" s="8"/>
      <c r="F3420" s="1"/>
      <c r="J3420" s="2"/>
      <c r="K3420" s="7"/>
    </row>
    <row r="3421" spans="1:11" x14ac:dyDescent="0.35">
      <c r="A3421" s="13"/>
      <c r="E3421" s="8"/>
      <c r="F3421" s="1"/>
      <c r="J3421" s="2"/>
      <c r="K3421" s="7"/>
    </row>
    <row r="3422" spans="1:11" x14ac:dyDescent="0.35">
      <c r="A3422" s="13"/>
      <c r="E3422" s="8"/>
      <c r="F3422" s="1"/>
      <c r="J3422" s="2"/>
      <c r="K3422" s="7"/>
    </row>
    <row r="3423" spans="1:11" x14ac:dyDescent="0.35">
      <c r="A3423" s="13"/>
      <c r="E3423" s="8"/>
      <c r="F3423" s="1"/>
      <c r="J3423" s="2"/>
      <c r="K3423" s="7"/>
    </row>
    <row r="3424" spans="1:11" x14ac:dyDescent="0.35">
      <c r="A3424" s="13"/>
      <c r="E3424" s="8"/>
      <c r="F3424" s="1"/>
      <c r="J3424" s="2"/>
      <c r="K3424" s="7"/>
    </row>
    <row r="3425" spans="1:11" x14ac:dyDescent="0.35">
      <c r="A3425" s="13"/>
      <c r="E3425" s="8"/>
      <c r="F3425" s="1"/>
      <c r="J3425" s="2"/>
      <c r="K3425" s="7"/>
    </row>
    <row r="3426" spans="1:11" x14ac:dyDescent="0.35">
      <c r="A3426" s="13"/>
      <c r="E3426" s="8"/>
      <c r="F3426" s="1"/>
      <c r="J3426" s="2"/>
      <c r="K3426" s="7"/>
    </row>
    <row r="3427" spans="1:11" x14ac:dyDescent="0.35">
      <c r="A3427" s="13"/>
      <c r="E3427" s="8"/>
      <c r="F3427" s="1"/>
      <c r="J3427" s="2"/>
      <c r="K3427" s="7"/>
    </row>
    <row r="3428" spans="1:11" x14ac:dyDescent="0.35">
      <c r="A3428" s="13"/>
      <c r="E3428" s="8"/>
      <c r="F3428" s="1"/>
      <c r="J3428" s="2"/>
      <c r="K3428" s="7"/>
    </row>
    <row r="3429" spans="1:11" x14ac:dyDescent="0.35">
      <c r="A3429" s="13"/>
      <c r="E3429" s="8"/>
      <c r="F3429" s="1"/>
      <c r="J3429" s="2"/>
      <c r="K3429" s="7"/>
    </row>
    <row r="3430" spans="1:11" x14ac:dyDescent="0.35">
      <c r="A3430" s="13"/>
      <c r="E3430" s="8"/>
      <c r="F3430" s="1"/>
      <c r="J3430" s="2"/>
      <c r="K3430" s="7"/>
    </row>
    <row r="3431" spans="1:11" x14ac:dyDescent="0.35">
      <c r="A3431" s="13"/>
      <c r="E3431" s="8"/>
      <c r="F3431" s="1"/>
      <c r="J3431" s="2"/>
      <c r="K3431" s="7"/>
    </row>
    <row r="3432" spans="1:11" x14ac:dyDescent="0.35">
      <c r="A3432" s="13"/>
      <c r="E3432" s="8"/>
      <c r="F3432" s="1"/>
      <c r="J3432" s="2"/>
      <c r="K3432" s="7"/>
    </row>
    <row r="3433" spans="1:11" x14ac:dyDescent="0.35">
      <c r="A3433" s="13"/>
      <c r="E3433" s="8"/>
      <c r="F3433" s="1"/>
      <c r="J3433" s="2"/>
      <c r="K3433" s="7"/>
    </row>
    <row r="3434" spans="1:11" x14ac:dyDescent="0.35">
      <c r="A3434" s="13"/>
      <c r="E3434" s="8"/>
      <c r="F3434" s="1"/>
      <c r="J3434" s="2"/>
      <c r="K3434" s="7"/>
    </row>
    <row r="3435" spans="1:11" x14ac:dyDescent="0.35">
      <c r="A3435" s="13"/>
      <c r="E3435" s="8"/>
      <c r="F3435" s="1"/>
      <c r="J3435" s="2"/>
      <c r="K3435" s="7"/>
    </row>
    <row r="3436" spans="1:11" x14ac:dyDescent="0.35">
      <c r="A3436" s="13"/>
      <c r="E3436" s="8"/>
      <c r="F3436" s="1"/>
      <c r="J3436" s="2"/>
      <c r="K3436" s="7"/>
    </row>
    <row r="3437" spans="1:11" x14ac:dyDescent="0.35">
      <c r="A3437" s="13"/>
      <c r="E3437" s="8"/>
      <c r="F3437" s="1"/>
      <c r="J3437" s="2"/>
      <c r="K3437" s="7"/>
    </row>
    <row r="3438" spans="1:11" x14ac:dyDescent="0.35">
      <c r="A3438" s="13"/>
      <c r="E3438" s="8"/>
      <c r="F3438" s="1"/>
      <c r="J3438" s="2"/>
      <c r="K3438" s="7"/>
    </row>
    <row r="3439" spans="1:11" x14ac:dyDescent="0.35">
      <c r="A3439" s="13"/>
      <c r="E3439" s="8"/>
      <c r="F3439" s="1"/>
      <c r="J3439" s="2"/>
      <c r="K3439" s="7"/>
    </row>
    <row r="3440" spans="1:11" x14ac:dyDescent="0.35">
      <c r="A3440" s="13"/>
      <c r="E3440" s="8"/>
      <c r="F3440" s="1"/>
      <c r="J3440" s="2"/>
      <c r="K3440" s="7"/>
    </row>
    <row r="3441" spans="1:11" x14ac:dyDescent="0.35">
      <c r="A3441" s="13"/>
      <c r="E3441" s="8"/>
      <c r="F3441" s="1"/>
      <c r="J3441" s="2"/>
      <c r="K3441" s="7"/>
    </row>
    <row r="3442" spans="1:11" x14ac:dyDescent="0.35">
      <c r="A3442" s="13"/>
      <c r="E3442" s="8"/>
      <c r="F3442" s="1"/>
      <c r="J3442" s="2"/>
      <c r="K3442" s="7"/>
    </row>
    <row r="3443" spans="1:11" x14ac:dyDescent="0.35">
      <c r="A3443" s="13"/>
      <c r="E3443" s="8"/>
      <c r="F3443" s="1"/>
      <c r="J3443" s="2"/>
      <c r="K3443" s="7"/>
    </row>
    <row r="3444" spans="1:11" x14ac:dyDescent="0.35">
      <c r="A3444" s="13"/>
      <c r="E3444" s="8"/>
      <c r="F3444" s="1"/>
      <c r="J3444" s="2"/>
      <c r="K3444" s="7"/>
    </row>
    <row r="3445" spans="1:11" x14ac:dyDescent="0.35">
      <c r="A3445" s="13"/>
      <c r="E3445" s="8"/>
      <c r="F3445" s="1"/>
      <c r="J3445" s="2"/>
      <c r="K3445" s="7"/>
    </row>
    <row r="3446" spans="1:11" x14ac:dyDescent="0.35">
      <c r="A3446" s="13"/>
      <c r="E3446" s="8"/>
      <c r="F3446" s="1"/>
      <c r="J3446" s="2"/>
      <c r="K3446" s="7"/>
    </row>
    <row r="3447" spans="1:11" x14ac:dyDescent="0.35">
      <c r="A3447" s="13"/>
      <c r="E3447" s="8"/>
      <c r="F3447" s="1"/>
      <c r="J3447" s="2"/>
      <c r="K3447" s="7"/>
    </row>
    <row r="3448" spans="1:11" x14ac:dyDescent="0.35">
      <c r="A3448" s="13"/>
      <c r="E3448" s="8"/>
      <c r="F3448" s="1"/>
      <c r="J3448" s="2"/>
      <c r="K3448" s="7"/>
    </row>
    <row r="3449" spans="1:11" x14ac:dyDescent="0.35">
      <c r="A3449" s="13"/>
      <c r="E3449" s="8"/>
      <c r="F3449" s="1"/>
      <c r="J3449" s="2"/>
      <c r="K3449" s="7"/>
    </row>
    <row r="3450" spans="1:11" x14ac:dyDescent="0.35">
      <c r="A3450" s="13"/>
      <c r="E3450" s="8"/>
      <c r="F3450" s="1"/>
      <c r="J3450" s="2"/>
      <c r="K3450" s="7"/>
    </row>
    <row r="3451" spans="1:11" x14ac:dyDescent="0.35">
      <c r="A3451" s="13"/>
      <c r="E3451" s="8"/>
      <c r="F3451" s="1"/>
      <c r="J3451" s="2"/>
      <c r="K3451" s="7"/>
    </row>
    <row r="3452" spans="1:11" x14ac:dyDescent="0.35">
      <c r="A3452" s="13"/>
      <c r="E3452" s="8"/>
      <c r="F3452" s="1"/>
      <c r="J3452" s="2"/>
      <c r="K3452" s="7"/>
    </row>
    <row r="3453" spans="1:11" x14ac:dyDescent="0.35">
      <c r="A3453" s="13"/>
      <c r="E3453" s="8"/>
      <c r="F3453" s="1"/>
      <c r="J3453" s="2"/>
      <c r="K3453" s="7"/>
    </row>
    <row r="3454" spans="1:11" x14ac:dyDescent="0.35">
      <c r="A3454" s="13"/>
      <c r="E3454" s="8"/>
      <c r="F3454" s="1"/>
      <c r="J3454" s="2"/>
      <c r="K3454" s="7"/>
    </row>
    <row r="3455" spans="1:11" x14ac:dyDescent="0.35">
      <c r="A3455" s="13"/>
      <c r="E3455" s="8"/>
      <c r="F3455" s="1"/>
      <c r="J3455" s="2"/>
      <c r="K3455" s="7"/>
    </row>
    <row r="3456" spans="1:11" x14ac:dyDescent="0.35">
      <c r="A3456" s="13"/>
      <c r="E3456" s="8"/>
      <c r="F3456" s="1"/>
      <c r="J3456" s="2"/>
      <c r="K3456" s="7"/>
    </row>
    <row r="3457" spans="1:11" x14ac:dyDescent="0.35">
      <c r="A3457" s="13"/>
      <c r="E3457" s="8"/>
      <c r="F3457" s="1"/>
      <c r="J3457" s="2"/>
      <c r="K3457" s="7"/>
    </row>
    <row r="3458" spans="1:11" x14ac:dyDescent="0.35">
      <c r="A3458" s="13"/>
      <c r="E3458" s="8"/>
      <c r="F3458" s="1"/>
      <c r="J3458" s="2"/>
      <c r="K3458" s="7"/>
    </row>
    <row r="3459" spans="1:11" x14ac:dyDescent="0.35">
      <c r="A3459" s="13"/>
      <c r="E3459" s="8"/>
      <c r="F3459" s="1"/>
      <c r="J3459" s="2"/>
      <c r="K3459" s="7"/>
    </row>
    <row r="3460" spans="1:11" x14ac:dyDescent="0.35">
      <c r="A3460" s="13"/>
      <c r="E3460" s="8"/>
      <c r="F3460" s="1"/>
      <c r="J3460" s="2"/>
      <c r="K3460" s="7"/>
    </row>
    <row r="3461" spans="1:11" x14ac:dyDescent="0.35">
      <c r="A3461" s="13"/>
      <c r="E3461" s="8"/>
      <c r="F3461" s="1"/>
      <c r="J3461" s="2"/>
      <c r="K3461" s="7"/>
    </row>
    <row r="3462" spans="1:11" x14ac:dyDescent="0.35">
      <c r="A3462" s="13"/>
      <c r="E3462" s="8"/>
      <c r="F3462" s="1"/>
      <c r="J3462" s="2"/>
      <c r="K3462" s="7"/>
    </row>
    <row r="3463" spans="1:11" x14ac:dyDescent="0.35">
      <c r="A3463" s="13"/>
      <c r="E3463" s="8"/>
      <c r="F3463" s="1"/>
      <c r="J3463" s="2"/>
      <c r="K3463" s="7"/>
    </row>
    <row r="3464" spans="1:11" x14ac:dyDescent="0.35">
      <c r="A3464" s="13"/>
      <c r="E3464" s="8"/>
      <c r="F3464" s="1"/>
      <c r="J3464" s="2"/>
      <c r="K3464" s="7"/>
    </row>
    <row r="3465" spans="1:11" x14ac:dyDescent="0.35">
      <c r="A3465" s="13"/>
      <c r="E3465" s="8"/>
      <c r="F3465" s="1"/>
      <c r="J3465" s="2"/>
      <c r="K3465" s="7"/>
    </row>
    <row r="3466" spans="1:11" x14ac:dyDescent="0.35">
      <c r="A3466" s="13"/>
      <c r="E3466" s="8"/>
      <c r="F3466" s="1"/>
      <c r="J3466" s="2"/>
      <c r="K3466" s="7"/>
    </row>
    <row r="3467" spans="1:11" x14ac:dyDescent="0.35">
      <c r="A3467" s="13"/>
      <c r="E3467" s="8"/>
      <c r="F3467" s="1"/>
      <c r="J3467" s="2"/>
      <c r="K3467" s="7"/>
    </row>
    <row r="3468" spans="1:11" x14ac:dyDescent="0.35">
      <c r="A3468" s="13"/>
      <c r="E3468" s="8"/>
      <c r="F3468" s="1"/>
      <c r="J3468" s="2"/>
      <c r="K3468" s="7"/>
    </row>
    <row r="3469" spans="1:11" x14ac:dyDescent="0.35">
      <c r="A3469" s="13"/>
      <c r="E3469" s="8"/>
      <c r="F3469" s="1"/>
      <c r="J3469" s="2"/>
      <c r="K3469" s="7"/>
    </row>
    <row r="3470" spans="1:11" x14ac:dyDescent="0.35">
      <c r="A3470" s="13"/>
      <c r="E3470" s="8"/>
      <c r="F3470" s="1"/>
      <c r="J3470" s="2"/>
      <c r="K3470" s="7"/>
    </row>
    <row r="3471" spans="1:11" x14ac:dyDescent="0.35">
      <c r="A3471" s="13"/>
      <c r="E3471" s="8"/>
      <c r="F3471" s="1"/>
      <c r="J3471" s="2"/>
      <c r="K3471" s="7"/>
    </row>
    <row r="3472" spans="1:11" x14ac:dyDescent="0.35">
      <c r="A3472" s="13"/>
      <c r="E3472" s="8"/>
      <c r="F3472" s="1"/>
      <c r="J3472" s="2"/>
      <c r="K3472" s="7"/>
    </row>
    <row r="3473" spans="1:11" x14ac:dyDescent="0.35">
      <c r="A3473" s="13"/>
      <c r="E3473" s="8"/>
      <c r="F3473" s="1"/>
      <c r="J3473" s="2"/>
      <c r="K3473" s="7"/>
    </row>
    <row r="3474" spans="1:11" x14ac:dyDescent="0.35">
      <c r="A3474" s="13"/>
      <c r="E3474" s="8"/>
      <c r="F3474" s="1"/>
      <c r="J3474" s="2"/>
      <c r="K3474" s="7"/>
    </row>
    <row r="3475" spans="1:11" x14ac:dyDescent="0.35">
      <c r="A3475" s="13"/>
      <c r="E3475" s="8"/>
      <c r="F3475" s="1"/>
      <c r="J3475" s="2"/>
      <c r="K3475" s="7"/>
    </row>
    <row r="3476" spans="1:11" x14ac:dyDescent="0.35">
      <c r="A3476" s="13"/>
      <c r="E3476" s="8"/>
      <c r="F3476" s="1"/>
      <c r="J3476" s="2"/>
      <c r="K3476" s="7"/>
    </row>
    <row r="3477" spans="1:11" x14ac:dyDescent="0.35">
      <c r="A3477" s="13"/>
      <c r="E3477" s="8"/>
      <c r="F3477" s="1"/>
      <c r="J3477" s="2"/>
      <c r="K3477" s="7"/>
    </row>
    <row r="3478" spans="1:11" x14ac:dyDescent="0.35">
      <c r="A3478" s="13"/>
      <c r="E3478" s="8"/>
      <c r="F3478" s="1"/>
      <c r="J3478" s="2"/>
      <c r="K3478" s="7"/>
    </row>
    <row r="3479" spans="1:11" x14ac:dyDescent="0.35">
      <c r="A3479" s="13"/>
      <c r="E3479" s="8"/>
      <c r="F3479" s="1"/>
      <c r="J3479" s="2"/>
      <c r="K3479" s="7"/>
    </row>
    <row r="3480" spans="1:11" x14ac:dyDescent="0.35">
      <c r="A3480" s="13"/>
      <c r="E3480" s="8"/>
      <c r="F3480" s="1"/>
      <c r="J3480" s="2"/>
      <c r="K3480" s="7"/>
    </row>
    <row r="3481" spans="1:11" x14ac:dyDescent="0.35">
      <c r="A3481" s="13"/>
      <c r="E3481" s="8"/>
      <c r="F3481" s="1"/>
      <c r="J3481" s="2"/>
      <c r="K3481" s="7"/>
    </row>
    <row r="3482" spans="1:11" x14ac:dyDescent="0.35">
      <c r="A3482" s="13"/>
      <c r="E3482" s="8"/>
      <c r="F3482" s="1"/>
      <c r="J3482" s="2"/>
      <c r="K3482" s="7"/>
    </row>
    <row r="3483" spans="1:11" x14ac:dyDescent="0.35">
      <c r="A3483" s="13"/>
      <c r="E3483" s="8"/>
      <c r="F3483" s="1"/>
      <c r="J3483" s="2"/>
      <c r="K3483" s="7"/>
    </row>
    <row r="3484" spans="1:11" x14ac:dyDescent="0.35">
      <c r="A3484" s="13"/>
      <c r="E3484" s="8"/>
      <c r="F3484" s="1"/>
      <c r="J3484" s="2"/>
      <c r="K3484" s="7"/>
    </row>
    <row r="3485" spans="1:11" x14ac:dyDescent="0.35">
      <c r="A3485" s="13"/>
      <c r="E3485" s="8"/>
      <c r="F3485" s="1"/>
      <c r="J3485" s="2"/>
      <c r="K3485" s="7"/>
    </row>
    <row r="3486" spans="1:11" x14ac:dyDescent="0.35">
      <c r="A3486" s="13"/>
      <c r="E3486" s="8"/>
      <c r="F3486" s="1"/>
      <c r="J3486" s="2"/>
      <c r="K3486" s="7"/>
    </row>
    <row r="3487" spans="1:11" x14ac:dyDescent="0.35">
      <c r="A3487" s="13"/>
      <c r="E3487" s="8"/>
      <c r="F3487" s="1"/>
      <c r="J3487" s="2"/>
      <c r="K3487" s="7"/>
    </row>
    <row r="3488" spans="1:11" x14ac:dyDescent="0.35">
      <c r="A3488" s="13"/>
      <c r="E3488" s="8"/>
      <c r="F3488" s="1"/>
      <c r="J3488" s="2"/>
      <c r="K3488" s="7"/>
    </row>
    <row r="3489" spans="1:11" x14ac:dyDescent="0.35">
      <c r="A3489" s="13"/>
      <c r="E3489" s="8"/>
      <c r="F3489" s="1"/>
      <c r="J3489" s="2"/>
      <c r="K3489" s="7"/>
    </row>
    <row r="3490" spans="1:11" x14ac:dyDescent="0.35">
      <c r="A3490" s="13"/>
      <c r="E3490" s="8"/>
      <c r="F3490" s="1"/>
      <c r="J3490" s="2"/>
      <c r="K3490" s="7"/>
    </row>
    <row r="3491" spans="1:11" x14ac:dyDescent="0.35">
      <c r="A3491" s="13"/>
      <c r="E3491" s="8"/>
      <c r="F3491" s="1"/>
      <c r="J3491" s="2"/>
      <c r="K3491" s="7"/>
    </row>
    <row r="3492" spans="1:11" x14ac:dyDescent="0.35">
      <c r="A3492" s="13"/>
      <c r="E3492" s="8"/>
      <c r="F3492" s="1"/>
      <c r="J3492" s="2"/>
      <c r="K3492" s="7"/>
    </row>
    <row r="3493" spans="1:11" x14ac:dyDescent="0.35">
      <c r="A3493" s="13"/>
      <c r="E3493" s="8"/>
      <c r="F3493" s="1"/>
      <c r="J3493" s="2"/>
      <c r="K3493" s="7"/>
    </row>
    <row r="3494" spans="1:11" x14ac:dyDescent="0.35">
      <c r="A3494" s="13"/>
      <c r="E3494" s="8"/>
      <c r="F3494" s="1"/>
      <c r="J3494" s="2"/>
      <c r="K3494" s="7"/>
    </row>
    <row r="3495" spans="1:11" x14ac:dyDescent="0.35">
      <c r="A3495" s="13"/>
      <c r="E3495" s="8"/>
      <c r="F3495" s="1"/>
      <c r="J3495" s="2"/>
      <c r="K3495" s="7"/>
    </row>
    <row r="3496" spans="1:11" x14ac:dyDescent="0.35">
      <c r="A3496" s="13"/>
      <c r="E3496" s="8"/>
      <c r="F3496" s="1"/>
      <c r="J3496" s="2"/>
      <c r="K3496" s="7"/>
    </row>
    <row r="3497" spans="1:11" x14ac:dyDescent="0.35">
      <c r="A3497" s="13"/>
      <c r="E3497" s="8"/>
      <c r="F3497" s="1"/>
      <c r="J3497" s="2"/>
      <c r="K3497" s="7"/>
    </row>
    <row r="3498" spans="1:11" x14ac:dyDescent="0.35">
      <c r="A3498" s="13"/>
      <c r="E3498" s="8"/>
      <c r="F3498" s="1"/>
      <c r="J3498" s="2"/>
      <c r="K3498" s="7"/>
    </row>
    <row r="3499" spans="1:11" x14ac:dyDescent="0.35">
      <c r="A3499" s="13"/>
      <c r="E3499" s="8"/>
      <c r="F3499" s="1"/>
      <c r="J3499" s="2"/>
      <c r="K3499" s="7"/>
    </row>
    <row r="3500" spans="1:11" x14ac:dyDescent="0.35">
      <c r="A3500" s="13"/>
      <c r="E3500" s="8"/>
      <c r="F3500" s="1"/>
      <c r="J3500" s="2"/>
      <c r="K3500" s="7"/>
    </row>
    <row r="3501" spans="1:11" x14ac:dyDescent="0.35">
      <c r="A3501" s="13"/>
      <c r="E3501" s="8"/>
      <c r="F3501" s="1"/>
      <c r="J3501" s="2"/>
      <c r="K3501" s="7"/>
    </row>
    <row r="3502" spans="1:11" x14ac:dyDescent="0.35">
      <c r="A3502" s="13"/>
      <c r="E3502" s="8"/>
      <c r="F3502" s="1"/>
      <c r="J3502" s="2"/>
      <c r="K3502" s="7"/>
    </row>
    <row r="3503" spans="1:11" x14ac:dyDescent="0.35">
      <c r="A3503" s="13"/>
      <c r="E3503" s="8"/>
      <c r="F3503" s="1"/>
      <c r="J3503" s="2"/>
      <c r="K3503" s="7"/>
    </row>
    <row r="3504" spans="1:11" x14ac:dyDescent="0.35">
      <c r="A3504" s="13"/>
      <c r="E3504" s="8"/>
      <c r="F3504" s="1"/>
      <c r="J3504" s="2"/>
      <c r="K3504" s="7"/>
    </row>
    <row r="3505" spans="1:11" x14ac:dyDescent="0.35">
      <c r="A3505" s="13"/>
      <c r="E3505" s="8"/>
      <c r="F3505" s="1"/>
      <c r="J3505" s="2"/>
      <c r="K3505" s="7"/>
    </row>
    <row r="3506" spans="1:11" x14ac:dyDescent="0.35">
      <c r="A3506" s="13"/>
      <c r="E3506" s="8"/>
      <c r="F3506" s="1"/>
      <c r="J3506" s="2"/>
      <c r="K3506" s="7"/>
    </row>
    <row r="3507" spans="1:11" x14ac:dyDescent="0.35">
      <c r="A3507" s="13"/>
      <c r="E3507" s="8"/>
      <c r="F3507" s="1"/>
      <c r="J3507" s="2"/>
      <c r="K3507" s="7"/>
    </row>
    <row r="3508" spans="1:11" x14ac:dyDescent="0.35">
      <c r="A3508" s="13"/>
      <c r="E3508" s="8"/>
      <c r="F3508" s="1"/>
      <c r="J3508" s="2"/>
      <c r="K3508" s="7"/>
    </row>
    <row r="3509" spans="1:11" x14ac:dyDescent="0.35">
      <c r="A3509" s="13"/>
      <c r="E3509" s="8"/>
      <c r="F3509" s="1"/>
      <c r="J3509" s="2"/>
      <c r="K3509" s="7"/>
    </row>
    <row r="3510" spans="1:11" x14ac:dyDescent="0.35">
      <c r="A3510" s="13"/>
      <c r="E3510" s="8"/>
      <c r="F3510" s="1"/>
      <c r="J3510" s="2"/>
      <c r="K3510" s="7"/>
    </row>
    <row r="3511" spans="1:11" x14ac:dyDescent="0.35">
      <c r="A3511" s="13"/>
      <c r="E3511" s="8"/>
      <c r="F3511" s="1"/>
      <c r="J3511" s="2"/>
      <c r="K3511" s="7"/>
    </row>
    <row r="3512" spans="1:11" x14ac:dyDescent="0.35">
      <c r="A3512" s="13"/>
      <c r="E3512" s="8"/>
      <c r="F3512" s="1"/>
      <c r="J3512" s="2"/>
      <c r="K3512" s="7"/>
    </row>
    <row r="3513" spans="1:11" x14ac:dyDescent="0.35">
      <c r="A3513" s="13"/>
      <c r="E3513" s="8"/>
      <c r="F3513" s="1"/>
      <c r="J3513" s="2"/>
      <c r="K3513" s="7"/>
    </row>
    <row r="3514" spans="1:11" x14ac:dyDescent="0.35">
      <c r="A3514" s="13"/>
      <c r="E3514" s="8"/>
      <c r="F3514" s="1"/>
      <c r="J3514" s="2"/>
      <c r="K3514" s="7"/>
    </row>
    <row r="3515" spans="1:11" x14ac:dyDescent="0.35">
      <c r="A3515" s="13"/>
      <c r="E3515" s="8"/>
      <c r="F3515" s="1"/>
      <c r="J3515" s="2"/>
      <c r="K3515" s="7"/>
    </row>
    <row r="3516" spans="1:11" x14ac:dyDescent="0.35">
      <c r="A3516" s="13"/>
      <c r="E3516" s="8"/>
      <c r="F3516" s="1"/>
      <c r="J3516" s="2"/>
      <c r="K3516" s="7"/>
    </row>
    <row r="3517" spans="1:11" x14ac:dyDescent="0.35">
      <c r="A3517" s="13"/>
      <c r="E3517" s="8"/>
      <c r="F3517" s="1"/>
      <c r="J3517" s="2"/>
      <c r="K3517" s="7"/>
    </row>
    <row r="3518" spans="1:11" x14ac:dyDescent="0.35">
      <c r="A3518" s="13"/>
      <c r="E3518" s="8"/>
      <c r="F3518" s="1"/>
      <c r="J3518" s="2"/>
      <c r="K3518" s="7"/>
    </row>
    <row r="3519" spans="1:11" x14ac:dyDescent="0.35">
      <c r="A3519" s="13"/>
      <c r="E3519" s="8"/>
      <c r="F3519" s="1"/>
      <c r="J3519" s="2"/>
      <c r="K3519" s="7"/>
    </row>
    <row r="3520" spans="1:11" x14ac:dyDescent="0.35">
      <c r="A3520" s="13"/>
      <c r="E3520" s="8"/>
      <c r="F3520" s="1"/>
      <c r="J3520" s="2"/>
      <c r="K3520" s="7"/>
    </row>
    <row r="3521" spans="1:11" x14ac:dyDescent="0.35">
      <c r="A3521" s="13"/>
      <c r="E3521" s="8"/>
      <c r="F3521" s="1"/>
      <c r="J3521" s="2"/>
      <c r="K3521" s="7"/>
    </row>
    <row r="3522" spans="1:11" x14ac:dyDescent="0.35">
      <c r="A3522" s="13"/>
      <c r="E3522" s="8"/>
      <c r="F3522" s="1"/>
      <c r="J3522" s="2"/>
      <c r="K3522" s="7"/>
    </row>
    <row r="3523" spans="1:11" x14ac:dyDescent="0.35">
      <c r="A3523" s="13"/>
      <c r="E3523" s="8"/>
      <c r="F3523" s="1"/>
      <c r="J3523" s="2"/>
      <c r="K3523" s="7"/>
    </row>
    <row r="3524" spans="1:11" x14ac:dyDescent="0.35">
      <c r="A3524" s="13"/>
      <c r="E3524" s="8"/>
      <c r="F3524" s="1"/>
      <c r="J3524" s="2"/>
      <c r="K3524" s="7"/>
    </row>
    <row r="3525" spans="1:11" x14ac:dyDescent="0.35">
      <c r="A3525" s="13"/>
      <c r="E3525" s="8"/>
      <c r="F3525" s="1"/>
      <c r="J3525" s="2"/>
      <c r="K3525" s="7"/>
    </row>
    <row r="3526" spans="1:11" x14ac:dyDescent="0.35">
      <c r="A3526" s="13"/>
      <c r="E3526" s="8"/>
      <c r="F3526" s="1"/>
      <c r="J3526" s="2"/>
      <c r="K3526" s="7"/>
    </row>
    <row r="3527" spans="1:11" x14ac:dyDescent="0.35">
      <c r="A3527" s="13"/>
      <c r="E3527" s="8"/>
      <c r="F3527" s="1"/>
      <c r="J3527" s="2"/>
      <c r="K3527" s="7"/>
    </row>
    <row r="3528" spans="1:11" x14ac:dyDescent="0.35">
      <c r="A3528" s="13"/>
      <c r="E3528" s="8"/>
      <c r="F3528" s="1"/>
      <c r="J3528" s="2"/>
      <c r="K3528" s="7"/>
    </row>
    <row r="3529" spans="1:11" x14ac:dyDescent="0.35">
      <c r="A3529" s="13"/>
      <c r="E3529" s="8"/>
      <c r="F3529" s="1"/>
      <c r="J3529" s="2"/>
      <c r="K3529" s="7"/>
    </row>
    <row r="3530" spans="1:11" x14ac:dyDescent="0.35">
      <c r="A3530" s="13"/>
      <c r="E3530" s="8"/>
      <c r="F3530" s="1"/>
      <c r="J3530" s="2"/>
      <c r="K3530" s="7"/>
    </row>
    <row r="3531" spans="1:11" x14ac:dyDescent="0.35">
      <c r="A3531" s="13"/>
      <c r="E3531" s="8"/>
      <c r="F3531" s="1"/>
      <c r="J3531" s="2"/>
      <c r="K3531" s="7"/>
    </row>
    <row r="3532" spans="1:11" x14ac:dyDescent="0.35">
      <c r="A3532" s="13"/>
      <c r="E3532" s="8"/>
      <c r="F3532" s="1"/>
      <c r="J3532" s="2"/>
      <c r="K3532" s="7"/>
    </row>
    <row r="3533" spans="1:11" x14ac:dyDescent="0.35">
      <c r="A3533" s="13"/>
      <c r="E3533" s="8"/>
      <c r="F3533" s="1"/>
      <c r="J3533" s="2"/>
      <c r="K3533" s="7"/>
    </row>
    <row r="3534" spans="1:11" x14ac:dyDescent="0.35">
      <c r="A3534" s="13"/>
      <c r="E3534" s="8"/>
      <c r="F3534" s="1"/>
      <c r="J3534" s="2"/>
      <c r="K3534" s="7"/>
    </row>
    <row r="3535" spans="1:11" x14ac:dyDescent="0.35">
      <c r="A3535" s="13"/>
      <c r="E3535" s="8"/>
      <c r="F3535" s="1"/>
      <c r="J3535" s="2"/>
      <c r="K3535" s="7"/>
    </row>
    <row r="3536" spans="1:11" x14ac:dyDescent="0.35">
      <c r="A3536" s="13"/>
      <c r="E3536" s="8"/>
      <c r="F3536" s="1"/>
      <c r="J3536" s="2"/>
      <c r="K3536" s="7"/>
    </row>
    <row r="3537" spans="1:11" x14ac:dyDescent="0.35">
      <c r="A3537" s="13"/>
      <c r="E3537" s="8"/>
      <c r="F3537" s="1"/>
      <c r="J3537" s="2"/>
      <c r="K3537" s="7"/>
    </row>
    <row r="3538" spans="1:11" x14ac:dyDescent="0.35">
      <c r="A3538" s="13"/>
      <c r="E3538" s="8"/>
      <c r="F3538" s="1"/>
      <c r="J3538" s="2"/>
      <c r="K3538" s="7"/>
    </row>
    <row r="3539" spans="1:11" x14ac:dyDescent="0.35">
      <c r="A3539" s="13"/>
      <c r="E3539" s="8"/>
      <c r="F3539" s="1"/>
      <c r="J3539" s="2"/>
      <c r="K3539" s="7"/>
    </row>
    <row r="3540" spans="1:11" x14ac:dyDescent="0.35">
      <c r="A3540" s="13"/>
      <c r="E3540" s="8"/>
      <c r="F3540" s="1"/>
      <c r="J3540" s="2"/>
      <c r="K3540" s="7"/>
    </row>
    <row r="3541" spans="1:11" x14ac:dyDescent="0.35">
      <c r="A3541" s="13"/>
      <c r="E3541" s="8"/>
      <c r="F3541" s="1"/>
      <c r="J3541" s="2"/>
      <c r="K3541" s="7"/>
    </row>
    <row r="3542" spans="1:11" x14ac:dyDescent="0.35">
      <c r="A3542" s="13"/>
      <c r="E3542" s="8"/>
      <c r="F3542" s="1"/>
      <c r="J3542" s="2"/>
      <c r="K3542" s="7"/>
    </row>
    <row r="3543" spans="1:11" x14ac:dyDescent="0.35">
      <c r="A3543" s="13"/>
      <c r="E3543" s="8"/>
      <c r="F3543" s="1"/>
      <c r="J3543" s="2"/>
      <c r="K3543" s="7"/>
    </row>
    <row r="3544" spans="1:11" x14ac:dyDescent="0.35">
      <c r="A3544" s="13"/>
      <c r="E3544" s="8"/>
      <c r="F3544" s="1"/>
      <c r="J3544" s="2"/>
      <c r="K3544" s="7"/>
    </row>
    <row r="3545" spans="1:11" x14ac:dyDescent="0.35">
      <c r="A3545" s="13"/>
      <c r="E3545" s="8"/>
      <c r="F3545" s="1"/>
      <c r="J3545" s="2"/>
      <c r="K3545" s="7"/>
    </row>
    <row r="3546" spans="1:11" x14ac:dyDescent="0.35">
      <c r="A3546" s="13"/>
      <c r="E3546" s="8"/>
      <c r="F3546" s="1"/>
      <c r="J3546" s="2"/>
      <c r="K3546" s="7"/>
    </row>
    <row r="3547" spans="1:11" x14ac:dyDescent="0.35">
      <c r="A3547" s="13"/>
      <c r="E3547" s="8"/>
      <c r="F3547" s="1"/>
      <c r="J3547" s="2"/>
      <c r="K3547" s="7"/>
    </row>
    <row r="3548" spans="1:11" x14ac:dyDescent="0.35">
      <c r="A3548" s="13"/>
      <c r="E3548" s="8"/>
      <c r="F3548" s="1"/>
      <c r="J3548" s="2"/>
      <c r="K3548" s="7"/>
    </row>
    <row r="3549" spans="1:11" x14ac:dyDescent="0.35">
      <c r="A3549" s="13"/>
      <c r="E3549" s="8"/>
      <c r="F3549" s="1"/>
      <c r="J3549" s="2"/>
      <c r="K3549" s="7"/>
    </row>
    <row r="3550" spans="1:11" x14ac:dyDescent="0.35">
      <c r="A3550" s="13"/>
      <c r="E3550" s="8"/>
      <c r="F3550" s="1"/>
      <c r="J3550" s="2"/>
      <c r="K3550" s="7"/>
    </row>
    <row r="3551" spans="1:11" x14ac:dyDescent="0.35">
      <c r="A3551" s="13"/>
      <c r="E3551" s="8"/>
      <c r="F3551" s="1"/>
      <c r="J3551" s="2"/>
      <c r="K3551" s="7"/>
    </row>
    <row r="3552" spans="1:11" x14ac:dyDescent="0.35">
      <c r="A3552" s="13"/>
      <c r="E3552" s="8"/>
      <c r="F3552" s="1"/>
      <c r="J3552" s="2"/>
      <c r="K3552" s="7"/>
    </row>
    <row r="3553" spans="1:11" x14ac:dyDescent="0.35">
      <c r="A3553" s="13"/>
      <c r="E3553" s="8"/>
      <c r="F3553" s="1"/>
      <c r="J3553" s="2"/>
      <c r="K3553" s="7"/>
    </row>
    <row r="3554" spans="1:11" x14ac:dyDescent="0.35">
      <c r="A3554" s="13"/>
      <c r="E3554" s="8"/>
      <c r="F3554" s="1"/>
      <c r="J3554" s="2"/>
      <c r="K3554" s="7"/>
    </row>
    <row r="3555" spans="1:11" x14ac:dyDescent="0.35">
      <c r="A3555" s="13"/>
      <c r="E3555" s="8"/>
      <c r="F3555" s="1"/>
      <c r="J3555" s="2"/>
      <c r="K3555" s="7"/>
    </row>
    <row r="3556" spans="1:11" x14ac:dyDescent="0.35">
      <c r="A3556" s="13"/>
      <c r="E3556" s="8"/>
      <c r="F3556" s="1"/>
      <c r="J3556" s="2"/>
      <c r="K3556" s="7"/>
    </row>
    <row r="3557" spans="1:11" x14ac:dyDescent="0.35">
      <c r="A3557" s="13"/>
      <c r="E3557" s="8"/>
      <c r="F3557" s="1"/>
      <c r="J3557" s="2"/>
      <c r="K3557" s="7"/>
    </row>
    <row r="3558" spans="1:11" x14ac:dyDescent="0.35">
      <c r="A3558" s="13"/>
      <c r="E3558" s="8"/>
      <c r="F3558" s="1"/>
      <c r="J3558" s="2"/>
      <c r="K3558" s="7"/>
    </row>
    <row r="3559" spans="1:11" x14ac:dyDescent="0.35">
      <c r="A3559" s="13"/>
      <c r="E3559" s="8"/>
      <c r="F3559" s="1"/>
      <c r="J3559" s="2"/>
      <c r="K3559" s="7"/>
    </row>
    <row r="3560" spans="1:11" x14ac:dyDescent="0.35">
      <c r="A3560" s="13"/>
      <c r="E3560" s="8"/>
      <c r="F3560" s="1"/>
      <c r="J3560" s="2"/>
      <c r="K3560" s="7"/>
    </row>
    <row r="3561" spans="1:11" x14ac:dyDescent="0.35">
      <c r="A3561" s="13"/>
      <c r="E3561" s="8"/>
      <c r="F3561" s="1"/>
      <c r="J3561" s="2"/>
      <c r="K3561" s="7"/>
    </row>
    <row r="3562" spans="1:11" x14ac:dyDescent="0.35">
      <c r="A3562" s="13"/>
      <c r="E3562" s="8"/>
      <c r="F3562" s="1"/>
      <c r="J3562" s="2"/>
      <c r="K3562" s="7"/>
    </row>
    <row r="3563" spans="1:11" x14ac:dyDescent="0.35">
      <c r="A3563" s="13"/>
      <c r="E3563" s="8"/>
      <c r="F3563" s="1"/>
      <c r="J3563" s="2"/>
      <c r="K3563" s="7"/>
    </row>
    <row r="3564" spans="1:11" x14ac:dyDescent="0.35">
      <c r="A3564" s="13"/>
      <c r="E3564" s="8"/>
      <c r="F3564" s="1"/>
      <c r="J3564" s="2"/>
      <c r="K3564" s="7"/>
    </row>
    <row r="3565" spans="1:11" x14ac:dyDescent="0.35">
      <c r="A3565" s="13"/>
      <c r="E3565" s="8"/>
      <c r="F3565" s="1"/>
      <c r="J3565" s="2"/>
      <c r="K3565" s="7"/>
    </row>
    <row r="3566" spans="1:11" x14ac:dyDescent="0.35">
      <c r="A3566" s="13"/>
      <c r="E3566" s="8"/>
      <c r="F3566" s="1"/>
      <c r="J3566" s="2"/>
      <c r="K3566" s="7"/>
    </row>
    <row r="3567" spans="1:11" x14ac:dyDescent="0.35">
      <c r="A3567" s="13"/>
      <c r="E3567" s="8"/>
      <c r="F3567" s="1"/>
      <c r="J3567" s="2"/>
      <c r="K3567" s="7"/>
    </row>
    <row r="3568" spans="1:11" x14ac:dyDescent="0.35">
      <c r="A3568" s="13"/>
      <c r="E3568" s="8"/>
      <c r="F3568" s="1"/>
      <c r="J3568" s="2"/>
      <c r="K3568" s="7"/>
    </row>
    <row r="3569" spans="1:11" x14ac:dyDescent="0.35">
      <c r="A3569" s="13"/>
      <c r="E3569" s="8"/>
      <c r="F3569" s="1"/>
      <c r="J3569" s="2"/>
      <c r="K3569" s="7"/>
    </row>
    <row r="3570" spans="1:11" x14ac:dyDescent="0.35">
      <c r="A3570" s="13"/>
      <c r="E3570" s="8"/>
      <c r="F3570" s="1"/>
      <c r="J3570" s="2"/>
      <c r="K3570" s="7"/>
    </row>
    <row r="3571" spans="1:11" x14ac:dyDescent="0.35">
      <c r="A3571" s="13"/>
      <c r="E3571" s="8"/>
      <c r="F3571" s="1"/>
      <c r="J3571" s="2"/>
      <c r="K3571" s="7"/>
    </row>
    <row r="3572" spans="1:11" x14ac:dyDescent="0.35">
      <c r="A3572" s="13"/>
      <c r="E3572" s="8"/>
      <c r="F3572" s="1"/>
      <c r="J3572" s="2"/>
      <c r="K3572" s="7"/>
    </row>
    <row r="3573" spans="1:11" x14ac:dyDescent="0.35">
      <c r="A3573" s="13"/>
      <c r="E3573" s="8"/>
      <c r="F3573" s="1"/>
      <c r="J3573" s="2"/>
      <c r="K3573" s="7"/>
    </row>
    <row r="3574" spans="1:11" x14ac:dyDescent="0.35">
      <c r="A3574" s="13"/>
      <c r="E3574" s="8"/>
      <c r="F3574" s="1"/>
      <c r="J3574" s="2"/>
      <c r="K3574" s="7"/>
    </row>
    <row r="3575" spans="1:11" x14ac:dyDescent="0.35">
      <c r="A3575" s="13"/>
      <c r="E3575" s="8"/>
      <c r="F3575" s="1"/>
      <c r="J3575" s="2"/>
      <c r="K3575" s="7"/>
    </row>
    <row r="3576" spans="1:11" x14ac:dyDescent="0.35">
      <c r="A3576" s="13"/>
      <c r="E3576" s="8"/>
      <c r="F3576" s="1"/>
      <c r="J3576" s="2"/>
      <c r="K3576" s="7"/>
    </row>
    <row r="3577" spans="1:11" x14ac:dyDescent="0.35">
      <c r="A3577" s="13"/>
      <c r="E3577" s="8"/>
      <c r="F3577" s="1"/>
      <c r="J3577" s="2"/>
      <c r="K3577" s="7"/>
    </row>
    <row r="3578" spans="1:11" x14ac:dyDescent="0.35">
      <c r="A3578" s="13"/>
      <c r="E3578" s="8"/>
      <c r="F3578" s="1"/>
      <c r="J3578" s="2"/>
      <c r="K3578" s="7"/>
    </row>
    <row r="3579" spans="1:11" x14ac:dyDescent="0.35">
      <c r="A3579" s="13"/>
      <c r="E3579" s="8"/>
      <c r="F3579" s="1"/>
      <c r="J3579" s="2"/>
      <c r="K3579" s="7"/>
    </row>
    <row r="3580" spans="1:11" x14ac:dyDescent="0.35">
      <c r="A3580" s="13"/>
      <c r="E3580" s="8"/>
      <c r="F3580" s="1"/>
      <c r="J3580" s="2"/>
      <c r="K3580" s="7"/>
    </row>
    <row r="3581" spans="1:11" x14ac:dyDescent="0.35">
      <c r="A3581" s="13"/>
      <c r="E3581" s="8"/>
      <c r="F3581" s="1"/>
      <c r="J3581" s="2"/>
      <c r="K3581" s="7"/>
    </row>
    <row r="3582" spans="1:11" x14ac:dyDescent="0.35">
      <c r="A3582" s="13"/>
      <c r="E3582" s="8"/>
      <c r="F3582" s="1"/>
      <c r="J3582" s="2"/>
      <c r="K3582" s="7"/>
    </row>
    <row r="3583" spans="1:11" x14ac:dyDescent="0.35">
      <c r="A3583" s="13"/>
      <c r="E3583" s="8"/>
      <c r="F3583" s="1"/>
      <c r="J3583" s="2"/>
      <c r="K3583" s="7"/>
    </row>
    <row r="3584" spans="1:11" x14ac:dyDescent="0.35">
      <c r="A3584" s="13"/>
      <c r="E3584" s="8"/>
      <c r="F3584" s="1"/>
      <c r="J3584" s="2"/>
      <c r="K3584" s="7"/>
    </row>
    <row r="3585" spans="1:11" x14ac:dyDescent="0.35">
      <c r="A3585" s="13"/>
      <c r="E3585" s="8"/>
      <c r="F3585" s="1"/>
      <c r="J3585" s="2"/>
      <c r="K3585" s="7"/>
    </row>
    <row r="3586" spans="1:11" x14ac:dyDescent="0.35">
      <c r="A3586" s="13"/>
      <c r="E3586" s="8"/>
      <c r="F3586" s="1"/>
      <c r="J3586" s="2"/>
      <c r="K3586" s="7"/>
    </row>
    <row r="3587" spans="1:11" x14ac:dyDescent="0.35">
      <c r="A3587" s="13"/>
      <c r="E3587" s="8"/>
      <c r="F3587" s="1"/>
      <c r="J3587" s="2"/>
      <c r="K3587" s="7"/>
    </row>
    <row r="3588" spans="1:11" x14ac:dyDescent="0.35">
      <c r="A3588" s="13"/>
      <c r="E3588" s="8"/>
      <c r="F3588" s="1"/>
      <c r="J3588" s="2"/>
      <c r="K3588" s="7"/>
    </row>
    <row r="3589" spans="1:11" x14ac:dyDescent="0.35">
      <c r="A3589" s="13"/>
      <c r="E3589" s="8"/>
      <c r="F3589" s="1"/>
      <c r="J3589" s="2"/>
      <c r="K3589" s="7"/>
    </row>
    <row r="3590" spans="1:11" x14ac:dyDescent="0.35">
      <c r="A3590" s="13"/>
      <c r="E3590" s="8"/>
      <c r="F3590" s="1"/>
      <c r="J3590" s="2"/>
      <c r="K3590" s="7"/>
    </row>
    <row r="3591" spans="1:11" x14ac:dyDescent="0.35">
      <c r="A3591" s="13"/>
      <c r="E3591" s="8"/>
      <c r="F3591" s="1"/>
      <c r="J3591" s="2"/>
      <c r="K3591" s="7"/>
    </row>
    <row r="3592" spans="1:11" x14ac:dyDescent="0.35">
      <c r="A3592" s="13"/>
      <c r="E3592" s="8"/>
      <c r="F3592" s="1"/>
      <c r="J3592" s="2"/>
      <c r="K3592" s="7"/>
    </row>
    <row r="3593" spans="1:11" x14ac:dyDescent="0.35">
      <c r="A3593" s="13"/>
      <c r="E3593" s="8"/>
      <c r="F3593" s="1"/>
      <c r="J3593" s="2"/>
      <c r="K3593" s="7"/>
    </row>
    <row r="3594" spans="1:11" x14ac:dyDescent="0.35">
      <c r="A3594" s="13"/>
      <c r="E3594" s="8"/>
      <c r="F3594" s="1"/>
      <c r="J3594" s="2"/>
      <c r="K3594" s="7"/>
    </row>
    <row r="3595" spans="1:11" x14ac:dyDescent="0.35">
      <c r="A3595" s="13"/>
      <c r="E3595" s="8"/>
      <c r="F3595" s="1"/>
      <c r="J3595" s="2"/>
      <c r="K3595" s="7"/>
    </row>
    <row r="3596" spans="1:11" x14ac:dyDescent="0.35">
      <c r="A3596" s="13"/>
      <c r="E3596" s="8"/>
      <c r="F3596" s="1"/>
      <c r="J3596" s="2"/>
      <c r="K3596" s="7"/>
    </row>
    <row r="3597" spans="1:11" x14ac:dyDescent="0.35">
      <c r="A3597" s="13"/>
      <c r="E3597" s="8"/>
      <c r="F3597" s="1"/>
      <c r="J3597" s="2"/>
      <c r="K3597" s="7"/>
    </row>
    <row r="3598" spans="1:11" x14ac:dyDescent="0.35">
      <c r="A3598" s="13"/>
      <c r="E3598" s="8"/>
      <c r="F3598" s="1"/>
      <c r="J3598" s="2"/>
      <c r="K3598" s="7"/>
    </row>
    <row r="3599" spans="1:11" x14ac:dyDescent="0.35">
      <c r="A3599" s="13"/>
      <c r="E3599" s="8"/>
      <c r="F3599" s="1"/>
      <c r="J3599" s="2"/>
      <c r="K3599" s="7"/>
    </row>
    <row r="3600" spans="1:11" x14ac:dyDescent="0.35">
      <c r="A3600" s="13"/>
      <c r="E3600" s="8"/>
      <c r="F3600" s="1"/>
      <c r="J3600" s="2"/>
      <c r="K3600" s="7"/>
    </row>
    <row r="3601" spans="1:11" x14ac:dyDescent="0.35">
      <c r="A3601" s="13"/>
      <c r="E3601" s="8"/>
      <c r="F3601" s="1"/>
      <c r="J3601" s="2"/>
      <c r="K3601" s="7"/>
    </row>
    <row r="3602" spans="1:11" x14ac:dyDescent="0.35">
      <c r="A3602" s="13"/>
      <c r="E3602" s="8"/>
      <c r="F3602" s="1"/>
      <c r="J3602" s="2"/>
      <c r="K3602" s="7"/>
    </row>
    <row r="3603" spans="1:11" x14ac:dyDescent="0.35">
      <c r="A3603" s="13"/>
      <c r="E3603" s="8"/>
      <c r="F3603" s="1"/>
      <c r="J3603" s="2"/>
      <c r="K3603" s="7"/>
    </row>
    <row r="3604" spans="1:11" x14ac:dyDescent="0.35">
      <c r="A3604" s="13"/>
      <c r="E3604" s="8"/>
      <c r="F3604" s="1"/>
      <c r="J3604" s="2"/>
      <c r="K3604" s="7"/>
    </row>
    <row r="3605" spans="1:11" x14ac:dyDescent="0.35">
      <c r="A3605" s="13"/>
      <c r="E3605" s="8"/>
      <c r="F3605" s="1"/>
      <c r="J3605" s="2"/>
      <c r="K3605" s="7"/>
    </row>
    <row r="3606" spans="1:11" x14ac:dyDescent="0.35">
      <c r="A3606" s="13"/>
      <c r="E3606" s="8"/>
      <c r="F3606" s="1"/>
      <c r="J3606" s="2"/>
      <c r="K3606" s="7"/>
    </row>
    <row r="3607" spans="1:11" x14ac:dyDescent="0.35">
      <c r="A3607" s="13"/>
      <c r="E3607" s="8"/>
      <c r="F3607" s="1"/>
      <c r="J3607" s="2"/>
      <c r="K3607" s="7"/>
    </row>
    <row r="3608" spans="1:11" x14ac:dyDescent="0.35">
      <c r="A3608" s="13"/>
      <c r="E3608" s="8"/>
      <c r="F3608" s="1"/>
      <c r="J3608" s="2"/>
      <c r="K3608" s="7"/>
    </row>
    <row r="3609" spans="1:11" x14ac:dyDescent="0.35">
      <c r="A3609" s="13"/>
      <c r="E3609" s="8"/>
      <c r="F3609" s="1"/>
      <c r="J3609" s="2"/>
      <c r="K3609" s="7"/>
    </row>
    <row r="3610" spans="1:11" x14ac:dyDescent="0.35">
      <c r="A3610" s="13"/>
      <c r="E3610" s="8"/>
      <c r="F3610" s="1"/>
      <c r="J3610" s="2"/>
      <c r="K3610" s="7"/>
    </row>
    <row r="3611" spans="1:11" x14ac:dyDescent="0.35">
      <c r="A3611" s="13"/>
      <c r="E3611" s="8"/>
      <c r="F3611" s="1"/>
      <c r="J3611" s="2"/>
      <c r="K3611" s="7"/>
    </row>
    <row r="3612" spans="1:11" x14ac:dyDescent="0.35">
      <c r="A3612" s="13"/>
      <c r="E3612" s="8"/>
      <c r="F3612" s="1"/>
      <c r="J3612" s="2"/>
      <c r="K3612" s="7"/>
    </row>
    <row r="3613" spans="1:11" x14ac:dyDescent="0.35">
      <c r="A3613" s="13"/>
      <c r="E3613" s="8"/>
      <c r="F3613" s="1"/>
      <c r="J3613" s="2"/>
      <c r="K3613" s="7"/>
    </row>
    <row r="3614" spans="1:11" x14ac:dyDescent="0.35">
      <c r="A3614" s="13"/>
      <c r="E3614" s="8"/>
      <c r="F3614" s="1"/>
      <c r="J3614" s="2"/>
      <c r="K3614" s="7"/>
    </row>
    <row r="3615" spans="1:11" x14ac:dyDescent="0.35">
      <c r="A3615" s="13"/>
      <c r="E3615" s="8"/>
      <c r="F3615" s="1"/>
      <c r="J3615" s="2"/>
      <c r="K3615" s="7"/>
    </row>
    <row r="3616" spans="1:11" x14ac:dyDescent="0.35">
      <c r="A3616" s="13"/>
      <c r="E3616" s="8"/>
      <c r="F3616" s="1"/>
      <c r="J3616" s="2"/>
      <c r="K3616" s="7"/>
    </row>
    <row r="3617" spans="1:11" x14ac:dyDescent="0.35">
      <c r="A3617" s="13"/>
      <c r="E3617" s="8"/>
      <c r="F3617" s="1"/>
      <c r="J3617" s="2"/>
      <c r="K3617" s="7"/>
    </row>
    <row r="3618" spans="1:11" x14ac:dyDescent="0.35">
      <c r="A3618" s="13"/>
      <c r="E3618" s="8"/>
      <c r="F3618" s="1"/>
      <c r="J3618" s="2"/>
      <c r="K3618" s="7"/>
    </row>
    <row r="3619" spans="1:11" x14ac:dyDescent="0.35">
      <c r="A3619" s="13"/>
      <c r="E3619" s="8"/>
      <c r="F3619" s="1"/>
      <c r="J3619" s="2"/>
      <c r="K3619" s="7"/>
    </row>
    <row r="3620" spans="1:11" x14ac:dyDescent="0.35">
      <c r="A3620" s="13"/>
      <c r="E3620" s="8"/>
      <c r="F3620" s="1"/>
      <c r="J3620" s="2"/>
      <c r="K3620" s="7"/>
    </row>
    <row r="3621" spans="1:11" x14ac:dyDescent="0.35">
      <c r="A3621" s="13"/>
      <c r="E3621" s="8"/>
      <c r="F3621" s="1"/>
      <c r="J3621" s="2"/>
      <c r="K3621" s="7"/>
    </row>
    <row r="3622" spans="1:11" x14ac:dyDescent="0.35">
      <c r="A3622" s="13"/>
      <c r="E3622" s="8"/>
      <c r="F3622" s="1"/>
      <c r="J3622" s="2"/>
      <c r="K3622" s="7"/>
    </row>
    <row r="3623" spans="1:11" x14ac:dyDescent="0.35">
      <c r="A3623" s="13"/>
      <c r="E3623" s="8"/>
      <c r="F3623" s="1"/>
      <c r="J3623" s="2"/>
      <c r="K3623" s="7"/>
    </row>
    <row r="3624" spans="1:11" x14ac:dyDescent="0.35">
      <c r="A3624" s="13"/>
      <c r="E3624" s="8"/>
      <c r="F3624" s="1"/>
      <c r="J3624" s="2"/>
      <c r="K3624" s="7"/>
    </row>
    <row r="3625" spans="1:11" x14ac:dyDescent="0.35">
      <c r="A3625" s="13"/>
      <c r="E3625" s="8"/>
      <c r="F3625" s="1"/>
      <c r="J3625" s="2"/>
      <c r="K3625" s="7"/>
    </row>
    <row r="3626" spans="1:11" x14ac:dyDescent="0.35">
      <c r="A3626" s="13"/>
      <c r="E3626" s="8"/>
      <c r="F3626" s="1"/>
      <c r="J3626" s="2"/>
      <c r="K3626" s="7"/>
    </row>
    <row r="3627" spans="1:11" x14ac:dyDescent="0.35">
      <c r="A3627" s="13"/>
      <c r="E3627" s="8"/>
      <c r="F3627" s="1"/>
      <c r="J3627" s="2"/>
      <c r="K3627" s="7"/>
    </row>
    <row r="3628" spans="1:11" x14ac:dyDescent="0.35">
      <c r="A3628" s="13"/>
      <c r="E3628" s="8"/>
      <c r="F3628" s="1"/>
      <c r="J3628" s="2"/>
      <c r="K3628" s="7"/>
    </row>
    <row r="3629" spans="1:11" x14ac:dyDescent="0.35">
      <c r="A3629" s="13"/>
      <c r="E3629" s="8"/>
      <c r="F3629" s="1"/>
      <c r="J3629" s="2"/>
      <c r="K3629" s="7"/>
    </row>
    <row r="3630" spans="1:11" x14ac:dyDescent="0.35">
      <c r="A3630" s="13"/>
      <c r="E3630" s="8"/>
      <c r="F3630" s="1"/>
      <c r="J3630" s="2"/>
      <c r="K3630" s="7"/>
    </row>
    <row r="3631" spans="1:11" x14ac:dyDescent="0.35">
      <c r="A3631" s="13"/>
      <c r="E3631" s="8"/>
      <c r="F3631" s="1"/>
      <c r="J3631" s="2"/>
      <c r="K3631" s="7"/>
    </row>
    <row r="3632" spans="1:11" x14ac:dyDescent="0.35">
      <c r="A3632" s="13"/>
      <c r="E3632" s="8"/>
      <c r="F3632" s="1"/>
      <c r="J3632" s="2"/>
      <c r="K3632" s="7"/>
    </row>
    <row r="3633" spans="1:11" x14ac:dyDescent="0.35">
      <c r="A3633" s="13"/>
      <c r="E3633" s="8"/>
      <c r="F3633" s="1"/>
      <c r="J3633" s="2"/>
      <c r="K3633" s="7"/>
    </row>
    <row r="3634" spans="1:11" x14ac:dyDescent="0.35">
      <c r="A3634" s="13"/>
      <c r="E3634" s="8"/>
      <c r="F3634" s="1"/>
      <c r="J3634" s="2"/>
      <c r="K3634" s="7"/>
    </row>
    <row r="3635" spans="1:11" x14ac:dyDescent="0.35">
      <c r="A3635" s="13"/>
      <c r="E3635" s="8"/>
      <c r="F3635" s="1"/>
      <c r="J3635" s="2"/>
      <c r="K3635" s="7"/>
    </row>
    <row r="3636" spans="1:11" x14ac:dyDescent="0.35">
      <c r="A3636" s="13"/>
      <c r="E3636" s="8"/>
      <c r="F3636" s="1"/>
      <c r="J3636" s="2"/>
      <c r="K3636" s="7"/>
    </row>
    <row r="3637" spans="1:11" x14ac:dyDescent="0.35">
      <c r="A3637" s="13"/>
      <c r="E3637" s="8"/>
      <c r="F3637" s="1"/>
      <c r="J3637" s="2"/>
      <c r="K3637" s="7"/>
    </row>
    <row r="3638" spans="1:11" x14ac:dyDescent="0.35">
      <c r="A3638" s="13"/>
      <c r="E3638" s="8"/>
      <c r="F3638" s="1"/>
      <c r="J3638" s="2"/>
      <c r="K3638" s="7"/>
    </row>
    <row r="3639" spans="1:11" x14ac:dyDescent="0.35">
      <c r="A3639" s="13"/>
      <c r="E3639" s="8"/>
      <c r="F3639" s="1"/>
      <c r="J3639" s="2"/>
      <c r="K3639" s="7"/>
    </row>
    <row r="3640" spans="1:11" x14ac:dyDescent="0.35">
      <c r="A3640" s="13"/>
      <c r="E3640" s="8"/>
      <c r="F3640" s="1"/>
      <c r="J3640" s="2"/>
      <c r="K3640" s="7"/>
    </row>
    <row r="3641" spans="1:11" x14ac:dyDescent="0.35">
      <c r="A3641" s="13"/>
      <c r="E3641" s="8"/>
      <c r="F3641" s="1"/>
      <c r="J3641" s="2"/>
      <c r="K3641" s="7"/>
    </row>
    <row r="3642" spans="1:11" x14ac:dyDescent="0.35">
      <c r="A3642" s="13"/>
      <c r="E3642" s="8"/>
      <c r="F3642" s="1"/>
      <c r="J3642" s="2"/>
      <c r="K3642" s="7"/>
    </row>
    <row r="3643" spans="1:11" x14ac:dyDescent="0.35">
      <c r="A3643" s="13"/>
      <c r="E3643" s="8"/>
      <c r="F3643" s="1"/>
      <c r="J3643" s="2"/>
      <c r="K3643" s="7"/>
    </row>
    <row r="3644" spans="1:11" x14ac:dyDescent="0.35">
      <c r="A3644" s="13"/>
      <c r="E3644" s="8"/>
      <c r="F3644" s="1"/>
      <c r="J3644" s="2"/>
      <c r="K3644" s="7"/>
    </row>
    <row r="3645" spans="1:11" x14ac:dyDescent="0.35">
      <c r="A3645" s="13"/>
      <c r="E3645" s="8"/>
      <c r="F3645" s="1"/>
      <c r="J3645" s="2"/>
      <c r="K3645" s="7"/>
    </row>
    <row r="3646" spans="1:11" x14ac:dyDescent="0.35">
      <c r="A3646" s="13"/>
      <c r="E3646" s="8"/>
      <c r="F3646" s="1"/>
      <c r="J3646" s="2"/>
      <c r="K3646" s="7"/>
    </row>
    <row r="3647" spans="1:11" x14ac:dyDescent="0.35">
      <c r="A3647" s="13"/>
      <c r="E3647" s="8"/>
      <c r="F3647" s="1"/>
      <c r="J3647" s="2"/>
      <c r="K3647" s="7"/>
    </row>
    <row r="3648" spans="1:11" x14ac:dyDescent="0.35">
      <c r="A3648" s="13"/>
      <c r="E3648" s="8"/>
      <c r="F3648" s="1"/>
      <c r="J3648" s="2"/>
      <c r="K3648" s="7"/>
    </row>
    <row r="3649" spans="1:11" x14ac:dyDescent="0.35">
      <c r="A3649" s="13"/>
      <c r="E3649" s="8"/>
      <c r="F3649" s="1"/>
      <c r="J3649" s="2"/>
      <c r="K3649" s="7"/>
    </row>
    <row r="3650" spans="1:11" x14ac:dyDescent="0.35">
      <c r="A3650" s="13"/>
      <c r="E3650" s="8"/>
      <c r="F3650" s="1"/>
      <c r="J3650" s="2"/>
      <c r="K3650" s="7"/>
    </row>
    <row r="3651" spans="1:11" x14ac:dyDescent="0.35">
      <c r="A3651" s="13"/>
      <c r="E3651" s="8"/>
      <c r="F3651" s="1"/>
      <c r="J3651" s="2"/>
      <c r="K3651" s="7"/>
    </row>
    <row r="3652" spans="1:11" x14ac:dyDescent="0.35">
      <c r="A3652" s="13"/>
      <c r="E3652" s="8"/>
      <c r="F3652" s="1"/>
      <c r="J3652" s="2"/>
      <c r="K3652" s="7"/>
    </row>
    <row r="3653" spans="1:11" x14ac:dyDescent="0.35">
      <c r="A3653" s="13"/>
      <c r="E3653" s="8"/>
      <c r="F3653" s="1"/>
      <c r="J3653" s="2"/>
      <c r="K3653" s="7"/>
    </row>
    <row r="3654" spans="1:11" x14ac:dyDescent="0.35">
      <c r="A3654" s="13"/>
      <c r="E3654" s="8"/>
      <c r="F3654" s="1"/>
      <c r="J3654" s="2"/>
      <c r="K3654" s="7"/>
    </row>
    <row r="3655" spans="1:11" x14ac:dyDescent="0.35">
      <c r="A3655" s="13"/>
      <c r="E3655" s="8"/>
      <c r="F3655" s="1"/>
      <c r="J3655" s="2"/>
      <c r="K3655" s="7"/>
    </row>
    <row r="3656" spans="1:11" x14ac:dyDescent="0.35">
      <c r="A3656" s="13"/>
      <c r="E3656" s="8"/>
      <c r="F3656" s="1"/>
      <c r="J3656" s="2"/>
      <c r="K3656" s="7"/>
    </row>
    <row r="3657" spans="1:11" x14ac:dyDescent="0.35">
      <c r="A3657" s="13"/>
      <c r="E3657" s="8"/>
      <c r="F3657" s="1"/>
      <c r="J3657" s="2"/>
      <c r="K3657" s="7"/>
    </row>
    <row r="3658" spans="1:11" x14ac:dyDescent="0.35">
      <c r="A3658" s="13"/>
      <c r="E3658" s="8"/>
      <c r="F3658" s="1"/>
      <c r="J3658" s="2"/>
      <c r="K3658" s="7"/>
    </row>
    <row r="3659" spans="1:11" x14ac:dyDescent="0.35">
      <c r="A3659" s="13"/>
      <c r="E3659" s="8"/>
      <c r="F3659" s="1"/>
      <c r="J3659" s="2"/>
      <c r="K3659" s="7"/>
    </row>
    <row r="3660" spans="1:11" x14ac:dyDescent="0.35">
      <c r="A3660" s="13"/>
      <c r="E3660" s="8"/>
      <c r="F3660" s="1"/>
      <c r="J3660" s="2"/>
      <c r="K3660" s="7"/>
    </row>
    <row r="3661" spans="1:11" x14ac:dyDescent="0.35">
      <c r="A3661" s="13"/>
      <c r="E3661" s="8"/>
      <c r="F3661" s="1"/>
      <c r="J3661" s="2"/>
      <c r="K3661" s="7"/>
    </row>
    <row r="3662" spans="1:11" x14ac:dyDescent="0.35">
      <c r="A3662" s="13"/>
      <c r="E3662" s="8"/>
      <c r="F3662" s="1"/>
      <c r="J3662" s="2"/>
      <c r="K3662" s="7"/>
    </row>
    <row r="3663" spans="1:11" x14ac:dyDescent="0.35">
      <c r="A3663" s="13"/>
      <c r="E3663" s="8"/>
      <c r="F3663" s="1"/>
      <c r="J3663" s="2"/>
      <c r="K3663" s="7"/>
    </row>
    <row r="3664" spans="1:11" x14ac:dyDescent="0.35">
      <c r="A3664" s="13"/>
      <c r="E3664" s="8"/>
      <c r="F3664" s="1"/>
      <c r="J3664" s="2"/>
      <c r="K3664" s="7"/>
    </row>
    <row r="3665" spans="1:11" x14ac:dyDescent="0.35">
      <c r="A3665" s="13"/>
      <c r="E3665" s="8"/>
      <c r="F3665" s="1"/>
      <c r="J3665" s="2"/>
      <c r="K3665" s="7"/>
    </row>
    <row r="3666" spans="1:11" x14ac:dyDescent="0.35">
      <c r="A3666" s="13"/>
      <c r="E3666" s="8"/>
      <c r="F3666" s="1"/>
      <c r="J3666" s="2"/>
      <c r="K3666" s="7"/>
    </row>
    <row r="3667" spans="1:11" x14ac:dyDescent="0.35">
      <c r="A3667" s="13"/>
      <c r="E3667" s="8"/>
      <c r="F3667" s="1"/>
      <c r="J3667" s="2"/>
      <c r="K3667" s="7"/>
    </row>
    <row r="3668" spans="1:11" x14ac:dyDescent="0.35">
      <c r="A3668" s="13"/>
      <c r="E3668" s="8"/>
      <c r="F3668" s="1"/>
      <c r="J3668" s="2"/>
      <c r="K3668" s="7"/>
    </row>
    <row r="3669" spans="1:11" x14ac:dyDescent="0.35">
      <c r="A3669" s="13"/>
      <c r="E3669" s="8"/>
      <c r="F3669" s="1"/>
      <c r="J3669" s="2"/>
      <c r="K3669" s="7"/>
    </row>
    <row r="3670" spans="1:11" x14ac:dyDescent="0.35">
      <c r="A3670" s="13"/>
      <c r="E3670" s="8"/>
      <c r="F3670" s="1"/>
      <c r="J3670" s="2"/>
      <c r="K3670" s="7"/>
    </row>
    <row r="3671" spans="1:11" x14ac:dyDescent="0.35">
      <c r="A3671" s="13"/>
      <c r="E3671" s="8"/>
      <c r="F3671" s="1"/>
      <c r="J3671" s="2"/>
      <c r="K3671" s="7"/>
    </row>
    <row r="3672" spans="1:11" x14ac:dyDescent="0.35">
      <c r="A3672" s="13"/>
      <c r="E3672" s="8"/>
      <c r="F3672" s="1"/>
      <c r="J3672" s="2"/>
      <c r="K3672" s="7"/>
    </row>
    <row r="3673" spans="1:11" x14ac:dyDescent="0.35">
      <c r="A3673" s="13"/>
      <c r="E3673" s="8"/>
      <c r="F3673" s="1"/>
      <c r="J3673" s="2"/>
      <c r="K3673" s="7"/>
    </row>
    <row r="3674" spans="1:11" x14ac:dyDescent="0.35">
      <c r="A3674" s="13"/>
      <c r="E3674" s="8"/>
      <c r="F3674" s="1"/>
      <c r="J3674" s="2"/>
      <c r="K3674" s="7"/>
    </row>
    <row r="3675" spans="1:11" x14ac:dyDescent="0.35">
      <c r="A3675" s="13"/>
      <c r="E3675" s="8"/>
      <c r="F3675" s="1"/>
      <c r="J3675" s="2"/>
      <c r="K3675" s="7"/>
    </row>
    <row r="3676" spans="1:11" x14ac:dyDescent="0.35">
      <c r="A3676" s="13"/>
      <c r="E3676" s="8"/>
      <c r="F3676" s="1"/>
      <c r="J3676" s="2"/>
      <c r="K3676" s="7"/>
    </row>
    <row r="3677" spans="1:11" x14ac:dyDescent="0.35">
      <c r="A3677" s="13"/>
      <c r="E3677" s="8"/>
      <c r="F3677" s="1"/>
      <c r="J3677" s="2"/>
      <c r="K3677" s="7"/>
    </row>
    <row r="3678" spans="1:11" x14ac:dyDescent="0.35">
      <c r="A3678" s="13"/>
      <c r="E3678" s="8"/>
      <c r="F3678" s="1"/>
      <c r="J3678" s="2"/>
      <c r="K3678" s="7"/>
    </row>
    <row r="3679" spans="1:11" x14ac:dyDescent="0.35">
      <c r="A3679" s="13"/>
      <c r="E3679" s="8"/>
      <c r="F3679" s="1"/>
      <c r="J3679" s="2"/>
      <c r="K3679" s="7"/>
    </row>
    <row r="3680" spans="1:11" x14ac:dyDescent="0.35">
      <c r="A3680" s="13"/>
      <c r="E3680" s="8"/>
      <c r="F3680" s="1"/>
      <c r="J3680" s="2"/>
      <c r="K3680" s="7"/>
    </row>
    <row r="3681" spans="1:11" x14ac:dyDescent="0.35">
      <c r="A3681" s="13"/>
      <c r="E3681" s="8"/>
      <c r="F3681" s="1"/>
      <c r="J3681" s="2"/>
      <c r="K3681" s="7"/>
    </row>
    <row r="3682" spans="1:11" x14ac:dyDescent="0.35">
      <c r="A3682" s="13"/>
      <c r="E3682" s="8"/>
      <c r="F3682" s="1"/>
      <c r="J3682" s="2"/>
      <c r="K3682" s="7"/>
    </row>
    <row r="3683" spans="1:11" x14ac:dyDescent="0.35">
      <c r="A3683" s="13"/>
      <c r="E3683" s="8"/>
      <c r="F3683" s="1"/>
      <c r="J3683" s="2"/>
      <c r="K3683" s="7"/>
    </row>
    <row r="3684" spans="1:11" x14ac:dyDescent="0.35">
      <c r="A3684" s="13"/>
      <c r="E3684" s="8"/>
      <c r="F3684" s="1"/>
      <c r="J3684" s="2"/>
      <c r="K3684" s="7"/>
    </row>
    <row r="3685" spans="1:11" x14ac:dyDescent="0.35">
      <c r="A3685" s="13"/>
      <c r="E3685" s="8"/>
      <c r="F3685" s="1"/>
      <c r="J3685" s="2"/>
      <c r="K3685" s="7"/>
    </row>
    <row r="3686" spans="1:11" x14ac:dyDescent="0.35">
      <c r="A3686" s="13"/>
      <c r="E3686" s="8"/>
      <c r="F3686" s="1"/>
      <c r="J3686" s="2"/>
      <c r="K3686" s="7"/>
    </row>
    <row r="3687" spans="1:11" x14ac:dyDescent="0.35">
      <c r="A3687" s="13"/>
      <c r="E3687" s="8"/>
      <c r="F3687" s="1"/>
      <c r="J3687" s="2"/>
      <c r="K3687" s="7"/>
    </row>
    <row r="3688" spans="1:11" x14ac:dyDescent="0.35">
      <c r="A3688" s="13"/>
      <c r="E3688" s="8"/>
      <c r="F3688" s="1"/>
      <c r="J3688" s="2"/>
      <c r="K3688" s="7"/>
    </row>
    <row r="3689" spans="1:11" x14ac:dyDescent="0.35">
      <c r="A3689" s="13"/>
      <c r="E3689" s="8"/>
      <c r="F3689" s="1"/>
      <c r="J3689" s="2"/>
      <c r="K3689" s="7"/>
    </row>
    <row r="3690" spans="1:11" x14ac:dyDescent="0.35">
      <c r="A3690" s="13"/>
      <c r="E3690" s="8"/>
      <c r="F3690" s="1"/>
      <c r="J3690" s="2"/>
      <c r="K3690" s="7"/>
    </row>
    <row r="3691" spans="1:11" x14ac:dyDescent="0.35">
      <c r="A3691" s="13"/>
      <c r="E3691" s="8"/>
      <c r="F3691" s="1"/>
      <c r="J3691" s="2"/>
      <c r="K3691" s="7"/>
    </row>
    <row r="3692" spans="1:11" x14ac:dyDescent="0.35">
      <c r="A3692" s="13"/>
      <c r="E3692" s="8"/>
      <c r="F3692" s="1"/>
      <c r="J3692" s="2"/>
      <c r="K3692" s="7"/>
    </row>
    <row r="3693" spans="1:11" x14ac:dyDescent="0.35">
      <c r="A3693" s="13"/>
      <c r="E3693" s="8"/>
      <c r="F3693" s="1"/>
      <c r="J3693" s="2"/>
      <c r="K3693" s="7"/>
    </row>
    <row r="3694" spans="1:11" x14ac:dyDescent="0.35">
      <c r="A3694" s="13"/>
      <c r="E3694" s="8"/>
      <c r="F3694" s="1"/>
      <c r="J3694" s="2"/>
      <c r="K3694" s="7"/>
    </row>
    <row r="3695" spans="1:11" x14ac:dyDescent="0.35">
      <c r="A3695" s="13"/>
      <c r="E3695" s="8"/>
      <c r="F3695" s="1"/>
      <c r="J3695" s="2"/>
      <c r="K3695" s="7"/>
    </row>
    <row r="3696" spans="1:11" x14ac:dyDescent="0.35">
      <c r="A3696" s="13"/>
      <c r="E3696" s="8"/>
      <c r="F3696" s="1"/>
      <c r="J3696" s="2"/>
      <c r="K3696" s="7"/>
    </row>
    <row r="3697" spans="1:11" x14ac:dyDescent="0.35">
      <c r="A3697" s="13"/>
      <c r="E3697" s="8"/>
      <c r="F3697" s="1"/>
      <c r="J3697" s="2"/>
      <c r="K3697" s="7"/>
    </row>
    <row r="3698" spans="1:11" x14ac:dyDescent="0.35">
      <c r="A3698" s="13"/>
      <c r="E3698" s="8"/>
      <c r="F3698" s="1"/>
      <c r="J3698" s="2"/>
      <c r="K3698" s="7"/>
    </row>
    <row r="3699" spans="1:11" x14ac:dyDescent="0.35">
      <c r="A3699" s="13"/>
      <c r="E3699" s="8"/>
      <c r="F3699" s="1"/>
      <c r="J3699" s="2"/>
      <c r="K3699" s="7"/>
    </row>
    <row r="3700" spans="1:11" x14ac:dyDescent="0.35">
      <c r="A3700" s="13"/>
      <c r="E3700" s="8"/>
      <c r="F3700" s="1"/>
      <c r="J3700" s="2"/>
      <c r="K3700" s="7"/>
    </row>
    <row r="3701" spans="1:11" x14ac:dyDescent="0.35">
      <c r="A3701" s="13"/>
      <c r="E3701" s="8"/>
      <c r="F3701" s="1"/>
      <c r="J3701" s="2"/>
      <c r="K3701" s="7"/>
    </row>
    <row r="3702" spans="1:11" x14ac:dyDescent="0.35">
      <c r="A3702" s="13"/>
      <c r="E3702" s="8"/>
      <c r="F3702" s="1"/>
      <c r="J3702" s="2"/>
      <c r="K3702" s="7"/>
    </row>
    <row r="3703" spans="1:11" x14ac:dyDescent="0.35">
      <c r="A3703" s="13"/>
      <c r="E3703" s="8"/>
      <c r="F3703" s="1"/>
      <c r="J3703" s="2"/>
      <c r="K3703" s="7"/>
    </row>
    <row r="3704" spans="1:11" x14ac:dyDescent="0.35">
      <c r="A3704" s="13"/>
      <c r="E3704" s="8"/>
      <c r="F3704" s="1"/>
      <c r="J3704" s="2"/>
      <c r="K3704" s="7"/>
    </row>
    <row r="3705" spans="1:11" x14ac:dyDescent="0.35">
      <c r="A3705" s="13"/>
      <c r="E3705" s="8"/>
      <c r="F3705" s="1"/>
      <c r="J3705" s="2"/>
      <c r="K3705" s="7"/>
    </row>
    <row r="3706" spans="1:11" x14ac:dyDescent="0.35">
      <c r="A3706" s="13"/>
      <c r="E3706" s="8"/>
      <c r="F3706" s="1"/>
      <c r="J3706" s="2"/>
      <c r="K3706" s="7"/>
    </row>
    <row r="3707" spans="1:11" x14ac:dyDescent="0.35">
      <c r="A3707" s="13"/>
      <c r="E3707" s="8"/>
      <c r="F3707" s="1"/>
      <c r="J3707" s="2"/>
      <c r="K3707" s="7"/>
    </row>
    <row r="3708" spans="1:11" x14ac:dyDescent="0.35">
      <c r="A3708" s="13"/>
      <c r="E3708" s="8"/>
      <c r="F3708" s="1"/>
      <c r="J3708" s="2"/>
      <c r="K3708" s="7"/>
    </row>
    <row r="3709" spans="1:11" x14ac:dyDescent="0.35">
      <c r="A3709" s="13"/>
      <c r="E3709" s="8"/>
      <c r="F3709" s="1"/>
      <c r="J3709" s="2"/>
      <c r="K3709" s="7"/>
    </row>
    <row r="3710" spans="1:11" x14ac:dyDescent="0.35">
      <c r="A3710" s="13"/>
      <c r="E3710" s="8"/>
      <c r="F3710" s="1"/>
      <c r="J3710" s="2"/>
      <c r="K3710" s="7"/>
    </row>
    <row r="3711" spans="1:11" x14ac:dyDescent="0.35">
      <c r="A3711" s="13"/>
      <c r="E3711" s="8"/>
      <c r="F3711" s="1"/>
      <c r="J3711" s="2"/>
      <c r="K3711" s="7"/>
    </row>
    <row r="3712" spans="1:11" x14ac:dyDescent="0.35">
      <c r="A3712" s="13"/>
      <c r="E3712" s="8"/>
      <c r="F3712" s="1"/>
      <c r="J3712" s="2"/>
      <c r="K3712" s="7"/>
    </row>
    <row r="3713" spans="1:11" x14ac:dyDescent="0.35">
      <c r="A3713" s="13"/>
      <c r="E3713" s="8"/>
      <c r="F3713" s="1"/>
      <c r="J3713" s="2"/>
      <c r="K3713" s="7"/>
    </row>
    <row r="3714" spans="1:11" x14ac:dyDescent="0.35">
      <c r="A3714" s="13"/>
      <c r="E3714" s="8"/>
      <c r="F3714" s="1"/>
      <c r="J3714" s="2"/>
      <c r="K3714" s="7"/>
    </row>
    <row r="3715" spans="1:11" x14ac:dyDescent="0.35">
      <c r="A3715" s="13"/>
      <c r="E3715" s="8"/>
      <c r="F3715" s="1"/>
      <c r="J3715" s="2"/>
      <c r="K3715" s="7"/>
    </row>
    <row r="3716" spans="1:11" x14ac:dyDescent="0.35">
      <c r="A3716" s="13"/>
      <c r="E3716" s="8"/>
      <c r="F3716" s="1"/>
      <c r="J3716" s="2"/>
      <c r="K3716" s="7"/>
    </row>
    <row r="3717" spans="1:11" x14ac:dyDescent="0.35">
      <c r="A3717" s="13"/>
      <c r="E3717" s="8"/>
      <c r="F3717" s="1"/>
      <c r="J3717" s="2"/>
      <c r="K3717" s="7"/>
    </row>
    <row r="3718" spans="1:11" x14ac:dyDescent="0.35">
      <c r="A3718" s="13"/>
      <c r="E3718" s="8"/>
      <c r="F3718" s="1"/>
      <c r="J3718" s="2"/>
      <c r="K3718" s="7"/>
    </row>
    <row r="3719" spans="1:11" x14ac:dyDescent="0.35">
      <c r="A3719" s="13"/>
      <c r="E3719" s="8"/>
      <c r="F3719" s="1"/>
      <c r="J3719" s="2"/>
      <c r="K3719" s="7"/>
    </row>
    <row r="3720" spans="1:11" x14ac:dyDescent="0.35">
      <c r="A3720" s="13"/>
      <c r="E3720" s="8"/>
      <c r="F3720" s="1"/>
      <c r="J3720" s="2"/>
      <c r="K3720" s="7"/>
    </row>
    <row r="3721" spans="1:11" x14ac:dyDescent="0.35">
      <c r="A3721" s="13"/>
      <c r="E3721" s="8"/>
      <c r="F3721" s="1"/>
      <c r="J3721" s="2"/>
      <c r="K3721" s="7"/>
    </row>
    <row r="3722" spans="1:11" x14ac:dyDescent="0.35">
      <c r="A3722" s="13"/>
      <c r="E3722" s="8"/>
      <c r="F3722" s="1"/>
      <c r="J3722" s="2"/>
      <c r="K3722" s="7"/>
    </row>
    <row r="3723" spans="1:11" x14ac:dyDescent="0.35">
      <c r="A3723" s="13"/>
      <c r="E3723" s="8"/>
      <c r="F3723" s="1"/>
      <c r="J3723" s="2"/>
      <c r="K3723" s="7"/>
    </row>
    <row r="3724" spans="1:11" x14ac:dyDescent="0.35">
      <c r="A3724" s="13"/>
      <c r="E3724" s="8"/>
      <c r="F3724" s="1"/>
      <c r="J3724" s="2"/>
      <c r="K3724" s="7"/>
    </row>
    <row r="3725" spans="1:11" x14ac:dyDescent="0.35">
      <c r="A3725" s="13"/>
      <c r="E3725" s="8"/>
      <c r="F3725" s="1"/>
      <c r="J3725" s="2"/>
      <c r="K3725" s="7"/>
    </row>
    <row r="3726" spans="1:11" x14ac:dyDescent="0.35">
      <c r="A3726" s="13"/>
      <c r="E3726" s="8"/>
      <c r="F3726" s="1"/>
      <c r="J3726" s="2"/>
      <c r="K3726" s="7"/>
    </row>
    <row r="3727" spans="1:11" x14ac:dyDescent="0.35">
      <c r="A3727" s="13"/>
      <c r="E3727" s="8"/>
      <c r="F3727" s="1"/>
      <c r="J3727" s="2"/>
      <c r="K3727" s="7"/>
    </row>
    <row r="3728" spans="1:11" x14ac:dyDescent="0.35">
      <c r="A3728" s="13"/>
      <c r="E3728" s="8"/>
      <c r="F3728" s="1"/>
      <c r="J3728" s="2"/>
      <c r="K3728" s="7"/>
    </row>
    <row r="3729" spans="1:11" x14ac:dyDescent="0.35">
      <c r="A3729" s="13"/>
      <c r="E3729" s="8"/>
      <c r="F3729" s="1"/>
      <c r="J3729" s="2"/>
      <c r="K3729" s="7"/>
    </row>
    <row r="3730" spans="1:11" x14ac:dyDescent="0.35">
      <c r="A3730" s="13"/>
      <c r="E3730" s="8"/>
      <c r="F3730" s="1"/>
      <c r="J3730" s="2"/>
      <c r="K3730" s="7"/>
    </row>
    <row r="3731" spans="1:11" x14ac:dyDescent="0.35">
      <c r="A3731" s="13"/>
      <c r="E3731" s="8"/>
      <c r="F3731" s="1"/>
      <c r="J3731" s="2"/>
      <c r="K3731" s="7"/>
    </row>
    <row r="3732" spans="1:11" x14ac:dyDescent="0.35">
      <c r="A3732" s="13"/>
      <c r="E3732" s="8"/>
      <c r="F3732" s="1"/>
      <c r="J3732" s="2"/>
      <c r="K3732" s="7"/>
    </row>
    <row r="3733" spans="1:11" x14ac:dyDescent="0.35">
      <c r="A3733" s="13"/>
      <c r="E3733" s="8"/>
      <c r="F3733" s="1"/>
      <c r="J3733" s="2"/>
      <c r="K3733" s="7"/>
    </row>
    <row r="3734" spans="1:11" x14ac:dyDescent="0.35">
      <c r="A3734" s="13"/>
      <c r="E3734" s="8"/>
      <c r="F3734" s="1"/>
      <c r="J3734" s="2"/>
      <c r="K3734" s="7"/>
    </row>
    <row r="3735" spans="1:11" x14ac:dyDescent="0.35">
      <c r="A3735" s="13"/>
      <c r="E3735" s="8"/>
      <c r="F3735" s="1"/>
      <c r="J3735" s="2"/>
      <c r="K3735" s="7"/>
    </row>
    <row r="3736" spans="1:11" x14ac:dyDescent="0.35">
      <c r="A3736" s="13"/>
      <c r="E3736" s="8"/>
      <c r="F3736" s="1"/>
      <c r="J3736" s="2"/>
      <c r="K3736" s="7"/>
    </row>
    <row r="3737" spans="1:11" x14ac:dyDescent="0.35">
      <c r="A3737" s="13"/>
      <c r="E3737" s="8"/>
      <c r="F3737" s="1"/>
      <c r="J3737" s="2"/>
      <c r="K3737" s="7"/>
    </row>
    <row r="3738" spans="1:11" x14ac:dyDescent="0.35">
      <c r="A3738" s="13"/>
      <c r="E3738" s="8"/>
      <c r="F3738" s="1"/>
      <c r="J3738" s="2"/>
      <c r="K3738" s="7"/>
    </row>
    <row r="3739" spans="1:11" x14ac:dyDescent="0.35">
      <c r="A3739" s="13"/>
      <c r="E3739" s="8"/>
      <c r="F3739" s="1"/>
      <c r="J3739" s="2"/>
      <c r="K3739" s="7"/>
    </row>
    <row r="3740" spans="1:11" x14ac:dyDescent="0.35">
      <c r="A3740" s="13"/>
      <c r="E3740" s="8"/>
      <c r="F3740" s="1"/>
      <c r="J3740" s="2"/>
      <c r="K3740" s="7"/>
    </row>
    <row r="3741" spans="1:11" x14ac:dyDescent="0.35">
      <c r="A3741" s="13"/>
      <c r="E3741" s="8"/>
      <c r="F3741" s="1"/>
      <c r="J3741" s="2"/>
      <c r="K3741" s="7"/>
    </row>
    <row r="3742" spans="1:11" x14ac:dyDescent="0.35">
      <c r="A3742" s="13"/>
      <c r="E3742" s="8"/>
      <c r="F3742" s="1"/>
      <c r="J3742" s="2"/>
      <c r="K3742" s="7"/>
    </row>
    <row r="3743" spans="1:11" x14ac:dyDescent="0.35">
      <c r="A3743" s="13"/>
      <c r="E3743" s="8"/>
      <c r="F3743" s="1"/>
      <c r="J3743" s="2"/>
      <c r="K3743" s="7"/>
    </row>
    <row r="3744" spans="1:11" x14ac:dyDescent="0.35">
      <c r="A3744" s="13"/>
      <c r="E3744" s="8"/>
      <c r="F3744" s="1"/>
      <c r="J3744" s="2"/>
      <c r="K3744" s="7"/>
    </row>
    <row r="3745" spans="1:11" x14ac:dyDescent="0.35">
      <c r="A3745" s="13"/>
      <c r="E3745" s="8"/>
      <c r="F3745" s="1"/>
      <c r="J3745" s="2"/>
      <c r="K3745" s="7"/>
    </row>
    <row r="3746" spans="1:11" x14ac:dyDescent="0.35">
      <c r="A3746" s="13"/>
      <c r="E3746" s="8"/>
      <c r="F3746" s="1"/>
      <c r="J3746" s="2"/>
      <c r="K3746" s="7"/>
    </row>
    <row r="3747" spans="1:11" x14ac:dyDescent="0.35">
      <c r="A3747" s="13"/>
      <c r="E3747" s="8"/>
      <c r="F3747" s="1"/>
      <c r="J3747" s="2"/>
      <c r="K3747" s="7"/>
    </row>
    <row r="3748" spans="1:11" x14ac:dyDescent="0.35">
      <c r="A3748" s="13"/>
      <c r="E3748" s="8"/>
      <c r="F3748" s="1"/>
      <c r="J3748" s="2"/>
      <c r="K3748" s="7"/>
    </row>
    <row r="3749" spans="1:11" x14ac:dyDescent="0.35">
      <c r="A3749" s="13"/>
      <c r="E3749" s="8"/>
      <c r="F3749" s="1"/>
      <c r="J3749" s="2"/>
      <c r="K3749" s="7"/>
    </row>
    <row r="3750" spans="1:11" x14ac:dyDescent="0.35">
      <c r="A3750" s="13"/>
      <c r="E3750" s="8"/>
      <c r="F3750" s="1"/>
      <c r="J3750" s="2"/>
      <c r="K3750" s="7"/>
    </row>
    <row r="3751" spans="1:11" x14ac:dyDescent="0.35">
      <c r="A3751" s="13"/>
      <c r="E3751" s="8"/>
      <c r="F3751" s="1"/>
      <c r="J3751" s="2"/>
      <c r="K3751" s="7"/>
    </row>
    <row r="3752" spans="1:11" x14ac:dyDescent="0.35">
      <c r="A3752" s="13"/>
      <c r="E3752" s="8"/>
      <c r="F3752" s="1"/>
      <c r="J3752" s="2"/>
      <c r="K3752" s="7"/>
    </row>
    <row r="3753" spans="1:11" x14ac:dyDescent="0.35">
      <c r="A3753" s="13"/>
      <c r="E3753" s="8"/>
      <c r="F3753" s="1"/>
      <c r="J3753" s="2"/>
      <c r="K3753" s="7"/>
    </row>
    <row r="3754" spans="1:11" x14ac:dyDescent="0.35">
      <c r="A3754" s="13"/>
      <c r="E3754" s="8"/>
      <c r="F3754" s="1"/>
      <c r="J3754" s="2"/>
      <c r="K3754" s="7"/>
    </row>
    <row r="3755" spans="1:11" x14ac:dyDescent="0.35">
      <c r="A3755" s="13"/>
      <c r="E3755" s="8"/>
      <c r="F3755" s="1"/>
      <c r="J3755" s="2"/>
      <c r="K3755" s="7"/>
    </row>
    <row r="3756" spans="1:11" x14ac:dyDescent="0.35">
      <c r="A3756" s="13"/>
      <c r="E3756" s="8"/>
      <c r="F3756" s="1"/>
      <c r="J3756" s="2"/>
      <c r="K3756" s="7"/>
    </row>
    <row r="3757" spans="1:11" x14ac:dyDescent="0.35">
      <c r="A3757" s="13"/>
      <c r="E3757" s="8"/>
      <c r="F3757" s="1"/>
      <c r="J3757" s="2"/>
      <c r="K3757" s="7"/>
    </row>
    <row r="3758" spans="1:11" x14ac:dyDescent="0.35">
      <c r="A3758" s="13"/>
      <c r="E3758" s="8"/>
      <c r="F3758" s="1"/>
      <c r="J3758" s="2"/>
      <c r="K3758" s="7"/>
    </row>
    <row r="3759" spans="1:11" x14ac:dyDescent="0.35">
      <c r="A3759" s="13"/>
      <c r="E3759" s="8"/>
      <c r="F3759" s="1"/>
      <c r="J3759" s="2"/>
      <c r="K3759" s="7"/>
    </row>
    <row r="3760" spans="1:11" x14ac:dyDescent="0.35">
      <c r="A3760" s="13"/>
      <c r="E3760" s="8"/>
      <c r="F3760" s="1"/>
      <c r="J3760" s="2"/>
      <c r="K3760" s="7"/>
    </row>
    <row r="3761" spans="1:11" x14ac:dyDescent="0.35">
      <c r="A3761" s="13"/>
      <c r="E3761" s="8"/>
      <c r="F3761" s="1"/>
      <c r="J3761" s="2"/>
      <c r="K3761" s="7"/>
    </row>
    <row r="3762" spans="1:11" x14ac:dyDescent="0.35">
      <c r="A3762" s="13"/>
      <c r="E3762" s="8"/>
      <c r="F3762" s="1"/>
      <c r="J3762" s="2"/>
      <c r="K3762" s="7"/>
    </row>
    <row r="3763" spans="1:11" x14ac:dyDescent="0.35">
      <c r="A3763" s="13"/>
      <c r="E3763" s="8"/>
      <c r="F3763" s="1"/>
      <c r="J3763" s="2"/>
      <c r="K3763" s="7"/>
    </row>
    <row r="3764" spans="1:11" x14ac:dyDescent="0.35">
      <c r="A3764" s="13"/>
      <c r="E3764" s="8"/>
      <c r="F3764" s="1"/>
      <c r="J3764" s="2"/>
      <c r="K3764" s="7"/>
    </row>
    <row r="3765" spans="1:11" x14ac:dyDescent="0.35">
      <c r="A3765" s="13"/>
      <c r="E3765" s="8"/>
      <c r="F3765" s="1"/>
      <c r="J3765" s="2"/>
      <c r="K3765" s="7"/>
    </row>
    <row r="3766" spans="1:11" x14ac:dyDescent="0.35">
      <c r="A3766" s="13"/>
      <c r="E3766" s="8"/>
      <c r="F3766" s="1"/>
      <c r="J3766" s="2"/>
      <c r="K3766" s="7"/>
    </row>
    <row r="3767" spans="1:11" x14ac:dyDescent="0.35">
      <c r="A3767" s="13"/>
      <c r="E3767" s="8"/>
      <c r="F3767" s="1"/>
      <c r="J3767" s="2"/>
      <c r="K3767" s="7"/>
    </row>
    <row r="3768" spans="1:11" x14ac:dyDescent="0.35">
      <c r="A3768" s="13"/>
      <c r="E3768" s="8"/>
      <c r="F3768" s="1"/>
      <c r="J3768" s="2"/>
      <c r="K3768" s="7"/>
    </row>
    <row r="3769" spans="1:11" x14ac:dyDescent="0.35">
      <c r="A3769" s="13"/>
      <c r="E3769" s="8"/>
      <c r="F3769" s="1"/>
      <c r="J3769" s="2"/>
      <c r="K3769" s="7"/>
    </row>
    <row r="3770" spans="1:11" x14ac:dyDescent="0.35">
      <c r="A3770" s="13"/>
      <c r="E3770" s="8"/>
      <c r="F3770" s="1"/>
      <c r="J3770" s="2"/>
      <c r="K3770" s="7"/>
    </row>
    <row r="3771" spans="1:11" x14ac:dyDescent="0.35">
      <c r="A3771" s="13"/>
      <c r="E3771" s="8"/>
      <c r="F3771" s="1"/>
      <c r="J3771" s="2"/>
      <c r="K3771" s="7"/>
    </row>
    <row r="3772" spans="1:11" x14ac:dyDescent="0.35">
      <c r="A3772" s="13"/>
      <c r="E3772" s="8"/>
      <c r="F3772" s="1"/>
      <c r="J3772" s="2"/>
      <c r="K3772" s="7"/>
    </row>
    <row r="3773" spans="1:11" x14ac:dyDescent="0.35">
      <c r="A3773" s="13"/>
      <c r="E3773" s="8"/>
      <c r="F3773" s="1"/>
      <c r="J3773" s="2"/>
      <c r="K3773" s="7"/>
    </row>
    <row r="3774" spans="1:11" x14ac:dyDescent="0.35">
      <c r="A3774" s="13"/>
      <c r="E3774" s="8"/>
      <c r="F3774" s="1"/>
      <c r="J3774" s="2"/>
      <c r="K3774" s="7"/>
    </row>
    <row r="3775" spans="1:11" x14ac:dyDescent="0.35">
      <c r="A3775" s="13"/>
      <c r="E3775" s="8"/>
      <c r="F3775" s="1"/>
      <c r="J3775" s="2"/>
      <c r="K3775" s="7"/>
    </row>
    <row r="3776" spans="1:11" x14ac:dyDescent="0.35">
      <c r="A3776" s="13"/>
      <c r="E3776" s="8"/>
      <c r="F3776" s="1"/>
      <c r="J3776" s="2"/>
      <c r="K3776" s="7"/>
    </row>
    <row r="3777" spans="1:11" x14ac:dyDescent="0.35">
      <c r="A3777" s="13"/>
      <c r="E3777" s="8"/>
      <c r="F3777" s="1"/>
      <c r="J3777" s="2"/>
      <c r="K3777" s="7"/>
    </row>
    <row r="3778" spans="1:11" x14ac:dyDescent="0.35">
      <c r="A3778" s="13"/>
      <c r="E3778" s="8"/>
      <c r="F3778" s="1"/>
      <c r="J3778" s="2"/>
      <c r="K3778" s="7"/>
    </row>
    <row r="3779" spans="1:11" x14ac:dyDescent="0.35">
      <c r="A3779" s="13"/>
      <c r="E3779" s="8"/>
      <c r="F3779" s="1"/>
      <c r="J3779" s="2"/>
      <c r="K3779" s="7"/>
    </row>
    <row r="3780" spans="1:11" x14ac:dyDescent="0.35">
      <c r="A3780" s="13"/>
      <c r="E3780" s="8"/>
      <c r="F3780" s="1"/>
      <c r="J3780" s="2"/>
      <c r="K3780" s="7"/>
    </row>
    <row r="3781" spans="1:11" x14ac:dyDescent="0.35">
      <c r="A3781" s="13"/>
      <c r="E3781" s="8"/>
      <c r="F3781" s="1"/>
      <c r="J3781" s="2"/>
      <c r="K3781" s="7"/>
    </row>
    <row r="3782" spans="1:11" x14ac:dyDescent="0.35">
      <c r="A3782" s="13"/>
      <c r="E3782" s="8"/>
      <c r="F3782" s="1"/>
      <c r="J3782" s="2"/>
      <c r="K3782" s="7"/>
    </row>
    <row r="3783" spans="1:11" x14ac:dyDescent="0.35">
      <c r="A3783" s="13"/>
      <c r="E3783" s="8"/>
      <c r="F3783" s="1"/>
      <c r="J3783" s="2"/>
      <c r="K3783" s="7"/>
    </row>
    <row r="3784" spans="1:11" x14ac:dyDescent="0.35">
      <c r="A3784" s="13"/>
      <c r="E3784" s="8"/>
      <c r="F3784" s="1"/>
      <c r="J3784" s="2"/>
      <c r="K3784" s="7"/>
    </row>
    <row r="3785" spans="1:11" x14ac:dyDescent="0.35">
      <c r="A3785" s="13"/>
      <c r="E3785" s="8"/>
      <c r="F3785" s="1"/>
      <c r="J3785" s="2"/>
      <c r="K3785" s="7"/>
    </row>
    <row r="3786" spans="1:11" x14ac:dyDescent="0.35">
      <c r="A3786" s="13"/>
      <c r="E3786" s="8"/>
      <c r="F3786" s="1"/>
      <c r="J3786" s="2"/>
      <c r="K3786" s="7"/>
    </row>
    <row r="3787" spans="1:11" x14ac:dyDescent="0.35">
      <c r="A3787" s="13"/>
      <c r="E3787" s="8"/>
      <c r="F3787" s="1"/>
      <c r="J3787" s="2"/>
      <c r="K3787" s="7"/>
    </row>
    <row r="3788" spans="1:11" x14ac:dyDescent="0.35">
      <c r="A3788" s="13"/>
      <c r="E3788" s="8"/>
      <c r="F3788" s="1"/>
      <c r="J3788" s="2"/>
      <c r="K3788" s="7"/>
    </row>
    <row r="3789" spans="1:11" x14ac:dyDescent="0.35">
      <c r="A3789" s="13"/>
      <c r="E3789" s="8"/>
      <c r="F3789" s="1"/>
      <c r="J3789" s="2"/>
      <c r="K3789" s="7"/>
    </row>
    <row r="3790" spans="1:11" x14ac:dyDescent="0.35">
      <c r="A3790" s="13"/>
      <c r="E3790" s="8"/>
      <c r="F3790" s="1"/>
      <c r="J3790" s="2"/>
      <c r="K3790" s="7"/>
    </row>
    <row r="3791" spans="1:11" x14ac:dyDescent="0.35">
      <c r="A3791" s="13"/>
      <c r="E3791" s="8"/>
      <c r="F3791" s="1"/>
      <c r="J3791" s="2"/>
      <c r="K3791" s="7"/>
    </row>
    <row r="3792" spans="1:11" x14ac:dyDescent="0.35">
      <c r="A3792" s="13"/>
      <c r="E3792" s="8"/>
      <c r="F3792" s="1"/>
      <c r="J3792" s="2"/>
      <c r="K3792" s="7"/>
    </row>
    <row r="3793" spans="1:11" x14ac:dyDescent="0.35">
      <c r="A3793" s="13"/>
      <c r="E3793" s="8"/>
      <c r="F3793" s="1"/>
      <c r="J3793" s="2"/>
      <c r="K3793" s="7"/>
    </row>
    <row r="3794" spans="1:11" x14ac:dyDescent="0.35">
      <c r="A3794" s="13"/>
      <c r="E3794" s="8"/>
      <c r="F3794" s="1"/>
      <c r="J3794" s="2"/>
      <c r="K3794" s="7"/>
    </row>
    <row r="3795" spans="1:11" x14ac:dyDescent="0.35">
      <c r="A3795" s="13"/>
      <c r="E3795" s="8"/>
      <c r="F3795" s="1"/>
      <c r="J3795" s="2"/>
      <c r="K3795" s="7"/>
    </row>
    <row r="3796" spans="1:11" x14ac:dyDescent="0.35">
      <c r="A3796" s="13"/>
      <c r="E3796" s="8"/>
      <c r="F3796" s="1"/>
      <c r="J3796" s="2"/>
      <c r="K3796" s="7"/>
    </row>
    <row r="3797" spans="1:11" x14ac:dyDescent="0.35">
      <c r="A3797" s="13"/>
      <c r="E3797" s="8"/>
      <c r="F3797" s="1"/>
      <c r="J3797" s="2"/>
      <c r="K3797" s="7"/>
    </row>
    <row r="3798" spans="1:11" x14ac:dyDescent="0.35">
      <c r="A3798" s="13"/>
      <c r="E3798" s="8"/>
      <c r="F3798" s="1"/>
      <c r="J3798" s="2"/>
      <c r="K3798" s="7"/>
    </row>
    <row r="3799" spans="1:11" x14ac:dyDescent="0.35">
      <c r="A3799" s="13"/>
      <c r="E3799" s="8"/>
      <c r="F3799" s="1"/>
      <c r="J3799" s="2"/>
      <c r="K3799" s="7"/>
    </row>
    <row r="3800" spans="1:11" x14ac:dyDescent="0.35">
      <c r="A3800" s="13"/>
      <c r="E3800" s="8"/>
      <c r="F3800" s="1"/>
      <c r="J3800" s="2"/>
      <c r="K3800" s="7"/>
    </row>
    <row r="3801" spans="1:11" x14ac:dyDescent="0.35">
      <c r="A3801" s="13"/>
      <c r="E3801" s="8"/>
      <c r="F3801" s="1"/>
      <c r="J3801" s="2"/>
      <c r="K3801" s="7"/>
    </row>
    <row r="3802" spans="1:11" x14ac:dyDescent="0.35">
      <c r="A3802" s="13"/>
      <c r="E3802" s="8"/>
      <c r="F3802" s="1"/>
      <c r="J3802" s="2"/>
      <c r="K3802" s="7"/>
    </row>
    <row r="3803" spans="1:11" x14ac:dyDescent="0.35">
      <c r="A3803" s="13"/>
      <c r="E3803" s="8"/>
      <c r="F3803" s="1"/>
      <c r="J3803" s="2"/>
      <c r="K3803" s="7"/>
    </row>
    <row r="3804" spans="1:11" x14ac:dyDescent="0.35">
      <c r="A3804" s="13"/>
      <c r="E3804" s="8"/>
      <c r="F3804" s="1"/>
      <c r="J3804" s="2"/>
      <c r="K3804" s="7"/>
    </row>
    <row r="3805" spans="1:11" x14ac:dyDescent="0.35">
      <c r="A3805" s="13"/>
      <c r="E3805" s="8"/>
      <c r="F3805" s="1"/>
      <c r="J3805" s="2"/>
      <c r="K3805" s="7"/>
    </row>
    <row r="3806" spans="1:11" x14ac:dyDescent="0.35">
      <c r="A3806" s="13"/>
      <c r="E3806" s="8"/>
      <c r="F3806" s="1"/>
      <c r="J3806" s="2"/>
      <c r="K3806" s="7"/>
    </row>
    <row r="3807" spans="1:11" x14ac:dyDescent="0.35">
      <c r="A3807" s="13"/>
      <c r="E3807" s="8"/>
      <c r="F3807" s="1"/>
      <c r="J3807" s="2"/>
      <c r="K3807" s="7"/>
    </row>
    <row r="3808" spans="1:11" x14ac:dyDescent="0.35">
      <c r="A3808" s="13"/>
      <c r="E3808" s="8"/>
      <c r="F3808" s="1"/>
      <c r="J3808" s="2"/>
      <c r="K3808" s="7"/>
    </row>
    <row r="3809" spans="1:11" x14ac:dyDescent="0.35">
      <c r="A3809" s="13"/>
      <c r="E3809" s="8"/>
      <c r="F3809" s="1"/>
      <c r="J3809" s="2"/>
      <c r="K3809" s="7"/>
    </row>
    <row r="3810" spans="1:11" x14ac:dyDescent="0.35">
      <c r="A3810" s="13"/>
      <c r="E3810" s="8"/>
      <c r="F3810" s="1"/>
      <c r="J3810" s="2"/>
      <c r="K3810" s="7"/>
    </row>
    <row r="3811" spans="1:11" x14ac:dyDescent="0.35">
      <c r="A3811" s="13"/>
      <c r="E3811" s="8"/>
      <c r="F3811" s="1"/>
      <c r="J3811" s="2"/>
      <c r="K3811" s="7"/>
    </row>
    <row r="3812" spans="1:11" x14ac:dyDescent="0.35">
      <c r="A3812" s="13"/>
      <c r="E3812" s="8"/>
      <c r="F3812" s="1"/>
      <c r="J3812" s="2"/>
      <c r="K3812" s="7"/>
    </row>
    <row r="3813" spans="1:11" x14ac:dyDescent="0.35">
      <c r="A3813" s="13"/>
      <c r="E3813" s="8"/>
      <c r="F3813" s="1"/>
      <c r="J3813" s="2"/>
      <c r="K3813" s="7"/>
    </row>
    <row r="3814" spans="1:11" x14ac:dyDescent="0.35">
      <c r="A3814" s="13"/>
      <c r="E3814" s="8"/>
      <c r="F3814" s="1"/>
      <c r="J3814" s="2"/>
      <c r="K3814" s="7"/>
    </row>
    <row r="3815" spans="1:11" x14ac:dyDescent="0.35">
      <c r="A3815" s="13"/>
      <c r="E3815" s="8"/>
      <c r="F3815" s="1"/>
      <c r="J3815" s="2"/>
      <c r="K3815" s="7"/>
    </row>
    <row r="3816" spans="1:11" x14ac:dyDescent="0.35">
      <c r="A3816" s="13"/>
      <c r="E3816" s="8"/>
      <c r="F3816" s="1"/>
      <c r="J3816" s="2"/>
      <c r="K3816" s="7"/>
    </row>
    <row r="3817" spans="1:11" x14ac:dyDescent="0.35">
      <c r="A3817" s="13"/>
      <c r="E3817" s="8"/>
      <c r="F3817" s="1"/>
      <c r="J3817" s="2"/>
      <c r="K3817" s="7"/>
    </row>
    <row r="3818" spans="1:11" x14ac:dyDescent="0.35">
      <c r="A3818" s="13"/>
      <c r="E3818" s="8"/>
      <c r="F3818" s="1"/>
      <c r="J3818" s="2"/>
      <c r="K3818" s="7"/>
    </row>
    <row r="3819" spans="1:11" x14ac:dyDescent="0.35">
      <c r="A3819" s="13"/>
      <c r="E3819" s="8"/>
      <c r="F3819" s="1"/>
      <c r="J3819" s="2"/>
      <c r="K3819" s="7"/>
    </row>
    <row r="3820" spans="1:11" x14ac:dyDescent="0.35">
      <c r="A3820" s="13"/>
      <c r="E3820" s="8"/>
      <c r="F3820" s="1"/>
      <c r="J3820" s="2"/>
      <c r="K3820" s="7"/>
    </row>
    <row r="3821" spans="1:11" x14ac:dyDescent="0.35">
      <c r="A3821" s="13"/>
      <c r="E3821" s="8"/>
      <c r="F3821" s="1"/>
      <c r="J3821" s="2"/>
      <c r="K3821" s="7"/>
    </row>
    <row r="3822" spans="1:11" x14ac:dyDescent="0.35">
      <c r="A3822" s="13"/>
      <c r="E3822" s="8"/>
      <c r="F3822" s="1"/>
      <c r="J3822" s="2"/>
      <c r="K3822" s="7"/>
    </row>
    <row r="3823" spans="1:11" x14ac:dyDescent="0.35">
      <c r="A3823" s="13"/>
      <c r="E3823" s="8"/>
      <c r="F3823" s="1"/>
      <c r="J3823" s="2"/>
      <c r="K3823" s="7"/>
    </row>
    <row r="3824" spans="1:11" x14ac:dyDescent="0.35">
      <c r="A3824" s="13"/>
      <c r="E3824" s="8"/>
      <c r="F3824" s="1"/>
      <c r="J3824" s="2"/>
      <c r="K3824" s="7"/>
    </row>
    <row r="3825" spans="1:11" x14ac:dyDescent="0.35">
      <c r="A3825" s="13"/>
      <c r="E3825" s="8"/>
      <c r="F3825" s="1"/>
      <c r="J3825" s="2"/>
      <c r="K3825" s="7"/>
    </row>
    <row r="3826" spans="1:11" x14ac:dyDescent="0.35">
      <c r="A3826" s="13"/>
      <c r="E3826" s="8"/>
      <c r="F3826" s="1"/>
      <c r="J3826" s="2"/>
      <c r="K3826" s="7"/>
    </row>
    <row r="3827" spans="1:11" x14ac:dyDescent="0.35">
      <c r="A3827" s="13"/>
      <c r="E3827" s="8"/>
      <c r="F3827" s="1"/>
      <c r="J3827" s="2"/>
      <c r="K3827" s="7"/>
    </row>
    <row r="3828" spans="1:11" x14ac:dyDescent="0.35">
      <c r="A3828" s="13"/>
      <c r="E3828" s="8"/>
      <c r="F3828" s="1"/>
      <c r="J3828" s="2"/>
      <c r="K3828" s="7"/>
    </row>
    <row r="3829" spans="1:11" x14ac:dyDescent="0.35">
      <c r="A3829" s="13"/>
      <c r="E3829" s="8"/>
      <c r="F3829" s="1"/>
      <c r="J3829" s="2"/>
      <c r="K3829" s="7"/>
    </row>
    <row r="3830" spans="1:11" x14ac:dyDescent="0.35">
      <c r="A3830" s="13"/>
      <c r="E3830" s="8"/>
      <c r="F3830" s="1"/>
      <c r="J3830" s="2"/>
      <c r="K3830" s="7"/>
    </row>
    <row r="3831" spans="1:11" x14ac:dyDescent="0.35">
      <c r="A3831" s="13"/>
      <c r="E3831" s="8"/>
      <c r="F3831" s="1"/>
      <c r="J3831" s="2"/>
      <c r="K3831" s="7"/>
    </row>
    <row r="3832" spans="1:11" x14ac:dyDescent="0.35">
      <c r="A3832" s="13"/>
      <c r="E3832" s="8"/>
      <c r="F3832" s="1"/>
      <c r="J3832" s="2"/>
      <c r="K3832" s="7"/>
    </row>
    <row r="3833" spans="1:11" x14ac:dyDescent="0.35">
      <c r="A3833" s="13"/>
      <c r="E3833" s="8"/>
      <c r="F3833" s="1"/>
      <c r="J3833" s="2"/>
      <c r="K3833" s="7"/>
    </row>
    <row r="3834" spans="1:11" x14ac:dyDescent="0.35">
      <c r="A3834" s="13"/>
      <c r="E3834" s="8"/>
      <c r="F3834" s="1"/>
      <c r="J3834" s="2"/>
      <c r="K3834" s="7"/>
    </row>
    <row r="3835" spans="1:11" x14ac:dyDescent="0.35">
      <c r="A3835" s="13"/>
      <c r="E3835" s="8"/>
      <c r="F3835" s="1"/>
      <c r="J3835" s="2"/>
      <c r="K3835" s="7"/>
    </row>
    <row r="3836" spans="1:11" x14ac:dyDescent="0.35">
      <c r="A3836" s="13"/>
      <c r="E3836" s="8"/>
      <c r="F3836" s="1"/>
      <c r="J3836" s="2"/>
      <c r="K3836" s="7"/>
    </row>
    <row r="3837" spans="1:11" x14ac:dyDescent="0.35">
      <c r="A3837" s="13"/>
      <c r="E3837" s="8"/>
      <c r="F3837" s="1"/>
      <c r="J3837" s="2"/>
      <c r="K3837" s="7"/>
    </row>
    <row r="3838" spans="1:11" x14ac:dyDescent="0.35">
      <c r="A3838" s="13"/>
      <c r="E3838" s="8"/>
      <c r="F3838" s="1"/>
      <c r="J3838" s="2"/>
      <c r="K3838" s="7"/>
    </row>
    <row r="3839" spans="1:11" x14ac:dyDescent="0.35">
      <c r="A3839" s="13"/>
      <c r="E3839" s="8"/>
      <c r="F3839" s="1"/>
      <c r="J3839" s="2"/>
      <c r="K3839" s="7"/>
    </row>
    <row r="3840" spans="1:11" x14ac:dyDescent="0.35">
      <c r="A3840" s="13"/>
      <c r="E3840" s="8"/>
      <c r="F3840" s="1"/>
      <c r="J3840" s="2"/>
      <c r="K3840" s="7"/>
    </row>
    <row r="3841" spans="1:11" x14ac:dyDescent="0.35">
      <c r="A3841" s="13"/>
      <c r="E3841" s="8"/>
      <c r="F3841" s="1"/>
      <c r="J3841" s="2"/>
      <c r="K3841" s="7"/>
    </row>
    <row r="3842" spans="1:11" x14ac:dyDescent="0.35">
      <c r="A3842" s="13"/>
      <c r="E3842" s="8"/>
      <c r="F3842" s="1"/>
      <c r="J3842" s="2"/>
      <c r="K3842" s="7"/>
    </row>
    <row r="3843" spans="1:11" x14ac:dyDescent="0.35">
      <c r="A3843" s="13"/>
      <c r="E3843" s="8"/>
      <c r="F3843" s="1"/>
      <c r="J3843" s="2"/>
      <c r="K3843" s="7"/>
    </row>
    <row r="3844" spans="1:11" x14ac:dyDescent="0.35">
      <c r="A3844" s="13"/>
      <c r="E3844" s="8"/>
      <c r="F3844" s="1"/>
      <c r="J3844" s="2"/>
      <c r="K3844" s="7"/>
    </row>
    <row r="3845" spans="1:11" x14ac:dyDescent="0.35">
      <c r="A3845" s="13"/>
      <c r="E3845" s="8"/>
      <c r="F3845" s="1"/>
      <c r="J3845" s="2"/>
      <c r="K3845" s="7"/>
    </row>
    <row r="3846" spans="1:11" x14ac:dyDescent="0.35">
      <c r="A3846" s="13"/>
      <c r="E3846" s="8"/>
      <c r="F3846" s="1"/>
      <c r="J3846" s="2"/>
      <c r="K3846" s="7"/>
    </row>
    <row r="3847" spans="1:11" x14ac:dyDescent="0.35">
      <c r="A3847" s="13"/>
      <c r="E3847" s="8"/>
      <c r="F3847" s="1"/>
      <c r="J3847" s="2"/>
      <c r="K3847" s="7"/>
    </row>
    <row r="3848" spans="1:11" x14ac:dyDescent="0.35">
      <c r="A3848" s="13"/>
      <c r="E3848" s="8"/>
      <c r="F3848" s="1"/>
      <c r="J3848" s="2"/>
      <c r="K3848" s="7"/>
    </row>
    <row r="3849" spans="1:11" x14ac:dyDescent="0.35">
      <c r="A3849" s="13"/>
      <c r="E3849" s="8"/>
      <c r="F3849" s="1"/>
      <c r="J3849" s="2"/>
      <c r="K3849" s="7"/>
    </row>
    <row r="3850" spans="1:11" x14ac:dyDescent="0.35">
      <c r="A3850" s="13"/>
      <c r="E3850" s="8"/>
      <c r="F3850" s="1"/>
      <c r="J3850" s="2"/>
      <c r="K3850" s="7"/>
    </row>
    <row r="3851" spans="1:11" x14ac:dyDescent="0.35">
      <c r="A3851" s="13"/>
      <c r="E3851" s="8"/>
      <c r="F3851" s="1"/>
      <c r="J3851" s="2"/>
      <c r="K3851" s="7"/>
    </row>
    <row r="3852" spans="1:11" x14ac:dyDescent="0.35">
      <c r="A3852" s="13"/>
      <c r="E3852" s="8"/>
      <c r="F3852" s="1"/>
      <c r="J3852" s="2"/>
      <c r="K3852" s="7"/>
    </row>
    <row r="3853" spans="1:11" x14ac:dyDescent="0.35">
      <c r="A3853" s="13"/>
      <c r="E3853" s="8"/>
      <c r="F3853" s="1"/>
      <c r="J3853" s="2"/>
      <c r="K3853" s="7"/>
    </row>
    <row r="3854" spans="1:11" x14ac:dyDescent="0.35">
      <c r="A3854" s="13"/>
      <c r="E3854" s="8"/>
      <c r="F3854" s="1"/>
      <c r="J3854" s="2"/>
      <c r="K3854" s="7"/>
    </row>
    <row r="3855" spans="1:11" x14ac:dyDescent="0.35">
      <c r="A3855" s="13"/>
      <c r="E3855" s="8"/>
      <c r="F3855" s="1"/>
      <c r="J3855" s="2"/>
      <c r="K3855" s="7"/>
    </row>
    <row r="3856" spans="1:11" x14ac:dyDescent="0.35">
      <c r="A3856" s="13"/>
      <c r="E3856" s="8"/>
      <c r="F3856" s="1"/>
      <c r="J3856" s="2"/>
      <c r="K3856" s="7"/>
    </row>
    <row r="3857" spans="1:11" x14ac:dyDescent="0.35">
      <c r="A3857" s="13"/>
      <c r="E3857" s="8"/>
      <c r="F3857" s="1"/>
      <c r="J3857" s="2"/>
      <c r="K3857" s="7"/>
    </row>
    <row r="3858" spans="1:11" x14ac:dyDescent="0.35">
      <c r="A3858" s="13"/>
      <c r="E3858" s="8"/>
      <c r="F3858" s="1"/>
      <c r="J3858" s="2"/>
      <c r="K3858" s="7"/>
    </row>
    <row r="3859" spans="1:11" x14ac:dyDescent="0.35">
      <c r="A3859" s="13"/>
      <c r="E3859" s="8"/>
      <c r="F3859" s="1"/>
      <c r="J3859" s="2"/>
      <c r="K3859" s="7"/>
    </row>
    <row r="3860" spans="1:11" x14ac:dyDescent="0.35">
      <c r="A3860" s="13"/>
      <c r="E3860" s="8"/>
      <c r="F3860" s="1"/>
      <c r="J3860" s="2"/>
      <c r="K3860" s="7"/>
    </row>
    <row r="3861" spans="1:11" x14ac:dyDescent="0.35">
      <c r="A3861" s="13"/>
      <c r="E3861" s="8"/>
      <c r="F3861" s="1"/>
      <c r="J3861" s="2"/>
      <c r="K3861" s="7"/>
    </row>
    <row r="3862" spans="1:11" x14ac:dyDescent="0.35">
      <c r="A3862" s="13"/>
      <c r="E3862" s="8"/>
      <c r="F3862" s="1"/>
      <c r="J3862" s="2"/>
      <c r="K3862" s="7"/>
    </row>
    <row r="3863" spans="1:11" x14ac:dyDescent="0.35">
      <c r="A3863" s="13"/>
      <c r="E3863" s="8"/>
      <c r="F3863" s="1"/>
      <c r="J3863" s="2"/>
      <c r="K3863" s="7"/>
    </row>
    <row r="3864" spans="1:11" x14ac:dyDescent="0.35">
      <c r="A3864" s="13"/>
      <c r="E3864" s="8"/>
      <c r="F3864" s="1"/>
      <c r="J3864" s="2"/>
      <c r="K3864" s="7"/>
    </row>
    <row r="3865" spans="1:11" x14ac:dyDescent="0.35">
      <c r="A3865" s="13"/>
      <c r="E3865" s="8"/>
      <c r="F3865" s="1"/>
      <c r="J3865" s="2"/>
      <c r="K3865" s="7"/>
    </row>
    <row r="3866" spans="1:11" x14ac:dyDescent="0.35">
      <c r="A3866" s="13"/>
      <c r="E3866" s="8"/>
      <c r="F3866" s="1"/>
      <c r="J3866" s="2"/>
      <c r="K3866" s="7"/>
    </row>
    <row r="3867" spans="1:11" x14ac:dyDescent="0.35">
      <c r="A3867" s="13"/>
      <c r="E3867" s="8"/>
      <c r="F3867" s="1"/>
      <c r="J3867" s="2"/>
      <c r="K3867" s="7"/>
    </row>
    <row r="3868" spans="1:11" x14ac:dyDescent="0.35">
      <c r="A3868" s="13"/>
      <c r="E3868" s="8"/>
      <c r="F3868" s="1"/>
      <c r="J3868" s="2"/>
      <c r="K3868" s="7"/>
    </row>
    <row r="3869" spans="1:11" x14ac:dyDescent="0.35">
      <c r="A3869" s="13"/>
      <c r="E3869" s="8"/>
      <c r="F3869" s="1"/>
      <c r="J3869" s="2"/>
      <c r="K3869" s="7"/>
    </row>
    <row r="3870" spans="1:11" x14ac:dyDescent="0.35">
      <c r="A3870" s="13"/>
      <c r="E3870" s="8"/>
      <c r="F3870" s="1"/>
      <c r="J3870" s="2"/>
      <c r="K3870" s="7"/>
    </row>
    <row r="3871" spans="1:11" x14ac:dyDescent="0.35">
      <c r="A3871" s="13"/>
      <c r="E3871" s="8"/>
      <c r="F3871" s="1"/>
      <c r="J3871" s="2"/>
      <c r="K3871" s="7"/>
    </row>
    <row r="3872" spans="1:11" x14ac:dyDescent="0.35">
      <c r="A3872" s="13"/>
      <c r="E3872" s="8"/>
      <c r="F3872" s="1"/>
      <c r="J3872" s="2"/>
      <c r="K3872" s="7"/>
    </row>
    <row r="3873" spans="1:11" x14ac:dyDescent="0.35">
      <c r="A3873" s="13"/>
      <c r="E3873" s="8"/>
      <c r="F3873" s="1"/>
      <c r="J3873" s="2"/>
      <c r="K3873" s="7"/>
    </row>
    <row r="3874" spans="1:11" x14ac:dyDescent="0.35">
      <c r="A3874" s="13"/>
      <c r="E3874" s="8"/>
      <c r="F3874" s="1"/>
      <c r="J3874" s="2"/>
      <c r="K3874" s="7"/>
    </row>
    <row r="3875" spans="1:11" x14ac:dyDescent="0.35">
      <c r="A3875" s="13"/>
      <c r="E3875" s="8"/>
      <c r="F3875" s="1"/>
      <c r="J3875" s="2"/>
      <c r="K3875" s="7"/>
    </row>
    <row r="3876" spans="1:11" x14ac:dyDescent="0.35">
      <c r="A3876" s="13"/>
      <c r="E3876" s="8"/>
      <c r="F3876" s="1"/>
      <c r="J3876" s="2"/>
      <c r="K3876" s="7"/>
    </row>
    <row r="3877" spans="1:11" x14ac:dyDescent="0.35">
      <c r="A3877" s="13"/>
      <c r="E3877" s="8"/>
      <c r="F3877" s="1"/>
      <c r="J3877" s="2"/>
      <c r="K3877" s="7"/>
    </row>
    <row r="3878" spans="1:11" x14ac:dyDescent="0.35">
      <c r="A3878" s="13"/>
      <c r="E3878" s="8"/>
      <c r="F3878" s="1"/>
      <c r="J3878" s="2"/>
      <c r="K3878" s="7"/>
    </row>
    <row r="3879" spans="1:11" x14ac:dyDescent="0.35">
      <c r="A3879" s="13"/>
      <c r="E3879" s="8"/>
      <c r="F3879" s="1"/>
      <c r="J3879" s="2"/>
      <c r="K3879" s="7"/>
    </row>
    <row r="3880" spans="1:11" x14ac:dyDescent="0.35">
      <c r="A3880" s="13"/>
      <c r="E3880" s="8"/>
      <c r="F3880" s="1"/>
      <c r="J3880" s="2"/>
      <c r="K3880" s="7"/>
    </row>
    <row r="3881" spans="1:11" x14ac:dyDescent="0.35">
      <c r="A3881" s="13"/>
      <c r="E3881" s="8"/>
      <c r="F3881" s="1"/>
      <c r="J3881" s="2"/>
      <c r="K3881" s="7"/>
    </row>
    <row r="3882" spans="1:11" x14ac:dyDescent="0.35">
      <c r="A3882" s="13"/>
      <c r="E3882" s="8"/>
      <c r="F3882" s="1"/>
      <c r="J3882" s="2"/>
      <c r="K3882" s="7"/>
    </row>
    <row r="3883" spans="1:11" x14ac:dyDescent="0.35">
      <c r="A3883" s="13"/>
      <c r="E3883" s="8"/>
      <c r="F3883" s="1"/>
      <c r="J3883" s="2"/>
      <c r="K3883" s="7"/>
    </row>
    <row r="3884" spans="1:11" x14ac:dyDescent="0.35">
      <c r="A3884" s="13"/>
      <c r="E3884" s="8"/>
      <c r="F3884" s="1"/>
      <c r="J3884" s="2"/>
      <c r="K3884" s="7"/>
    </row>
    <row r="3885" spans="1:11" x14ac:dyDescent="0.35">
      <c r="A3885" s="13"/>
      <c r="E3885" s="8"/>
      <c r="F3885" s="1"/>
      <c r="J3885" s="2"/>
      <c r="K3885" s="7"/>
    </row>
    <row r="3886" spans="1:11" x14ac:dyDescent="0.35">
      <c r="A3886" s="13"/>
      <c r="E3886" s="8"/>
      <c r="F3886" s="1"/>
      <c r="J3886" s="2"/>
      <c r="K3886" s="7"/>
    </row>
    <row r="3887" spans="1:11" x14ac:dyDescent="0.35">
      <c r="A3887" s="13"/>
      <c r="E3887" s="8"/>
      <c r="F3887" s="1"/>
      <c r="J3887" s="2"/>
      <c r="K3887" s="7"/>
    </row>
    <row r="3888" spans="1:11" x14ac:dyDescent="0.35">
      <c r="A3888" s="13"/>
      <c r="E3888" s="8"/>
      <c r="F3888" s="1"/>
      <c r="J3888" s="2"/>
      <c r="K3888" s="7"/>
    </row>
    <row r="3889" spans="1:11" x14ac:dyDescent="0.35">
      <c r="A3889" s="13"/>
      <c r="E3889" s="8"/>
      <c r="F3889" s="1"/>
      <c r="J3889" s="2"/>
      <c r="K3889" s="7"/>
    </row>
    <row r="3890" spans="1:11" x14ac:dyDescent="0.35">
      <c r="A3890" s="13"/>
      <c r="E3890" s="8"/>
      <c r="F3890" s="1"/>
      <c r="J3890" s="2"/>
      <c r="K3890" s="7"/>
    </row>
    <row r="3891" spans="1:11" x14ac:dyDescent="0.35">
      <c r="A3891" s="13"/>
      <c r="E3891" s="8"/>
      <c r="F3891" s="1"/>
      <c r="J3891" s="2"/>
      <c r="K3891" s="7"/>
    </row>
    <row r="3892" spans="1:11" x14ac:dyDescent="0.35">
      <c r="A3892" s="13"/>
      <c r="E3892" s="8"/>
      <c r="F3892" s="1"/>
      <c r="J3892" s="2"/>
      <c r="K3892" s="7"/>
    </row>
    <row r="3893" spans="1:11" x14ac:dyDescent="0.35">
      <c r="A3893" s="13"/>
      <c r="E3893" s="8"/>
      <c r="F3893" s="1"/>
      <c r="J3893" s="2"/>
      <c r="K3893" s="7"/>
    </row>
    <row r="3894" spans="1:11" x14ac:dyDescent="0.35">
      <c r="A3894" s="13"/>
      <c r="E3894" s="8"/>
      <c r="F3894" s="1"/>
      <c r="J3894" s="2"/>
      <c r="K3894" s="7"/>
    </row>
    <row r="3895" spans="1:11" x14ac:dyDescent="0.35">
      <c r="A3895" s="13"/>
      <c r="E3895" s="8"/>
      <c r="F3895" s="1"/>
      <c r="J3895" s="2"/>
      <c r="K3895" s="7"/>
    </row>
    <row r="3896" spans="1:11" x14ac:dyDescent="0.35">
      <c r="A3896" s="13"/>
      <c r="E3896" s="8"/>
      <c r="F3896" s="1"/>
      <c r="J3896" s="2"/>
      <c r="K3896" s="7"/>
    </row>
    <row r="3897" spans="1:11" x14ac:dyDescent="0.35">
      <c r="A3897" s="13"/>
      <c r="E3897" s="8"/>
      <c r="F3897" s="1"/>
      <c r="J3897" s="2"/>
      <c r="K3897" s="7"/>
    </row>
    <row r="3898" spans="1:11" x14ac:dyDescent="0.35">
      <c r="A3898" s="13"/>
      <c r="E3898" s="8"/>
      <c r="F3898" s="1"/>
      <c r="J3898" s="2"/>
      <c r="K3898" s="7"/>
    </row>
    <row r="3899" spans="1:11" x14ac:dyDescent="0.35">
      <c r="A3899" s="13"/>
      <c r="E3899" s="8"/>
      <c r="F3899" s="1"/>
      <c r="J3899" s="2"/>
      <c r="K3899" s="7"/>
    </row>
    <row r="3900" spans="1:11" x14ac:dyDescent="0.35">
      <c r="A3900" s="13"/>
      <c r="E3900" s="8"/>
      <c r="F3900" s="1"/>
      <c r="J3900" s="2"/>
      <c r="K3900" s="7"/>
    </row>
    <row r="3901" spans="1:11" x14ac:dyDescent="0.35">
      <c r="A3901" s="13"/>
      <c r="E3901" s="8"/>
      <c r="F3901" s="1"/>
      <c r="J3901" s="2"/>
      <c r="K3901" s="7"/>
    </row>
    <row r="3902" spans="1:11" x14ac:dyDescent="0.35">
      <c r="A3902" s="13"/>
      <c r="E3902" s="8"/>
      <c r="F3902" s="1"/>
      <c r="J3902" s="2"/>
      <c r="K3902" s="7"/>
    </row>
    <row r="3903" spans="1:11" x14ac:dyDescent="0.35">
      <c r="A3903" s="13"/>
      <c r="E3903" s="8"/>
      <c r="F3903" s="1"/>
      <c r="J3903" s="2"/>
      <c r="K3903" s="7"/>
    </row>
    <row r="3904" spans="1:11" x14ac:dyDescent="0.35">
      <c r="A3904" s="13"/>
      <c r="E3904" s="8"/>
      <c r="F3904" s="1"/>
      <c r="J3904" s="2"/>
      <c r="K3904" s="7"/>
    </row>
    <row r="3905" spans="1:11" x14ac:dyDescent="0.35">
      <c r="A3905" s="13"/>
      <c r="E3905" s="8"/>
      <c r="F3905" s="1"/>
      <c r="J3905" s="2"/>
      <c r="K3905" s="7"/>
    </row>
    <row r="3906" spans="1:11" x14ac:dyDescent="0.35">
      <c r="A3906" s="13"/>
      <c r="E3906" s="8"/>
      <c r="F3906" s="1"/>
      <c r="J3906" s="2"/>
      <c r="K3906" s="7"/>
    </row>
    <row r="3907" spans="1:11" x14ac:dyDescent="0.35">
      <c r="A3907" s="13"/>
      <c r="E3907" s="8"/>
      <c r="F3907" s="1"/>
      <c r="J3907" s="2"/>
      <c r="K3907" s="7"/>
    </row>
    <row r="3908" spans="1:11" x14ac:dyDescent="0.35">
      <c r="A3908" s="13"/>
      <c r="E3908" s="8"/>
      <c r="F3908" s="1"/>
      <c r="J3908" s="2"/>
      <c r="K3908" s="7"/>
    </row>
    <row r="3909" spans="1:11" x14ac:dyDescent="0.35">
      <c r="A3909" s="13"/>
      <c r="E3909" s="8"/>
      <c r="F3909" s="1"/>
      <c r="J3909" s="2"/>
      <c r="K3909" s="7"/>
    </row>
    <row r="3910" spans="1:11" x14ac:dyDescent="0.35">
      <c r="A3910" s="13"/>
      <c r="E3910" s="8"/>
      <c r="F3910" s="1"/>
      <c r="J3910" s="2"/>
      <c r="K3910" s="7"/>
    </row>
    <row r="3911" spans="1:11" x14ac:dyDescent="0.35">
      <c r="A3911" s="13"/>
      <c r="E3911" s="8"/>
      <c r="F3911" s="1"/>
      <c r="J3911" s="2"/>
      <c r="K3911" s="7"/>
    </row>
    <row r="3912" spans="1:11" x14ac:dyDescent="0.35">
      <c r="A3912" s="13"/>
      <c r="E3912" s="8"/>
      <c r="F3912" s="1"/>
      <c r="J3912" s="2"/>
      <c r="K3912" s="7"/>
    </row>
    <row r="3913" spans="1:11" x14ac:dyDescent="0.35">
      <c r="A3913" s="13"/>
      <c r="E3913" s="8"/>
      <c r="F3913" s="1"/>
      <c r="J3913" s="2"/>
      <c r="K3913" s="7"/>
    </row>
    <row r="3914" spans="1:11" x14ac:dyDescent="0.35">
      <c r="A3914" s="13"/>
      <c r="E3914" s="8"/>
      <c r="F3914" s="1"/>
      <c r="J3914" s="2"/>
      <c r="K3914" s="7"/>
    </row>
    <row r="3915" spans="1:11" x14ac:dyDescent="0.35">
      <c r="A3915" s="13"/>
      <c r="E3915" s="8"/>
      <c r="F3915" s="1"/>
      <c r="J3915" s="2"/>
      <c r="K3915" s="7"/>
    </row>
    <row r="3916" spans="1:11" x14ac:dyDescent="0.35">
      <c r="A3916" s="13"/>
      <c r="E3916" s="8"/>
      <c r="F3916" s="1"/>
      <c r="J3916" s="2"/>
      <c r="K3916" s="7"/>
    </row>
    <row r="3917" spans="1:11" x14ac:dyDescent="0.35">
      <c r="A3917" s="13"/>
      <c r="E3917" s="8"/>
      <c r="F3917" s="1"/>
      <c r="J3917" s="2"/>
      <c r="K3917" s="7"/>
    </row>
    <row r="3918" spans="1:11" x14ac:dyDescent="0.35">
      <c r="A3918" s="13"/>
      <c r="E3918" s="8"/>
      <c r="F3918" s="1"/>
      <c r="J3918" s="2"/>
      <c r="K3918" s="7"/>
    </row>
    <row r="3919" spans="1:11" x14ac:dyDescent="0.35">
      <c r="A3919" s="13"/>
      <c r="E3919" s="8"/>
      <c r="F3919" s="1"/>
      <c r="J3919" s="2"/>
      <c r="K3919" s="7"/>
    </row>
    <row r="3920" spans="1:11" x14ac:dyDescent="0.35">
      <c r="A3920" s="13"/>
      <c r="E3920" s="8"/>
      <c r="F3920" s="1"/>
      <c r="J3920" s="2"/>
      <c r="K3920" s="7"/>
    </row>
    <row r="3921" spans="1:11" x14ac:dyDescent="0.35">
      <c r="A3921" s="13"/>
      <c r="E3921" s="8"/>
      <c r="F3921" s="1"/>
      <c r="J3921" s="2"/>
      <c r="K3921" s="7"/>
    </row>
    <row r="3922" spans="1:11" x14ac:dyDescent="0.35">
      <c r="A3922" s="13"/>
      <c r="E3922" s="8"/>
      <c r="F3922" s="1"/>
      <c r="J3922" s="2"/>
      <c r="K3922" s="7"/>
    </row>
    <row r="3923" spans="1:11" x14ac:dyDescent="0.35">
      <c r="A3923" s="13"/>
      <c r="E3923" s="8"/>
      <c r="F3923" s="1"/>
      <c r="J3923" s="2"/>
      <c r="K3923" s="7"/>
    </row>
    <row r="3924" spans="1:11" x14ac:dyDescent="0.35">
      <c r="A3924" s="13"/>
      <c r="E3924" s="8"/>
      <c r="F3924" s="1"/>
      <c r="J3924" s="2"/>
      <c r="K3924" s="7"/>
    </row>
    <row r="3925" spans="1:11" x14ac:dyDescent="0.35">
      <c r="A3925" s="13"/>
      <c r="E3925" s="8"/>
      <c r="F3925" s="1"/>
      <c r="J3925" s="2"/>
      <c r="K3925" s="7"/>
    </row>
    <row r="3926" spans="1:11" x14ac:dyDescent="0.35">
      <c r="A3926" s="13"/>
      <c r="E3926" s="8"/>
      <c r="F3926" s="1"/>
      <c r="J3926" s="2"/>
      <c r="K3926" s="7"/>
    </row>
    <row r="3927" spans="1:11" x14ac:dyDescent="0.35">
      <c r="A3927" s="13"/>
      <c r="E3927" s="8"/>
      <c r="F3927" s="1"/>
      <c r="J3927" s="2"/>
      <c r="K3927" s="7"/>
    </row>
    <row r="3928" spans="1:11" x14ac:dyDescent="0.35">
      <c r="A3928" s="13"/>
      <c r="E3928" s="8"/>
      <c r="F3928" s="1"/>
      <c r="J3928" s="2"/>
      <c r="K3928" s="7"/>
    </row>
    <row r="3929" spans="1:11" x14ac:dyDescent="0.35">
      <c r="A3929" s="13"/>
      <c r="E3929" s="8"/>
      <c r="F3929" s="1"/>
      <c r="J3929" s="2"/>
      <c r="K3929" s="7"/>
    </row>
    <row r="3930" spans="1:11" x14ac:dyDescent="0.35">
      <c r="A3930" s="13"/>
      <c r="E3930" s="8"/>
      <c r="F3930" s="1"/>
      <c r="J3930" s="2"/>
      <c r="K3930" s="7"/>
    </row>
    <row r="3931" spans="1:11" x14ac:dyDescent="0.35">
      <c r="A3931" s="13"/>
      <c r="E3931" s="8"/>
      <c r="F3931" s="1"/>
      <c r="J3931" s="2"/>
      <c r="K3931" s="7"/>
    </row>
    <row r="3932" spans="1:11" x14ac:dyDescent="0.35">
      <c r="A3932" s="13"/>
      <c r="E3932" s="8"/>
      <c r="F3932" s="1"/>
      <c r="J3932" s="2"/>
      <c r="K3932" s="7"/>
    </row>
    <row r="3933" spans="1:11" x14ac:dyDescent="0.35">
      <c r="A3933" s="13"/>
      <c r="E3933" s="8"/>
      <c r="F3933" s="1"/>
      <c r="J3933" s="2"/>
      <c r="K3933" s="7"/>
    </row>
    <row r="3934" spans="1:11" x14ac:dyDescent="0.35">
      <c r="A3934" s="13"/>
      <c r="E3934" s="8"/>
      <c r="F3934" s="1"/>
      <c r="J3934" s="2"/>
      <c r="K3934" s="7"/>
    </row>
    <row r="3935" spans="1:11" x14ac:dyDescent="0.35">
      <c r="A3935" s="13"/>
      <c r="E3935" s="8"/>
      <c r="F3935" s="1"/>
      <c r="J3935" s="2"/>
      <c r="K3935" s="7"/>
    </row>
    <row r="3936" spans="1:11" x14ac:dyDescent="0.35">
      <c r="A3936" s="13"/>
      <c r="E3936" s="8"/>
      <c r="F3936" s="1"/>
      <c r="J3936" s="2"/>
      <c r="K3936" s="7"/>
    </row>
    <row r="3937" spans="1:11" x14ac:dyDescent="0.35">
      <c r="A3937" s="13"/>
      <c r="E3937" s="8"/>
      <c r="F3937" s="1"/>
      <c r="J3937" s="2"/>
      <c r="K3937" s="7"/>
    </row>
    <row r="3938" spans="1:11" x14ac:dyDescent="0.35">
      <c r="A3938" s="13"/>
      <c r="E3938" s="8"/>
      <c r="F3938" s="1"/>
      <c r="J3938" s="2"/>
      <c r="K3938" s="7"/>
    </row>
    <row r="3939" spans="1:11" x14ac:dyDescent="0.35">
      <c r="A3939" s="13"/>
      <c r="E3939" s="8"/>
      <c r="F3939" s="1"/>
      <c r="J3939" s="2"/>
      <c r="K3939" s="7"/>
    </row>
    <row r="3940" spans="1:11" x14ac:dyDescent="0.35">
      <c r="A3940" s="13"/>
      <c r="E3940" s="8"/>
      <c r="F3940" s="1"/>
      <c r="J3940" s="2"/>
      <c r="K3940" s="7"/>
    </row>
    <row r="3941" spans="1:11" x14ac:dyDescent="0.35">
      <c r="A3941" s="13"/>
      <c r="E3941" s="8"/>
      <c r="F3941" s="1"/>
      <c r="J3941" s="2"/>
      <c r="K3941" s="7"/>
    </row>
    <row r="3942" spans="1:11" x14ac:dyDescent="0.35">
      <c r="A3942" s="13"/>
      <c r="E3942" s="8"/>
      <c r="F3942" s="1"/>
      <c r="J3942" s="2"/>
      <c r="K3942" s="7"/>
    </row>
    <row r="3943" spans="1:11" x14ac:dyDescent="0.35">
      <c r="A3943" s="13"/>
      <c r="E3943" s="8"/>
      <c r="F3943" s="1"/>
      <c r="J3943" s="2"/>
      <c r="K3943" s="7"/>
    </row>
    <row r="3944" spans="1:11" x14ac:dyDescent="0.35">
      <c r="A3944" s="13"/>
      <c r="E3944" s="8"/>
      <c r="F3944" s="1"/>
      <c r="J3944" s="2"/>
      <c r="K3944" s="7"/>
    </row>
    <row r="3945" spans="1:11" x14ac:dyDescent="0.35">
      <c r="A3945" s="13"/>
      <c r="E3945" s="8"/>
      <c r="F3945" s="1"/>
      <c r="J3945" s="2"/>
      <c r="K3945" s="7"/>
    </row>
    <row r="3946" spans="1:11" x14ac:dyDescent="0.35">
      <c r="A3946" s="13"/>
      <c r="E3946" s="8"/>
      <c r="F3946" s="1"/>
      <c r="J3946" s="2"/>
      <c r="K3946" s="7"/>
    </row>
    <row r="3947" spans="1:11" x14ac:dyDescent="0.35">
      <c r="A3947" s="13"/>
      <c r="E3947" s="8"/>
      <c r="F3947" s="1"/>
      <c r="J3947" s="2"/>
      <c r="K3947" s="7"/>
    </row>
    <row r="3948" spans="1:11" x14ac:dyDescent="0.35">
      <c r="A3948" s="13"/>
      <c r="E3948" s="8"/>
      <c r="F3948" s="1"/>
      <c r="J3948" s="2"/>
      <c r="K3948" s="7"/>
    </row>
    <row r="3949" spans="1:11" x14ac:dyDescent="0.35">
      <c r="A3949" s="13"/>
      <c r="E3949" s="8"/>
      <c r="F3949" s="1"/>
      <c r="J3949" s="2"/>
      <c r="K3949" s="7"/>
    </row>
    <row r="3950" spans="1:11" x14ac:dyDescent="0.35">
      <c r="A3950" s="13"/>
      <c r="E3950" s="8"/>
      <c r="F3950" s="1"/>
      <c r="J3950" s="2"/>
      <c r="K3950" s="7"/>
    </row>
    <row r="3951" spans="1:11" x14ac:dyDescent="0.35">
      <c r="A3951" s="13"/>
      <c r="E3951" s="8"/>
      <c r="F3951" s="1"/>
      <c r="J3951" s="2"/>
      <c r="K3951" s="7"/>
    </row>
    <row r="3952" spans="1:11" x14ac:dyDescent="0.35">
      <c r="A3952" s="13"/>
      <c r="E3952" s="8"/>
      <c r="F3952" s="1"/>
      <c r="J3952" s="2"/>
      <c r="K3952" s="7"/>
    </row>
    <row r="3953" spans="1:11" x14ac:dyDescent="0.35">
      <c r="A3953" s="13"/>
      <c r="E3953" s="8"/>
      <c r="F3953" s="1"/>
      <c r="J3953" s="2"/>
      <c r="K3953" s="7"/>
    </row>
    <row r="3954" spans="1:11" x14ac:dyDescent="0.35">
      <c r="A3954" s="13"/>
      <c r="E3954" s="8"/>
      <c r="F3954" s="1"/>
      <c r="J3954" s="2"/>
      <c r="K3954" s="7"/>
    </row>
    <row r="3955" spans="1:11" x14ac:dyDescent="0.35">
      <c r="A3955" s="13"/>
      <c r="E3955" s="8"/>
      <c r="F3955" s="1"/>
      <c r="J3955" s="2"/>
      <c r="K3955" s="7"/>
    </row>
    <row r="3956" spans="1:11" x14ac:dyDescent="0.35">
      <c r="A3956" s="13"/>
      <c r="E3956" s="8"/>
      <c r="F3956" s="1"/>
      <c r="J3956" s="2"/>
      <c r="K3956" s="7"/>
    </row>
    <row r="3957" spans="1:11" x14ac:dyDescent="0.35">
      <c r="A3957" s="13"/>
      <c r="E3957" s="8"/>
      <c r="F3957" s="1"/>
      <c r="J3957" s="2"/>
      <c r="K3957" s="7"/>
    </row>
    <row r="3958" spans="1:11" x14ac:dyDescent="0.35">
      <c r="A3958" s="13"/>
      <c r="E3958" s="8"/>
      <c r="F3958" s="1"/>
      <c r="J3958" s="2"/>
      <c r="K3958" s="7"/>
    </row>
    <row r="3959" spans="1:11" x14ac:dyDescent="0.35">
      <c r="A3959" s="13"/>
      <c r="E3959" s="8"/>
      <c r="F3959" s="1"/>
      <c r="J3959" s="2"/>
      <c r="K3959" s="7"/>
    </row>
    <row r="3960" spans="1:11" x14ac:dyDescent="0.35">
      <c r="A3960" s="13"/>
      <c r="E3960" s="8"/>
      <c r="F3960" s="1"/>
      <c r="J3960" s="2"/>
      <c r="K3960" s="7"/>
    </row>
    <row r="3961" spans="1:11" x14ac:dyDescent="0.35">
      <c r="A3961" s="13"/>
      <c r="E3961" s="8"/>
      <c r="F3961" s="1"/>
      <c r="J3961" s="2"/>
      <c r="K3961" s="7"/>
    </row>
    <row r="3962" spans="1:11" x14ac:dyDescent="0.35">
      <c r="A3962" s="13"/>
      <c r="E3962" s="8"/>
      <c r="F3962" s="1"/>
      <c r="J3962" s="2"/>
      <c r="K3962" s="7"/>
    </row>
    <row r="3963" spans="1:11" x14ac:dyDescent="0.35">
      <c r="A3963" s="13"/>
      <c r="E3963" s="8"/>
      <c r="F3963" s="1"/>
      <c r="J3963" s="2"/>
      <c r="K3963" s="7"/>
    </row>
    <row r="3964" spans="1:11" x14ac:dyDescent="0.35">
      <c r="A3964" s="13"/>
      <c r="E3964" s="8"/>
      <c r="F3964" s="1"/>
      <c r="J3964" s="2"/>
      <c r="K3964" s="7"/>
    </row>
    <row r="3965" spans="1:11" x14ac:dyDescent="0.35">
      <c r="A3965" s="13"/>
      <c r="E3965" s="8"/>
      <c r="F3965" s="1"/>
      <c r="J3965" s="2"/>
      <c r="K3965" s="7"/>
    </row>
    <row r="3966" spans="1:11" x14ac:dyDescent="0.35">
      <c r="A3966" s="13"/>
      <c r="E3966" s="8"/>
      <c r="F3966" s="1"/>
      <c r="J3966" s="2"/>
      <c r="K3966" s="7"/>
    </row>
    <row r="3967" spans="1:11" x14ac:dyDescent="0.35">
      <c r="A3967" s="13"/>
      <c r="E3967" s="8"/>
      <c r="F3967" s="1"/>
      <c r="J3967" s="2"/>
      <c r="K3967" s="7"/>
    </row>
    <row r="3968" spans="1:11" x14ac:dyDescent="0.35">
      <c r="A3968" s="13"/>
      <c r="E3968" s="8"/>
      <c r="F3968" s="1"/>
      <c r="J3968" s="2"/>
      <c r="K3968" s="7"/>
    </row>
    <row r="3969" spans="1:11" x14ac:dyDescent="0.35">
      <c r="A3969" s="13"/>
      <c r="E3969" s="8"/>
      <c r="F3969" s="1"/>
      <c r="J3969" s="2"/>
      <c r="K3969" s="7"/>
    </row>
    <row r="3970" spans="1:11" x14ac:dyDescent="0.35">
      <c r="A3970" s="13"/>
      <c r="E3970" s="8"/>
      <c r="F3970" s="1"/>
      <c r="J3970" s="2"/>
      <c r="K3970" s="7"/>
    </row>
    <row r="3971" spans="1:11" x14ac:dyDescent="0.35">
      <c r="A3971" s="13"/>
      <c r="E3971" s="8"/>
      <c r="F3971" s="1"/>
      <c r="J3971" s="2"/>
      <c r="K3971" s="7"/>
    </row>
    <row r="3972" spans="1:11" x14ac:dyDescent="0.35">
      <c r="A3972" s="13"/>
      <c r="E3972" s="8"/>
      <c r="F3972" s="1"/>
      <c r="J3972" s="2"/>
      <c r="K3972" s="7"/>
    </row>
    <row r="3973" spans="1:11" x14ac:dyDescent="0.35">
      <c r="A3973" s="13"/>
      <c r="E3973" s="8"/>
      <c r="F3973" s="1"/>
      <c r="J3973" s="2"/>
      <c r="K3973" s="7"/>
    </row>
    <row r="3974" spans="1:11" x14ac:dyDescent="0.35">
      <c r="A3974" s="13"/>
      <c r="E3974" s="8"/>
      <c r="F3974" s="1"/>
      <c r="J3974" s="2"/>
      <c r="K3974" s="7"/>
    </row>
    <row r="3975" spans="1:11" x14ac:dyDescent="0.35">
      <c r="A3975" s="13"/>
      <c r="E3975" s="8"/>
      <c r="F3975" s="1"/>
      <c r="J3975" s="2"/>
      <c r="K3975" s="7"/>
    </row>
    <row r="3976" spans="1:11" x14ac:dyDescent="0.35">
      <c r="A3976" s="13"/>
      <c r="E3976" s="8"/>
      <c r="F3976" s="1"/>
      <c r="J3976" s="2"/>
      <c r="K3976" s="7"/>
    </row>
    <row r="3977" spans="1:11" x14ac:dyDescent="0.35">
      <c r="A3977" s="13"/>
      <c r="E3977" s="8"/>
      <c r="F3977" s="1"/>
      <c r="J3977" s="2"/>
      <c r="K3977" s="7"/>
    </row>
    <row r="3978" spans="1:11" x14ac:dyDescent="0.35">
      <c r="A3978" s="13"/>
      <c r="E3978" s="8"/>
      <c r="F3978" s="1"/>
      <c r="J3978" s="2"/>
      <c r="K3978" s="7"/>
    </row>
    <row r="3979" spans="1:11" x14ac:dyDescent="0.35">
      <c r="A3979" s="13"/>
      <c r="E3979" s="8"/>
      <c r="F3979" s="1"/>
      <c r="J3979" s="2"/>
      <c r="K3979" s="7"/>
    </row>
    <row r="3980" spans="1:11" x14ac:dyDescent="0.35">
      <c r="A3980" s="13"/>
      <c r="E3980" s="8"/>
      <c r="F3980" s="1"/>
      <c r="J3980" s="2"/>
      <c r="K3980" s="7"/>
    </row>
    <row r="3981" spans="1:11" x14ac:dyDescent="0.35">
      <c r="A3981" s="13"/>
      <c r="E3981" s="8"/>
      <c r="F3981" s="1"/>
      <c r="J3981" s="2"/>
      <c r="K3981" s="7"/>
    </row>
    <row r="3982" spans="1:11" x14ac:dyDescent="0.35">
      <c r="A3982" s="13"/>
      <c r="E3982" s="8"/>
      <c r="F3982" s="1"/>
      <c r="J3982" s="2"/>
      <c r="K3982" s="7"/>
    </row>
    <row r="3983" spans="1:11" x14ac:dyDescent="0.35">
      <c r="A3983" s="13"/>
      <c r="E3983" s="8"/>
      <c r="F3983" s="1"/>
      <c r="J3983" s="2"/>
      <c r="K3983" s="7"/>
    </row>
    <row r="3984" spans="1:11" x14ac:dyDescent="0.35">
      <c r="A3984" s="13"/>
      <c r="E3984" s="8"/>
      <c r="F3984" s="1"/>
      <c r="J3984" s="2"/>
      <c r="K3984" s="7"/>
    </row>
    <row r="3985" spans="1:11" x14ac:dyDescent="0.35">
      <c r="A3985" s="13"/>
      <c r="E3985" s="8"/>
      <c r="F3985" s="1"/>
      <c r="J3985" s="2"/>
      <c r="K3985" s="7"/>
    </row>
    <row r="3986" spans="1:11" x14ac:dyDescent="0.35">
      <c r="A3986" s="13"/>
      <c r="E3986" s="8"/>
      <c r="F3986" s="1"/>
      <c r="J3986" s="2"/>
      <c r="K3986" s="7"/>
    </row>
    <row r="3987" spans="1:11" x14ac:dyDescent="0.35">
      <c r="A3987" s="13"/>
      <c r="E3987" s="8"/>
      <c r="F3987" s="1"/>
      <c r="J3987" s="2"/>
      <c r="K3987" s="7"/>
    </row>
    <row r="3988" spans="1:11" x14ac:dyDescent="0.35">
      <c r="A3988" s="13"/>
      <c r="E3988" s="8"/>
      <c r="F3988" s="1"/>
      <c r="J3988" s="2"/>
      <c r="K3988" s="7"/>
    </row>
    <row r="3989" spans="1:11" x14ac:dyDescent="0.35">
      <c r="A3989" s="13"/>
      <c r="E3989" s="8"/>
      <c r="F3989" s="1"/>
      <c r="J3989" s="2"/>
      <c r="K3989" s="7"/>
    </row>
    <row r="3990" spans="1:11" x14ac:dyDescent="0.35">
      <c r="A3990" s="13"/>
      <c r="E3990" s="8"/>
      <c r="F3990" s="1"/>
      <c r="J3990" s="2"/>
      <c r="K3990" s="7"/>
    </row>
    <row r="3991" spans="1:11" x14ac:dyDescent="0.35">
      <c r="A3991" s="13"/>
      <c r="E3991" s="8"/>
      <c r="F3991" s="1"/>
      <c r="J3991" s="2"/>
      <c r="K3991" s="7"/>
    </row>
    <row r="3992" spans="1:11" x14ac:dyDescent="0.35">
      <c r="A3992" s="13"/>
      <c r="E3992" s="8"/>
      <c r="F3992" s="1"/>
      <c r="J3992" s="2"/>
      <c r="K3992" s="7"/>
    </row>
    <row r="3993" spans="1:11" x14ac:dyDescent="0.35">
      <c r="A3993" s="13"/>
      <c r="E3993" s="8"/>
      <c r="F3993" s="1"/>
      <c r="J3993" s="2"/>
      <c r="K3993" s="7"/>
    </row>
    <row r="3994" spans="1:11" x14ac:dyDescent="0.35">
      <c r="A3994" s="13"/>
      <c r="E3994" s="8"/>
      <c r="F3994" s="1"/>
      <c r="J3994" s="2"/>
      <c r="K3994" s="7"/>
    </row>
    <row r="3995" spans="1:11" x14ac:dyDescent="0.35">
      <c r="A3995" s="13"/>
      <c r="E3995" s="8"/>
      <c r="F3995" s="1"/>
      <c r="J3995" s="2"/>
      <c r="K3995" s="7"/>
    </row>
    <row r="3996" spans="1:11" x14ac:dyDescent="0.35">
      <c r="A3996" s="13"/>
      <c r="E3996" s="8"/>
      <c r="F3996" s="1"/>
      <c r="J3996" s="2"/>
      <c r="K3996" s="7"/>
    </row>
    <row r="3997" spans="1:11" x14ac:dyDescent="0.35">
      <c r="A3997" s="13"/>
      <c r="E3997" s="8"/>
      <c r="F3997" s="1"/>
      <c r="J3997" s="2"/>
      <c r="K3997" s="7"/>
    </row>
    <row r="3998" spans="1:11" x14ac:dyDescent="0.35">
      <c r="A3998" s="13"/>
      <c r="E3998" s="8"/>
      <c r="F3998" s="1"/>
      <c r="J3998" s="2"/>
      <c r="K3998" s="7"/>
    </row>
    <row r="3999" spans="1:11" x14ac:dyDescent="0.35">
      <c r="A3999" s="13"/>
      <c r="E3999" s="8"/>
      <c r="F3999" s="1"/>
      <c r="J3999" s="2"/>
      <c r="K3999" s="7"/>
    </row>
    <row r="4000" spans="1:11" x14ac:dyDescent="0.35">
      <c r="A4000" s="13"/>
      <c r="E4000" s="8"/>
      <c r="F4000" s="1"/>
      <c r="J4000" s="2"/>
      <c r="K4000" s="7"/>
    </row>
    <row r="4001" spans="1:11" x14ac:dyDescent="0.35">
      <c r="A4001" s="13"/>
      <c r="E4001" s="8"/>
      <c r="F4001" s="1"/>
      <c r="J4001" s="2"/>
      <c r="K4001" s="7"/>
    </row>
    <row r="4002" spans="1:11" x14ac:dyDescent="0.35">
      <c r="A4002" s="13"/>
      <c r="E4002" s="8"/>
      <c r="F4002" s="1"/>
      <c r="J4002" s="2"/>
      <c r="K4002" s="7"/>
    </row>
    <row r="4003" spans="1:11" x14ac:dyDescent="0.35">
      <c r="A4003" s="13"/>
      <c r="E4003" s="8"/>
      <c r="F4003" s="1"/>
      <c r="J4003" s="2"/>
      <c r="K4003" s="7"/>
    </row>
    <row r="4004" spans="1:11" x14ac:dyDescent="0.35">
      <c r="A4004" s="13"/>
      <c r="E4004" s="8"/>
      <c r="F4004" s="1"/>
      <c r="J4004" s="2"/>
      <c r="K4004" s="7"/>
    </row>
    <row r="4005" spans="1:11" x14ac:dyDescent="0.35">
      <c r="A4005" s="13"/>
      <c r="E4005" s="8"/>
      <c r="F4005" s="1"/>
      <c r="J4005" s="2"/>
      <c r="K4005" s="7"/>
    </row>
    <row r="4006" spans="1:11" x14ac:dyDescent="0.35">
      <c r="A4006" s="13"/>
      <c r="E4006" s="8"/>
      <c r="F4006" s="1"/>
      <c r="J4006" s="2"/>
      <c r="K4006" s="7"/>
    </row>
    <row r="4007" spans="1:11" x14ac:dyDescent="0.35">
      <c r="A4007" s="13"/>
      <c r="E4007" s="8"/>
      <c r="F4007" s="1"/>
      <c r="J4007" s="2"/>
      <c r="K4007" s="7"/>
    </row>
    <row r="4008" spans="1:11" x14ac:dyDescent="0.35">
      <c r="A4008" s="13"/>
      <c r="E4008" s="8"/>
      <c r="F4008" s="1"/>
      <c r="J4008" s="2"/>
      <c r="K4008" s="7"/>
    </row>
    <row r="4009" spans="1:11" x14ac:dyDescent="0.35">
      <c r="A4009" s="13"/>
      <c r="E4009" s="8"/>
      <c r="F4009" s="1"/>
      <c r="J4009" s="2"/>
      <c r="K4009" s="7"/>
    </row>
    <row r="4010" spans="1:11" x14ac:dyDescent="0.35">
      <c r="A4010" s="13"/>
      <c r="E4010" s="8"/>
      <c r="F4010" s="1"/>
      <c r="J4010" s="2"/>
      <c r="K4010" s="7"/>
    </row>
    <row r="4011" spans="1:11" x14ac:dyDescent="0.35">
      <c r="A4011" s="13"/>
      <c r="E4011" s="8"/>
      <c r="F4011" s="1"/>
      <c r="J4011" s="2"/>
      <c r="K4011" s="7"/>
    </row>
    <row r="4012" spans="1:11" x14ac:dyDescent="0.35">
      <c r="A4012" s="13"/>
      <c r="E4012" s="8"/>
      <c r="F4012" s="1"/>
      <c r="J4012" s="2"/>
      <c r="K4012" s="7"/>
    </row>
    <row r="4013" spans="1:11" x14ac:dyDescent="0.35">
      <c r="A4013" s="13"/>
      <c r="E4013" s="8"/>
      <c r="F4013" s="1"/>
      <c r="J4013" s="2"/>
      <c r="K4013" s="7"/>
    </row>
    <row r="4014" spans="1:11" x14ac:dyDescent="0.35">
      <c r="A4014" s="13"/>
      <c r="E4014" s="8"/>
      <c r="F4014" s="1"/>
      <c r="J4014" s="2"/>
      <c r="K4014" s="7"/>
    </row>
    <row r="4015" spans="1:11" x14ac:dyDescent="0.35">
      <c r="A4015" s="13"/>
      <c r="E4015" s="8"/>
      <c r="F4015" s="1"/>
      <c r="J4015" s="2"/>
      <c r="K4015" s="7"/>
    </row>
    <row r="4016" spans="1:11" x14ac:dyDescent="0.35">
      <c r="A4016" s="13"/>
      <c r="E4016" s="8"/>
      <c r="F4016" s="1"/>
      <c r="J4016" s="2"/>
      <c r="K4016" s="7"/>
    </row>
    <row r="4017" spans="1:11" x14ac:dyDescent="0.35">
      <c r="A4017" s="13"/>
      <c r="E4017" s="8"/>
      <c r="F4017" s="1"/>
      <c r="J4017" s="2"/>
      <c r="K4017" s="7"/>
    </row>
    <row r="4018" spans="1:11" x14ac:dyDescent="0.35">
      <c r="A4018" s="13"/>
      <c r="E4018" s="8"/>
      <c r="F4018" s="1"/>
      <c r="J4018" s="2"/>
      <c r="K4018" s="7"/>
    </row>
    <row r="4019" spans="1:11" x14ac:dyDescent="0.35">
      <c r="A4019" s="13"/>
      <c r="E4019" s="8"/>
      <c r="F4019" s="1"/>
      <c r="J4019" s="2"/>
      <c r="K4019" s="7"/>
    </row>
    <row r="4020" spans="1:11" x14ac:dyDescent="0.35">
      <c r="A4020" s="13"/>
      <c r="E4020" s="8"/>
      <c r="F4020" s="1"/>
      <c r="J4020" s="2"/>
      <c r="K4020" s="7"/>
    </row>
    <row r="4021" spans="1:11" x14ac:dyDescent="0.35">
      <c r="A4021" s="13"/>
      <c r="E4021" s="8"/>
      <c r="F4021" s="1"/>
      <c r="J4021" s="2"/>
      <c r="K4021" s="7"/>
    </row>
    <row r="4022" spans="1:11" x14ac:dyDescent="0.35">
      <c r="A4022" s="13"/>
      <c r="E4022" s="8"/>
      <c r="F4022" s="1"/>
      <c r="J4022" s="2"/>
      <c r="K4022" s="7"/>
    </row>
    <row r="4023" spans="1:11" x14ac:dyDescent="0.35">
      <c r="A4023" s="13"/>
      <c r="E4023" s="8"/>
      <c r="F4023" s="1"/>
      <c r="J4023" s="2"/>
      <c r="K4023" s="7"/>
    </row>
    <row r="4024" spans="1:11" x14ac:dyDescent="0.35">
      <c r="A4024" s="13"/>
      <c r="E4024" s="8"/>
      <c r="F4024" s="1"/>
      <c r="J4024" s="2"/>
      <c r="K4024" s="7"/>
    </row>
    <row r="4025" spans="1:11" x14ac:dyDescent="0.35">
      <c r="A4025" s="13"/>
      <c r="E4025" s="8"/>
      <c r="F4025" s="1"/>
      <c r="J4025" s="2"/>
      <c r="K4025" s="7"/>
    </row>
    <row r="4026" spans="1:11" x14ac:dyDescent="0.35">
      <c r="A4026" s="13"/>
      <c r="E4026" s="8"/>
      <c r="F4026" s="1"/>
      <c r="J4026" s="2"/>
      <c r="K4026" s="7"/>
    </row>
    <row r="4027" spans="1:11" x14ac:dyDescent="0.35">
      <c r="A4027" s="13"/>
      <c r="E4027" s="8"/>
      <c r="F4027" s="1"/>
      <c r="J4027" s="2"/>
      <c r="K4027" s="7"/>
    </row>
    <row r="4028" spans="1:11" x14ac:dyDescent="0.35">
      <c r="A4028" s="13"/>
      <c r="E4028" s="8"/>
      <c r="F4028" s="1"/>
      <c r="J4028" s="2"/>
      <c r="K4028" s="7"/>
    </row>
    <row r="4029" spans="1:11" x14ac:dyDescent="0.35">
      <c r="A4029" s="13"/>
      <c r="E4029" s="8"/>
      <c r="F4029" s="1"/>
      <c r="J4029" s="2"/>
      <c r="K4029" s="7"/>
    </row>
    <row r="4030" spans="1:11" x14ac:dyDescent="0.35">
      <c r="A4030" s="13"/>
      <c r="E4030" s="8"/>
      <c r="F4030" s="1"/>
      <c r="J4030" s="2"/>
      <c r="K4030" s="7"/>
    </row>
    <row r="4031" spans="1:11" x14ac:dyDescent="0.35">
      <c r="A4031" s="13"/>
      <c r="E4031" s="8"/>
      <c r="F4031" s="1"/>
      <c r="J4031" s="2"/>
      <c r="K4031" s="7"/>
    </row>
    <row r="4032" spans="1:11" x14ac:dyDescent="0.35">
      <c r="A4032" s="13"/>
      <c r="E4032" s="8"/>
      <c r="F4032" s="1"/>
      <c r="J4032" s="2"/>
      <c r="K4032" s="7"/>
    </row>
    <row r="4033" spans="1:11" x14ac:dyDescent="0.35">
      <c r="A4033" s="13"/>
      <c r="E4033" s="8"/>
      <c r="F4033" s="1"/>
      <c r="J4033" s="2"/>
      <c r="K4033" s="7"/>
    </row>
    <row r="4034" spans="1:11" x14ac:dyDescent="0.35">
      <c r="A4034" s="13"/>
      <c r="E4034" s="8"/>
      <c r="F4034" s="1"/>
      <c r="J4034" s="2"/>
      <c r="K4034" s="7"/>
    </row>
    <row r="4035" spans="1:11" x14ac:dyDescent="0.35">
      <c r="A4035" s="13"/>
      <c r="E4035" s="8"/>
      <c r="F4035" s="1"/>
      <c r="J4035" s="2"/>
      <c r="K4035" s="7"/>
    </row>
    <row r="4036" spans="1:11" x14ac:dyDescent="0.35">
      <c r="A4036" s="13"/>
      <c r="E4036" s="8"/>
      <c r="F4036" s="1"/>
      <c r="J4036" s="2"/>
      <c r="K4036" s="7"/>
    </row>
    <row r="4037" spans="1:11" x14ac:dyDescent="0.35">
      <c r="A4037" s="13"/>
      <c r="E4037" s="8"/>
      <c r="F4037" s="1"/>
      <c r="J4037" s="2"/>
      <c r="K4037" s="7"/>
    </row>
    <row r="4038" spans="1:11" x14ac:dyDescent="0.35">
      <c r="A4038" s="13"/>
      <c r="E4038" s="8"/>
      <c r="F4038" s="1"/>
      <c r="J4038" s="2"/>
      <c r="K4038" s="7"/>
    </row>
    <row r="4039" spans="1:11" x14ac:dyDescent="0.35">
      <c r="A4039" s="13"/>
      <c r="E4039" s="8"/>
      <c r="F4039" s="1"/>
      <c r="J4039" s="2"/>
      <c r="K4039" s="7"/>
    </row>
    <row r="4040" spans="1:11" x14ac:dyDescent="0.35">
      <c r="A4040" s="13"/>
      <c r="E4040" s="8"/>
      <c r="F4040" s="1"/>
      <c r="J4040" s="2"/>
      <c r="K4040" s="7"/>
    </row>
    <row r="4041" spans="1:11" x14ac:dyDescent="0.35">
      <c r="A4041" s="13"/>
      <c r="E4041" s="8"/>
      <c r="F4041" s="1"/>
      <c r="J4041" s="2"/>
      <c r="K4041" s="7"/>
    </row>
    <row r="4042" spans="1:11" x14ac:dyDescent="0.35">
      <c r="A4042" s="13"/>
      <c r="E4042" s="8"/>
      <c r="F4042" s="1"/>
      <c r="J4042" s="2"/>
      <c r="K4042" s="7"/>
    </row>
    <row r="4043" spans="1:11" x14ac:dyDescent="0.35">
      <c r="A4043" s="13"/>
      <c r="E4043" s="8"/>
      <c r="F4043" s="1"/>
      <c r="J4043" s="2"/>
      <c r="K4043" s="7"/>
    </row>
    <row r="4044" spans="1:11" x14ac:dyDescent="0.35">
      <c r="A4044" s="13"/>
      <c r="E4044" s="8"/>
      <c r="F4044" s="1"/>
      <c r="J4044" s="2"/>
      <c r="K4044" s="7"/>
    </row>
    <row r="4045" spans="1:11" x14ac:dyDescent="0.35">
      <c r="A4045" s="13"/>
      <c r="E4045" s="8"/>
      <c r="F4045" s="1"/>
      <c r="J4045" s="2"/>
      <c r="K4045" s="7"/>
    </row>
    <row r="4046" spans="1:11" x14ac:dyDescent="0.35">
      <c r="A4046" s="13"/>
      <c r="E4046" s="8"/>
      <c r="F4046" s="1"/>
      <c r="J4046" s="2"/>
      <c r="K4046" s="7"/>
    </row>
    <row r="4047" spans="1:11" x14ac:dyDescent="0.35">
      <c r="A4047" s="13"/>
      <c r="E4047" s="8"/>
      <c r="F4047" s="1"/>
      <c r="J4047" s="2"/>
      <c r="K4047" s="7"/>
    </row>
    <row r="4048" spans="1:11" x14ac:dyDescent="0.35">
      <c r="A4048" s="13"/>
      <c r="E4048" s="8"/>
      <c r="F4048" s="1"/>
      <c r="J4048" s="2"/>
      <c r="K4048" s="7"/>
    </row>
    <row r="4049" spans="1:11" x14ac:dyDescent="0.35">
      <c r="A4049" s="13"/>
      <c r="E4049" s="8"/>
      <c r="F4049" s="1"/>
      <c r="J4049" s="2"/>
      <c r="K4049" s="7"/>
    </row>
    <row r="4050" spans="1:11" x14ac:dyDescent="0.35">
      <c r="A4050" s="13"/>
      <c r="E4050" s="8"/>
      <c r="F4050" s="1"/>
      <c r="J4050" s="2"/>
      <c r="K4050" s="7"/>
    </row>
    <row r="4051" spans="1:11" x14ac:dyDescent="0.35">
      <c r="A4051" s="13"/>
      <c r="E4051" s="8"/>
      <c r="F4051" s="1"/>
      <c r="J4051" s="2"/>
      <c r="K4051" s="7"/>
    </row>
    <row r="4052" spans="1:11" x14ac:dyDescent="0.35">
      <c r="A4052" s="13"/>
      <c r="E4052" s="8"/>
      <c r="F4052" s="1"/>
      <c r="J4052" s="2"/>
      <c r="K4052" s="7"/>
    </row>
    <row r="4053" spans="1:11" x14ac:dyDescent="0.35">
      <c r="A4053" s="13"/>
      <c r="E4053" s="8"/>
      <c r="F4053" s="1"/>
      <c r="J4053" s="2"/>
      <c r="K4053" s="7"/>
    </row>
    <row r="4054" spans="1:11" x14ac:dyDescent="0.35">
      <c r="A4054" s="13"/>
      <c r="E4054" s="8"/>
      <c r="F4054" s="1"/>
      <c r="J4054" s="2"/>
      <c r="K4054" s="7"/>
    </row>
    <row r="4055" spans="1:11" x14ac:dyDescent="0.35">
      <c r="A4055" s="13"/>
      <c r="E4055" s="8"/>
      <c r="F4055" s="1"/>
      <c r="J4055" s="2"/>
      <c r="K4055" s="7"/>
    </row>
    <row r="4056" spans="1:11" x14ac:dyDescent="0.35">
      <c r="A4056" s="13"/>
      <c r="E4056" s="8"/>
      <c r="F4056" s="1"/>
      <c r="J4056" s="2"/>
      <c r="K4056" s="7"/>
    </row>
    <row r="4057" spans="1:11" x14ac:dyDescent="0.35">
      <c r="A4057" s="13"/>
      <c r="E4057" s="8"/>
      <c r="F4057" s="1"/>
      <c r="J4057" s="2"/>
      <c r="K4057" s="7"/>
    </row>
    <row r="4058" spans="1:11" x14ac:dyDescent="0.35">
      <c r="A4058" s="13"/>
      <c r="E4058" s="8"/>
      <c r="F4058" s="1"/>
      <c r="J4058" s="2"/>
      <c r="K4058" s="7"/>
    </row>
    <row r="4059" spans="1:11" x14ac:dyDescent="0.35">
      <c r="A4059" s="13"/>
      <c r="E4059" s="8"/>
      <c r="F4059" s="1"/>
      <c r="J4059" s="2"/>
      <c r="K4059" s="7"/>
    </row>
    <row r="4060" spans="1:11" x14ac:dyDescent="0.35">
      <c r="A4060" s="13"/>
      <c r="E4060" s="8"/>
      <c r="F4060" s="1"/>
      <c r="J4060" s="2"/>
      <c r="K4060" s="7"/>
    </row>
    <row r="4061" spans="1:11" x14ac:dyDescent="0.35">
      <c r="A4061" s="13"/>
      <c r="E4061" s="8"/>
      <c r="F4061" s="1"/>
      <c r="J4061" s="2"/>
      <c r="K4061" s="7"/>
    </row>
    <row r="4062" spans="1:11" x14ac:dyDescent="0.35">
      <c r="A4062" s="13"/>
      <c r="E4062" s="8"/>
      <c r="F4062" s="1"/>
      <c r="J4062" s="2"/>
      <c r="K4062" s="7"/>
    </row>
    <row r="4063" spans="1:11" x14ac:dyDescent="0.35">
      <c r="A4063" s="13"/>
      <c r="E4063" s="8"/>
      <c r="F4063" s="1"/>
      <c r="J4063" s="2"/>
      <c r="K4063" s="7"/>
    </row>
    <row r="4064" spans="1:11" x14ac:dyDescent="0.35">
      <c r="A4064" s="13"/>
      <c r="E4064" s="8"/>
      <c r="F4064" s="1"/>
      <c r="J4064" s="2"/>
      <c r="K4064" s="7"/>
    </row>
    <row r="4065" spans="1:11" x14ac:dyDescent="0.35">
      <c r="A4065" s="13"/>
      <c r="E4065" s="8"/>
      <c r="F4065" s="1"/>
      <c r="J4065" s="2"/>
      <c r="K4065" s="7"/>
    </row>
    <row r="4066" spans="1:11" x14ac:dyDescent="0.35">
      <c r="A4066" s="13"/>
      <c r="E4066" s="8"/>
      <c r="F4066" s="1"/>
      <c r="J4066" s="2"/>
      <c r="K4066" s="7"/>
    </row>
    <row r="4067" spans="1:11" x14ac:dyDescent="0.35">
      <c r="A4067" s="13"/>
      <c r="E4067" s="8"/>
      <c r="F4067" s="1"/>
      <c r="J4067" s="2"/>
      <c r="K4067" s="7"/>
    </row>
    <row r="4068" spans="1:11" x14ac:dyDescent="0.35">
      <c r="A4068" s="13"/>
      <c r="E4068" s="8"/>
      <c r="F4068" s="1"/>
      <c r="J4068" s="2"/>
      <c r="K4068" s="7"/>
    </row>
    <row r="4069" spans="1:11" x14ac:dyDescent="0.35">
      <c r="A4069" s="13"/>
      <c r="E4069" s="8"/>
      <c r="F4069" s="1"/>
      <c r="J4069" s="2"/>
      <c r="K4069" s="7"/>
    </row>
    <row r="4070" spans="1:11" x14ac:dyDescent="0.35">
      <c r="A4070" s="13"/>
      <c r="E4070" s="8"/>
      <c r="F4070" s="1"/>
      <c r="J4070" s="2"/>
      <c r="K4070" s="7"/>
    </row>
    <row r="4071" spans="1:11" x14ac:dyDescent="0.35">
      <c r="A4071" s="13"/>
      <c r="E4071" s="8"/>
      <c r="F4071" s="1"/>
      <c r="J4071" s="2"/>
      <c r="K4071" s="7"/>
    </row>
    <row r="4072" spans="1:11" x14ac:dyDescent="0.35">
      <c r="A4072" s="13"/>
      <c r="E4072" s="8"/>
      <c r="F4072" s="1"/>
      <c r="J4072" s="2"/>
      <c r="K4072" s="7"/>
    </row>
    <row r="4073" spans="1:11" x14ac:dyDescent="0.35">
      <c r="A4073" s="13"/>
      <c r="E4073" s="8"/>
      <c r="F4073" s="1"/>
      <c r="J4073" s="2"/>
      <c r="K4073" s="7"/>
    </row>
    <row r="4074" spans="1:11" x14ac:dyDescent="0.35">
      <c r="A4074" s="13"/>
      <c r="E4074" s="8"/>
      <c r="F4074" s="1"/>
      <c r="J4074" s="2"/>
      <c r="K4074" s="7"/>
    </row>
    <row r="4075" spans="1:11" x14ac:dyDescent="0.35">
      <c r="A4075" s="13"/>
      <c r="E4075" s="8"/>
      <c r="F4075" s="1"/>
      <c r="J4075" s="2"/>
      <c r="K4075" s="7"/>
    </row>
    <row r="4076" spans="1:11" x14ac:dyDescent="0.35">
      <c r="A4076" s="13"/>
      <c r="E4076" s="8"/>
      <c r="F4076" s="1"/>
      <c r="J4076" s="2"/>
      <c r="K4076" s="7"/>
    </row>
    <row r="4077" spans="1:11" x14ac:dyDescent="0.35">
      <c r="A4077" s="13"/>
      <c r="E4077" s="8"/>
      <c r="F4077" s="1"/>
      <c r="J4077" s="2"/>
      <c r="K4077" s="7"/>
    </row>
    <row r="4078" spans="1:11" x14ac:dyDescent="0.35">
      <c r="A4078" s="13"/>
      <c r="E4078" s="8"/>
      <c r="F4078" s="1"/>
      <c r="J4078" s="2"/>
      <c r="K4078" s="7"/>
    </row>
    <row r="4079" spans="1:11" x14ac:dyDescent="0.35">
      <c r="A4079" s="13"/>
      <c r="E4079" s="8"/>
      <c r="F4079" s="1"/>
      <c r="J4079" s="2"/>
      <c r="K4079" s="7"/>
    </row>
    <row r="4080" spans="1:11" x14ac:dyDescent="0.35">
      <c r="A4080" s="13"/>
      <c r="E4080" s="8"/>
      <c r="F4080" s="1"/>
      <c r="J4080" s="2"/>
      <c r="K4080" s="7"/>
    </row>
    <row r="4081" spans="1:11" x14ac:dyDescent="0.35">
      <c r="A4081" s="13"/>
      <c r="E4081" s="8"/>
      <c r="F4081" s="1"/>
      <c r="J4081" s="2"/>
      <c r="K4081" s="7"/>
    </row>
    <row r="4082" spans="1:11" x14ac:dyDescent="0.35">
      <c r="A4082" s="13"/>
      <c r="E4082" s="8"/>
      <c r="F4082" s="1"/>
      <c r="J4082" s="2"/>
      <c r="K4082" s="7"/>
    </row>
    <row r="4083" spans="1:11" x14ac:dyDescent="0.35">
      <c r="A4083" s="13"/>
      <c r="E4083" s="8"/>
      <c r="F4083" s="1"/>
      <c r="J4083" s="2"/>
      <c r="K4083" s="7"/>
    </row>
    <row r="4084" spans="1:11" x14ac:dyDescent="0.35">
      <c r="A4084" s="13"/>
      <c r="E4084" s="8"/>
      <c r="F4084" s="1"/>
      <c r="J4084" s="2"/>
      <c r="K4084" s="7"/>
    </row>
    <row r="4085" spans="1:11" x14ac:dyDescent="0.35">
      <c r="A4085" s="13"/>
      <c r="E4085" s="8"/>
      <c r="F4085" s="1"/>
      <c r="J4085" s="2"/>
      <c r="K4085" s="7"/>
    </row>
    <row r="4086" spans="1:11" x14ac:dyDescent="0.35">
      <c r="A4086" s="13"/>
      <c r="E4086" s="8"/>
      <c r="F4086" s="1"/>
      <c r="J4086" s="2"/>
      <c r="K4086" s="7"/>
    </row>
    <row r="4087" spans="1:11" x14ac:dyDescent="0.35">
      <c r="A4087" s="13"/>
      <c r="E4087" s="8"/>
      <c r="F4087" s="1"/>
      <c r="J4087" s="2"/>
      <c r="K4087" s="7"/>
    </row>
    <row r="4088" spans="1:11" x14ac:dyDescent="0.35">
      <c r="A4088" s="13"/>
      <c r="E4088" s="8"/>
      <c r="F4088" s="1"/>
      <c r="J4088" s="2"/>
      <c r="K4088" s="7"/>
    </row>
    <row r="4089" spans="1:11" x14ac:dyDescent="0.35">
      <c r="A4089" s="13"/>
      <c r="E4089" s="8"/>
      <c r="F4089" s="1"/>
      <c r="J4089" s="2"/>
      <c r="K4089" s="7"/>
    </row>
    <row r="4090" spans="1:11" x14ac:dyDescent="0.35">
      <c r="A4090" s="13"/>
      <c r="E4090" s="8"/>
      <c r="F4090" s="1"/>
      <c r="J4090" s="2"/>
      <c r="K4090" s="7"/>
    </row>
    <row r="4091" spans="1:11" x14ac:dyDescent="0.35">
      <c r="A4091" s="13"/>
      <c r="E4091" s="8"/>
      <c r="F4091" s="1"/>
      <c r="J4091" s="2"/>
      <c r="K4091" s="7"/>
    </row>
    <row r="4092" spans="1:11" x14ac:dyDescent="0.35">
      <c r="A4092" s="13"/>
      <c r="E4092" s="8"/>
      <c r="F4092" s="1"/>
      <c r="J4092" s="2"/>
      <c r="K4092" s="7"/>
    </row>
    <row r="4093" spans="1:11" x14ac:dyDescent="0.35">
      <c r="A4093" s="13"/>
      <c r="E4093" s="8"/>
      <c r="F4093" s="1"/>
      <c r="J4093" s="2"/>
      <c r="K4093" s="7"/>
    </row>
    <row r="4094" spans="1:11" x14ac:dyDescent="0.35">
      <c r="A4094" s="13"/>
      <c r="E4094" s="8"/>
      <c r="F4094" s="1"/>
      <c r="J4094" s="2"/>
      <c r="K4094" s="7"/>
    </row>
    <row r="4095" spans="1:11" x14ac:dyDescent="0.35">
      <c r="A4095" s="13"/>
      <c r="E4095" s="8"/>
      <c r="F4095" s="1"/>
      <c r="J4095" s="2"/>
      <c r="K4095" s="7"/>
    </row>
    <row r="4096" spans="1:11" x14ac:dyDescent="0.35">
      <c r="A4096" s="13"/>
      <c r="E4096" s="8"/>
      <c r="F4096" s="1"/>
      <c r="J4096" s="2"/>
      <c r="K4096" s="7"/>
    </row>
    <row r="4097" spans="1:11" x14ac:dyDescent="0.35">
      <c r="A4097" s="13"/>
      <c r="E4097" s="8"/>
      <c r="F4097" s="1"/>
      <c r="J4097" s="2"/>
      <c r="K4097" s="7"/>
    </row>
    <row r="4098" spans="1:11" x14ac:dyDescent="0.35">
      <c r="A4098" s="13"/>
      <c r="E4098" s="8"/>
      <c r="F4098" s="1"/>
      <c r="J4098" s="2"/>
      <c r="K4098" s="7"/>
    </row>
    <row r="4099" spans="1:11" x14ac:dyDescent="0.35">
      <c r="A4099" s="13"/>
      <c r="E4099" s="8"/>
      <c r="F4099" s="1"/>
      <c r="J4099" s="2"/>
      <c r="K4099" s="7"/>
    </row>
    <row r="4100" spans="1:11" x14ac:dyDescent="0.35">
      <c r="A4100" s="13"/>
      <c r="E4100" s="8"/>
      <c r="F4100" s="1"/>
      <c r="J4100" s="2"/>
      <c r="K4100" s="7"/>
    </row>
    <row r="4101" spans="1:11" x14ac:dyDescent="0.35">
      <c r="A4101" s="13"/>
      <c r="E4101" s="8"/>
      <c r="F4101" s="1"/>
      <c r="J4101" s="2"/>
      <c r="K4101" s="7"/>
    </row>
    <row r="4102" spans="1:11" x14ac:dyDescent="0.35">
      <c r="A4102" s="13"/>
      <c r="E4102" s="8"/>
      <c r="F4102" s="1"/>
      <c r="J4102" s="2"/>
      <c r="K4102" s="7"/>
    </row>
    <row r="4103" spans="1:11" x14ac:dyDescent="0.35">
      <c r="A4103" s="13"/>
      <c r="E4103" s="8"/>
      <c r="F4103" s="1"/>
      <c r="J4103" s="2"/>
      <c r="K4103" s="7"/>
    </row>
    <row r="4104" spans="1:11" x14ac:dyDescent="0.35">
      <c r="A4104" s="13"/>
      <c r="E4104" s="8"/>
      <c r="F4104" s="1"/>
      <c r="J4104" s="2"/>
      <c r="K4104" s="7"/>
    </row>
    <row r="4105" spans="1:11" x14ac:dyDescent="0.35">
      <c r="A4105" s="13"/>
      <c r="E4105" s="8"/>
      <c r="F4105" s="1"/>
      <c r="J4105" s="2"/>
      <c r="K4105" s="7"/>
    </row>
    <row r="4106" spans="1:11" x14ac:dyDescent="0.35">
      <c r="A4106" s="13"/>
      <c r="E4106" s="8"/>
      <c r="F4106" s="1"/>
      <c r="J4106" s="2"/>
      <c r="K4106" s="7"/>
    </row>
    <row r="4107" spans="1:11" x14ac:dyDescent="0.35">
      <c r="A4107" s="13"/>
      <c r="E4107" s="8"/>
      <c r="F4107" s="1"/>
      <c r="J4107" s="2"/>
      <c r="K4107" s="7"/>
    </row>
    <row r="4108" spans="1:11" x14ac:dyDescent="0.35">
      <c r="A4108" s="13"/>
      <c r="E4108" s="8"/>
      <c r="F4108" s="1"/>
      <c r="J4108" s="2"/>
      <c r="K4108" s="7"/>
    </row>
    <row r="4109" spans="1:11" x14ac:dyDescent="0.35">
      <c r="A4109" s="13"/>
      <c r="E4109" s="8"/>
      <c r="F4109" s="1"/>
      <c r="J4109" s="2"/>
      <c r="K4109" s="7"/>
    </row>
    <row r="4110" spans="1:11" x14ac:dyDescent="0.35">
      <c r="A4110" s="13"/>
      <c r="E4110" s="8"/>
      <c r="F4110" s="1"/>
      <c r="J4110" s="2"/>
      <c r="K4110" s="7"/>
    </row>
    <row r="4111" spans="1:11" x14ac:dyDescent="0.35">
      <c r="A4111" s="13"/>
      <c r="E4111" s="8"/>
      <c r="F4111" s="1"/>
      <c r="J4111" s="2"/>
      <c r="K4111" s="7"/>
    </row>
    <row r="4112" spans="1:11" x14ac:dyDescent="0.35">
      <c r="A4112" s="13"/>
      <c r="E4112" s="8"/>
      <c r="F4112" s="1"/>
      <c r="J4112" s="2"/>
      <c r="K4112" s="7"/>
    </row>
    <row r="4113" spans="1:11" x14ac:dyDescent="0.35">
      <c r="A4113" s="13"/>
      <c r="E4113" s="8"/>
      <c r="F4113" s="1"/>
      <c r="J4113" s="2"/>
      <c r="K4113" s="7"/>
    </row>
    <row r="4114" spans="1:11" x14ac:dyDescent="0.35">
      <c r="A4114" s="13"/>
      <c r="E4114" s="8"/>
      <c r="F4114" s="1"/>
      <c r="J4114" s="2"/>
      <c r="K4114" s="7"/>
    </row>
    <row r="4115" spans="1:11" x14ac:dyDescent="0.35">
      <c r="A4115" s="13"/>
      <c r="E4115" s="8"/>
      <c r="F4115" s="1"/>
      <c r="J4115" s="2"/>
      <c r="K4115" s="7"/>
    </row>
    <row r="4116" spans="1:11" x14ac:dyDescent="0.35">
      <c r="A4116" s="13"/>
      <c r="E4116" s="8"/>
      <c r="F4116" s="1"/>
      <c r="J4116" s="2"/>
      <c r="K4116" s="7"/>
    </row>
    <row r="4117" spans="1:11" x14ac:dyDescent="0.35">
      <c r="A4117" s="13"/>
      <c r="E4117" s="8"/>
      <c r="F4117" s="1"/>
      <c r="J4117" s="2"/>
      <c r="K4117" s="7"/>
    </row>
    <row r="4118" spans="1:11" x14ac:dyDescent="0.35">
      <c r="A4118" s="13"/>
      <c r="E4118" s="8"/>
      <c r="F4118" s="1"/>
      <c r="J4118" s="2"/>
      <c r="K4118" s="7"/>
    </row>
    <row r="4119" spans="1:11" x14ac:dyDescent="0.35">
      <c r="A4119" s="13"/>
      <c r="E4119" s="8"/>
      <c r="F4119" s="1"/>
      <c r="J4119" s="2"/>
      <c r="K4119" s="7"/>
    </row>
    <row r="4120" spans="1:11" x14ac:dyDescent="0.35">
      <c r="A4120" s="13"/>
      <c r="E4120" s="8"/>
      <c r="F4120" s="1"/>
      <c r="J4120" s="2"/>
      <c r="K4120" s="7"/>
    </row>
    <row r="4121" spans="1:11" x14ac:dyDescent="0.35">
      <c r="A4121" s="13"/>
      <c r="E4121" s="8"/>
      <c r="F4121" s="1"/>
      <c r="J4121" s="2"/>
      <c r="K4121" s="7"/>
    </row>
    <row r="4122" spans="1:11" x14ac:dyDescent="0.35">
      <c r="A4122" s="13"/>
      <c r="E4122" s="8"/>
      <c r="F4122" s="1"/>
      <c r="J4122" s="2"/>
      <c r="K4122" s="7"/>
    </row>
    <row r="4123" spans="1:11" x14ac:dyDescent="0.35">
      <c r="A4123" s="13"/>
      <c r="E4123" s="8"/>
      <c r="F4123" s="1"/>
      <c r="J4123" s="2"/>
      <c r="K4123" s="7"/>
    </row>
    <row r="4124" spans="1:11" x14ac:dyDescent="0.35">
      <c r="A4124" s="13"/>
      <c r="E4124" s="8"/>
      <c r="F4124" s="1"/>
      <c r="J4124" s="2"/>
      <c r="K4124" s="7"/>
    </row>
    <row r="4125" spans="1:11" x14ac:dyDescent="0.35">
      <c r="A4125" s="13"/>
      <c r="E4125" s="8"/>
      <c r="F4125" s="1"/>
      <c r="J4125" s="2"/>
      <c r="K4125" s="7"/>
    </row>
    <row r="4126" spans="1:11" x14ac:dyDescent="0.35">
      <c r="A4126" s="13"/>
      <c r="E4126" s="8"/>
      <c r="F4126" s="1"/>
      <c r="J4126" s="2"/>
      <c r="K4126" s="7"/>
    </row>
    <row r="4127" spans="1:11" x14ac:dyDescent="0.35">
      <c r="A4127" s="13"/>
      <c r="E4127" s="8"/>
      <c r="F4127" s="1"/>
      <c r="J4127" s="2"/>
      <c r="K4127" s="7"/>
    </row>
    <row r="4128" spans="1:11" x14ac:dyDescent="0.35">
      <c r="A4128" s="13"/>
      <c r="E4128" s="8"/>
      <c r="F4128" s="1"/>
      <c r="J4128" s="2"/>
      <c r="K4128" s="7"/>
    </row>
    <row r="4129" spans="1:11" x14ac:dyDescent="0.35">
      <c r="A4129" s="13"/>
      <c r="E4129" s="8"/>
      <c r="F4129" s="1"/>
      <c r="J4129" s="2"/>
      <c r="K4129" s="7"/>
    </row>
    <row r="4130" spans="1:11" x14ac:dyDescent="0.35">
      <c r="A4130" s="13"/>
      <c r="E4130" s="8"/>
      <c r="F4130" s="1"/>
      <c r="J4130" s="2"/>
      <c r="K4130" s="7"/>
    </row>
    <row r="4131" spans="1:11" x14ac:dyDescent="0.35">
      <c r="A4131" s="13"/>
      <c r="E4131" s="8"/>
      <c r="F4131" s="1"/>
      <c r="J4131" s="2"/>
      <c r="K4131" s="7"/>
    </row>
    <row r="4132" spans="1:11" x14ac:dyDescent="0.35">
      <c r="A4132" s="13"/>
      <c r="E4132" s="8"/>
      <c r="F4132" s="1"/>
      <c r="J4132" s="2"/>
      <c r="K4132" s="7"/>
    </row>
    <row r="4133" spans="1:11" x14ac:dyDescent="0.35">
      <c r="A4133" s="13"/>
      <c r="E4133" s="8"/>
      <c r="F4133" s="1"/>
      <c r="J4133" s="2"/>
      <c r="K4133" s="7"/>
    </row>
    <row r="4134" spans="1:11" x14ac:dyDescent="0.35">
      <c r="A4134" s="13"/>
      <c r="E4134" s="8"/>
      <c r="F4134" s="1"/>
      <c r="J4134" s="2"/>
      <c r="K4134" s="7"/>
    </row>
    <row r="4135" spans="1:11" x14ac:dyDescent="0.35">
      <c r="A4135" s="13"/>
      <c r="E4135" s="8"/>
      <c r="F4135" s="1"/>
      <c r="J4135" s="2"/>
      <c r="K4135" s="7"/>
    </row>
    <row r="4136" spans="1:11" x14ac:dyDescent="0.35">
      <c r="A4136" s="13"/>
      <c r="E4136" s="8"/>
      <c r="F4136" s="1"/>
      <c r="J4136" s="2"/>
      <c r="K4136" s="7"/>
    </row>
    <row r="4137" spans="1:11" x14ac:dyDescent="0.35">
      <c r="A4137" s="13"/>
      <c r="E4137" s="8"/>
      <c r="F4137" s="1"/>
      <c r="J4137" s="2"/>
      <c r="K4137" s="7"/>
    </row>
    <row r="4138" spans="1:11" x14ac:dyDescent="0.35">
      <c r="A4138" s="13"/>
      <c r="E4138" s="8"/>
      <c r="F4138" s="1"/>
      <c r="J4138" s="2"/>
      <c r="K4138" s="7"/>
    </row>
    <row r="4139" spans="1:11" x14ac:dyDescent="0.35">
      <c r="A4139" s="13"/>
      <c r="E4139" s="8"/>
      <c r="F4139" s="1"/>
      <c r="J4139" s="2"/>
      <c r="K4139" s="7"/>
    </row>
    <row r="4140" spans="1:11" x14ac:dyDescent="0.35">
      <c r="A4140" s="13"/>
      <c r="E4140" s="8"/>
      <c r="F4140" s="1"/>
      <c r="J4140" s="2"/>
      <c r="K4140" s="7"/>
    </row>
    <row r="4141" spans="1:11" x14ac:dyDescent="0.35">
      <c r="A4141" s="13"/>
      <c r="E4141" s="8"/>
      <c r="F4141" s="1"/>
      <c r="J4141" s="2"/>
      <c r="K4141" s="7"/>
    </row>
    <row r="4142" spans="1:11" x14ac:dyDescent="0.35">
      <c r="A4142" s="13"/>
      <c r="E4142" s="8"/>
      <c r="F4142" s="1"/>
      <c r="J4142" s="2"/>
      <c r="K4142" s="7"/>
    </row>
    <row r="4143" spans="1:11" x14ac:dyDescent="0.35">
      <c r="A4143" s="13"/>
      <c r="E4143" s="8"/>
      <c r="F4143" s="1"/>
      <c r="J4143" s="2"/>
      <c r="K4143" s="7"/>
    </row>
    <row r="4144" spans="1:11" x14ac:dyDescent="0.35">
      <c r="A4144" s="13"/>
      <c r="E4144" s="8"/>
      <c r="F4144" s="1"/>
      <c r="J4144" s="2"/>
      <c r="K4144" s="7"/>
    </row>
    <row r="4145" spans="1:11" x14ac:dyDescent="0.35">
      <c r="A4145" s="13"/>
      <c r="E4145" s="8"/>
      <c r="F4145" s="1"/>
      <c r="J4145" s="2"/>
      <c r="K4145" s="7"/>
    </row>
    <row r="4146" spans="1:11" x14ac:dyDescent="0.35">
      <c r="A4146" s="13"/>
      <c r="E4146" s="8"/>
      <c r="F4146" s="1"/>
      <c r="J4146" s="2"/>
      <c r="K4146" s="7"/>
    </row>
    <row r="4147" spans="1:11" x14ac:dyDescent="0.35">
      <c r="A4147" s="13"/>
      <c r="E4147" s="8"/>
      <c r="F4147" s="1"/>
      <c r="J4147" s="2"/>
      <c r="K4147" s="7"/>
    </row>
    <row r="4148" spans="1:11" x14ac:dyDescent="0.35">
      <c r="A4148" s="13"/>
      <c r="E4148" s="8"/>
      <c r="F4148" s="1"/>
      <c r="J4148" s="2"/>
      <c r="K4148" s="7"/>
    </row>
    <row r="4149" spans="1:11" x14ac:dyDescent="0.35">
      <c r="A4149" s="13"/>
      <c r="E4149" s="8"/>
      <c r="F4149" s="1"/>
      <c r="J4149" s="2"/>
      <c r="K4149" s="7"/>
    </row>
    <row r="4150" spans="1:11" x14ac:dyDescent="0.35">
      <c r="A4150" s="13"/>
      <c r="E4150" s="8"/>
      <c r="F4150" s="1"/>
      <c r="J4150" s="2"/>
      <c r="K4150" s="7"/>
    </row>
    <row r="4151" spans="1:11" x14ac:dyDescent="0.35">
      <c r="A4151" s="13"/>
      <c r="E4151" s="8"/>
      <c r="F4151" s="1"/>
      <c r="J4151" s="2"/>
      <c r="K4151" s="7"/>
    </row>
    <row r="4152" spans="1:11" x14ac:dyDescent="0.35">
      <c r="A4152" s="13"/>
      <c r="E4152" s="8"/>
      <c r="F4152" s="1"/>
      <c r="J4152" s="2"/>
      <c r="K4152" s="7"/>
    </row>
    <row r="4153" spans="1:11" x14ac:dyDescent="0.35">
      <c r="A4153" s="13"/>
      <c r="E4153" s="8"/>
      <c r="F4153" s="1"/>
      <c r="J4153" s="2"/>
      <c r="K4153" s="7"/>
    </row>
    <row r="4154" spans="1:11" x14ac:dyDescent="0.35">
      <c r="A4154" s="13"/>
      <c r="E4154" s="8"/>
      <c r="F4154" s="1"/>
      <c r="J4154" s="2"/>
      <c r="K4154" s="7"/>
    </row>
    <row r="4155" spans="1:11" x14ac:dyDescent="0.35">
      <c r="A4155" s="13"/>
      <c r="E4155" s="8"/>
      <c r="F4155" s="1"/>
      <c r="J4155" s="2"/>
      <c r="K4155" s="7"/>
    </row>
    <row r="4156" spans="1:11" x14ac:dyDescent="0.35">
      <c r="A4156" s="13"/>
      <c r="E4156" s="8"/>
      <c r="F4156" s="1"/>
      <c r="J4156" s="2"/>
      <c r="K4156" s="7"/>
    </row>
    <row r="4157" spans="1:11" x14ac:dyDescent="0.35">
      <c r="A4157" s="13"/>
      <c r="E4157" s="8"/>
      <c r="F4157" s="1"/>
      <c r="J4157" s="2"/>
      <c r="K4157" s="7"/>
    </row>
    <row r="4158" spans="1:11" x14ac:dyDescent="0.35">
      <c r="A4158" s="13"/>
      <c r="E4158" s="8"/>
      <c r="F4158" s="1"/>
      <c r="J4158" s="2"/>
      <c r="K4158" s="7"/>
    </row>
    <row r="4159" spans="1:11" x14ac:dyDescent="0.35">
      <c r="A4159" s="13"/>
      <c r="E4159" s="8"/>
      <c r="F4159" s="1"/>
      <c r="J4159" s="2"/>
      <c r="K4159" s="7"/>
    </row>
    <row r="4160" spans="1:11" x14ac:dyDescent="0.35">
      <c r="A4160" s="13"/>
      <c r="E4160" s="8"/>
      <c r="F4160" s="1"/>
      <c r="J4160" s="2"/>
      <c r="K4160" s="7"/>
    </row>
    <row r="4161" spans="1:11" x14ac:dyDescent="0.35">
      <c r="A4161" s="13"/>
      <c r="E4161" s="8"/>
      <c r="F4161" s="1"/>
      <c r="J4161" s="2"/>
      <c r="K4161" s="7"/>
    </row>
    <row r="4162" spans="1:11" x14ac:dyDescent="0.35">
      <c r="A4162" s="13"/>
      <c r="E4162" s="8"/>
      <c r="F4162" s="1"/>
      <c r="J4162" s="2"/>
      <c r="K4162" s="7"/>
    </row>
    <row r="4163" spans="1:11" x14ac:dyDescent="0.35">
      <c r="A4163" s="13"/>
      <c r="E4163" s="8"/>
      <c r="F4163" s="1"/>
      <c r="J4163" s="2"/>
      <c r="K4163" s="7"/>
    </row>
    <row r="4164" spans="1:11" x14ac:dyDescent="0.35">
      <c r="A4164" s="13"/>
      <c r="E4164" s="8"/>
      <c r="F4164" s="1"/>
      <c r="J4164" s="2"/>
      <c r="K4164" s="7"/>
    </row>
    <row r="4165" spans="1:11" x14ac:dyDescent="0.35">
      <c r="A4165" s="13"/>
      <c r="E4165" s="8"/>
      <c r="F4165" s="1"/>
      <c r="J4165" s="2"/>
      <c r="K4165" s="7"/>
    </row>
    <row r="4166" spans="1:11" x14ac:dyDescent="0.35">
      <c r="A4166" s="13"/>
      <c r="E4166" s="8"/>
      <c r="F4166" s="1"/>
      <c r="J4166" s="2"/>
      <c r="K4166" s="7"/>
    </row>
    <row r="4167" spans="1:11" x14ac:dyDescent="0.35">
      <c r="A4167" s="13"/>
      <c r="E4167" s="8"/>
      <c r="F4167" s="1"/>
      <c r="J4167" s="2"/>
      <c r="K4167" s="7"/>
    </row>
    <row r="4168" spans="1:11" x14ac:dyDescent="0.35">
      <c r="A4168" s="13"/>
      <c r="E4168" s="8"/>
      <c r="F4168" s="1"/>
      <c r="J4168" s="2"/>
      <c r="K4168" s="7"/>
    </row>
    <row r="4169" spans="1:11" x14ac:dyDescent="0.35">
      <c r="A4169" s="13"/>
      <c r="E4169" s="8"/>
      <c r="F4169" s="1"/>
      <c r="J4169" s="2"/>
      <c r="K4169" s="7"/>
    </row>
    <row r="4170" spans="1:11" x14ac:dyDescent="0.35">
      <c r="A4170" s="13"/>
      <c r="E4170" s="8"/>
      <c r="F4170" s="1"/>
      <c r="J4170" s="2"/>
      <c r="K4170" s="7"/>
    </row>
    <row r="4171" spans="1:11" x14ac:dyDescent="0.35">
      <c r="A4171" s="13"/>
      <c r="E4171" s="8"/>
      <c r="F4171" s="1"/>
      <c r="J4171" s="2"/>
      <c r="K4171" s="7"/>
    </row>
    <row r="4172" spans="1:11" x14ac:dyDescent="0.35">
      <c r="A4172" s="13"/>
      <c r="E4172" s="8"/>
      <c r="F4172" s="1"/>
      <c r="J4172" s="2"/>
      <c r="K4172" s="7"/>
    </row>
    <row r="4173" spans="1:11" x14ac:dyDescent="0.35">
      <c r="A4173" s="13"/>
      <c r="E4173" s="8"/>
      <c r="F4173" s="1"/>
      <c r="J4173" s="2"/>
      <c r="K4173" s="7"/>
    </row>
    <row r="4174" spans="1:11" x14ac:dyDescent="0.35">
      <c r="A4174" s="13"/>
      <c r="E4174" s="8"/>
      <c r="F4174" s="1"/>
      <c r="J4174" s="2"/>
      <c r="K4174" s="7"/>
    </row>
    <row r="4175" spans="1:11" x14ac:dyDescent="0.35">
      <c r="A4175" s="13"/>
      <c r="E4175" s="8"/>
      <c r="F4175" s="1"/>
      <c r="J4175" s="2"/>
      <c r="K4175" s="7"/>
    </row>
    <row r="4176" spans="1:11" x14ac:dyDescent="0.35">
      <c r="A4176" s="13"/>
      <c r="E4176" s="8"/>
      <c r="F4176" s="1"/>
      <c r="J4176" s="2"/>
      <c r="K4176" s="7"/>
    </row>
    <row r="4177" spans="1:11" x14ac:dyDescent="0.35">
      <c r="A4177" s="13"/>
      <c r="E4177" s="8"/>
      <c r="F4177" s="1"/>
      <c r="J4177" s="2"/>
      <c r="K4177" s="7"/>
    </row>
    <row r="4178" spans="1:11" x14ac:dyDescent="0.35">
      <c r="A4178" s="13"/>
      <c r="E4178" s="8"/>
      <c r="F4178" s="1"/>
      <c r="J4178" s="2"/>
      <c r="K4178" s="7"/>
    </row>
    <row r="4179" spans="1:11" x14ac:dyDescent="0.35">
      <c r="A4179" s="13"/>
      <c r="E4179" s="8"/>
      <c r="F4179" s="1"/>
      <c r="J4179" s="2"/>
      <c r="K4179" s="7"/>
    </row>
    <row r="4180" spans="1:11" x14ac:dyDescent="0.35">
      <c r="A4180" s="13"/>
      <c r="E4180" s="8"/>
      <c r="F4180" s="1"/>
      <c r="J4180" s="2"/>
      <c r="K4180" s="7"/>
    </row>
    <row r="4181" spans="1:11" x14ac:dyDescent="0.35">
      <c r="A4181" s="13"/>
      <c r="E4181" s="8"/>
      <c r="F4181" s="1"/>
      <c r="J4181" s="2"/>
      <c r="K4181" s="7"/>
    </row>
    <row r="4182" spans="1:11" x14ac:dyDescent="0.35">
      <c r="A4182" s="13"/>
      <c r="E4182" s="8"/>
      <c r="F4182" s="1"/>
      <c r="J4182" s="2"/>
      <c r="K4182" s="7"/>
    </row>
    <row r="4183" spans="1:11" x14ac:dyDescent="0.35">
      <c r="A4183" s="13"/>
      <c r="E4183" s="8"/>
      <c r="F4183" s="1"/>
      <c r="J4183" s="2"/>
      <c r="K4183" s="7"/>
    </row>
    <row r="4184" spans="1:11" x14ac:dyDescent="0.35">
      <c r="A4184" s="13"/>
      <c r="E4184" s="8"/>
      <c r="F4184" s="1"/>
      <c r="J4184" s="2"/>
      <c r="K4184" s="7"/>
    </row>
    <row r="4185" spans="1:11" x14ac:dyDescent="0.35">
      <c r="A4185" s="13"/>
      <c r="E4185" s="8"/>
      <c r="F4185" s="1"/>
      <c r="J4185" s="2"/>
      <c r="K4185" s="7"/>
    </row>
    <row r="4186" spans="1:11" x14ac:dyDescent="0.35">
      <c r="A4186" s="13"/>
      <c r="E4186" s="8"/>
      <c r="F4186" s="1"/>
      <c r="J4186" s="2"/>
      <c r="K4186" s="7"/>
    </row>
    <row r="4187" spans="1:11" x14ac:dyDescent="0.35">
      <c r="A4187" s="13"/>
      <c r="E4187" s="8"/>
      <c r="F4187" s="1"/>
      <c r="J4187" s="2"/>
      <c r="K4187" s="7"/>
    </row>
    <row r="4188" spans="1:11" x14ac:dyDescent="0.35">
      <c r="A4188" s="13"/>
      <c r="E4188" s="8"/>
      <c r="F4188" s="1"/>
      <c r="J4188" s="2"/>
      <c r="K4188" s="7"/>
    </row>
    <row r="4189" spans="1:11" x14ac:dyDescent="0.35">
      <c r="A4189" s="13"/>
      <c r="E4189" s="8"/>
      <c r="F4189" s="1"/>
      <c r="J4189" s="2"/>
      <c r="K4189" s="7"/>
    </row>
    <row r="4190" spans="1:11" x14ac:dyDescent="0.35">
      <c r="A4190" s="13"/>
      <c r="E4190" s="8"/>
      <c r="F4190" s="1"/>
      <c r="J4190" s="2"/>
      <c r="K4190" s="7"/>
    </row>
    <row r="4191" spans="1:11" x14ac:dyDescent="0.35">
      <c r="A4191" s="13"/>
      <c r="E4191" s="8"/>
      <c r="F4191" s="1"/>
      <c r="J4191" s="2"/>
      <c r="K4191" s="7"/>
    </row>
    <row r="4192" spans="1:11" x14ac:dyDescent="0.35">
      <c r="A4192" s="13"/>
      <c r="E4192" s="8"/>
      <c r="F4192" s="1"/>
      <c r="J4192" s="2"/>
      <c r="K4192" s="7"/>
    </row>
    <row r="4193" spans="1:11" x14ac:dyDescent="0.35">
      <c r="A4193" s="13"/>
      <c r="E4193" s="8"/>
      <c r="F4193" s="1"/>
      <c r="J4193" s="2"/>
      <c r="K4193" s="7"/>
    </row>
    <row r="4194" spans="1:11" x14ac:dyDescent="0.35">
      <c r="A4194" s="13"/>
      <c r="E4194" s="8"/>
      <c r="F4194" s="1"/>
      <c r="J4194" s="2"/>
      <c r="K4194" s="7"/>
    </row>
    <row r="4195" spans="1:11" x14ac:dyDescent="0.35">
      <c r="A4195" s="13"/>
      <c r="E4195" s="8"/>
      <c r="F4195" s="1"/>
      <c r="J4195" s="2"/>
      <c r="K4195" s="7"/>
    </row>
    <row r="4196" spans="1:11" x14ac:dyDescent="0.35">
      <c r="A4196" s="13"/>
      <c r="E4196" s="8"/>
      <c r="F4196" s="1"/>
      <c r="J4196" s="2"/>
      <c r="K4196" s="7"/>
    </row>
    <row r="4197" spans="1:11" x14ac:dyDescent="0.35">
      <c r="A4197" s="13"/>
      <c r="E4197" s="8"/>
      <c r="F4197" s="1"/>
      <c r="J4197" s="2"/>
      <c r="K4197" s="7"/>
    </row>
    <row r="4198" spans="1:11" x14ac:dyDescent="0.35">
      <c r="A4198" s="13"/>
      <c r="E4198" s="8"/>
      <c r="F4198" s="1"/>
      <c r="J4198" s="2"/>
      <c r="K4198" s="7"/>
    </row>
    <row r="4199" spans="1:11" x14ac:dyDescent="0.35">
      <c r="A4199" s="13"/>
      <c r="E4199" s="8"/>
      <c r="F4199" s="1"/>
      <c r="J4199" s="2"/>
      <c r="K4199" s="7"/>
    </row>
    <row r="4200" spans="1:11" x14ac:dyDescent="0.35">
      <c r="A4200" s="13"/>
      <c r="E4200" s="8"/>
      <c r="F4200" s="1"/>
      <c r="J4200" s="2"/>
      <c r="K4200" s="7"/>
    </row>
    <row r="4201" spans="1:11" x14ac:dyDescent="0.35">
      <c r="A4201" s="13"/>
      <c r="E4201" s="8"/>
      <c r="F4201" s="1"/>
      <c r="J4201" s="2"/>
      <c r="K4201" s="7"/>
    </row>
    <row r="4202" spans="1:11" x14ac:dyDescent="0.35">
      <c r="A4202" s="13"/>
      <c r="E4202" s="8"/>
      <c r="F4202" s="1"/>
      <c r="J4202" s="2"/>
      <c r="K4202" s="7"/>
    </row>
    <row r="4203" spans="1:11" x14ac:dyDescent="0.35">
      <c r="A4203" s="13"/>
      <c r="E4203" s="8"/>
      <c r="F4203" s="1"/>
      <c r="J4203" s="2"/>
      <c r="K4203" s="7"/>
    </row>
    <row r="4204" spans="1:11" x14ac:dyDescent="0.35">
      <c r="A4204" s="13"/>
      <c r="E4204" s="8"/>
      <c r="F4204" s="1"/>
      <c r="J4204" s="2"/>
      <c r="K4204" s="7"/>
    </row>
    <row r="4205" spans="1:11" x14ac:dyDescent="0.35">
      <c r="A4205" s="13"/>
      <c r="E4205" s="8"/>
      <c r="F4205" s="1"/>
      <c r="J4205" s="2"/>
      <c r="K4205" s="7"/>
    </row>
    <row r="4206" spans="1:11" x14ac:dyDescent="0.35">
      <c r="A4206" s="13"/>
      <c r="E4206" s="8"/>
      <c r="F4206" s="1"/>
      <c r="J4206" s="2"/>
      <c r="K4206" s="7"/>
    </row>
    <row r="4207" spans="1:11" x14ac:dyDescent="0.35">
      <c r="A4207" s="13"/>
      <c r="E4207" s="8"/>
      <c r="F4207" s="1"/>
      <c r="J4207" s="2"/>
      <c r="K4207" s="7"/>
    </row>
    <row r="4208" spans="1:11" x14ac:dyDescent="0.35">
      <c r="A4208" s="13"/>
      <c r="E4208" s="8"/>
      <c r="F4208" s="1"/>
      <c r="J4208" s="2"/>
      <c r="K4208" s="7"/>
    </row>
    <row r="4209" spans="1:11" x14ac:dyDescent="0.35">
      <c r="A4209" s="13"/>
      <c r="E4209" s="8"/>
      <c r="F4209" s="1"/>
      <c r="J4209" s="2"/>
      <c r="K4209" s="7"/>
    </row>
    <row r="4210" spans="1:11" x14ac:dyDescent="0.35">
      <c r="A4210" s="13"/>
      <c r="E4210" s="8"/>
      <c r="F4210" s="1"/>
      <c r="J4210" s="2"/>
      <c r="K4210" s="7"/>
    </row>
    <row r="4211" spans="1:11" x14ac:dyDescent="0.35">
      <c r="A4211" s="13"/>
      <c r="E4211" s="8"/>
      <c r="F4211" s="1"/>
      <c r="J4211" s="2"/>
      <c r="K4211" s="7"/>
    </row>
    <row r="4212" spans="1:11" x14ac:dyDescent="0.35">
      <c r="A4212" s="13"/>
      <c r="E4212" s="8"/>
      <c r="F4212" s="1"/>
      <c r="J4212" s="2"/>
      <c r="K4212" s="7"/>
    </row>
    <row r="4213" spans="1:11" x14ac:dyDescent="0.35">
      <c r="A4213" s="13"/>
      <c r="E4213" s="8"/>
      <c r="F4213" s="1"/>
      <c r="J4213" s="2"/>
      <c r="K4213" s="7"/>
    </row>
    <row r="4214" spans="1:11" x14ac:dyDescent="0.35">
      <c r="A4214" s="13"/>
      <c r="E4214" s="8"/>
      <c r="F4214" s="1"/>
      <c r="J4214" s="2"/>
      <c r="K4214" s="7"/>
    </row>
    <row r="4215" spans="1:11" x14ac:dyDescent="0.35">
      <c r="A4215" s="13"/>
      <c r="E4215" s="8"/>
      <c r="F4215" s="1"/>
      <c r="J4215" s="2"/>
      <c r="K4215" s="7"/>
    </row>
    <row r="4216" spans="1:11" x14ac:dyDescent="0.35">
      <c r="A4216" s="13"/>
      <c r="E4216" s="8"/>
      <c r="F4216" s="1"/>
      <c r="J4216" s="2"/>
      <c r="K4216" s="7"/>
    </row>
    <row r="4217" spans="1:11" x14ac:dyDescent="0.35">
      <c r="A4217" s="13"/>
      <c r="E4217" s="8"/>
      <c r="F4217" s="1"/>
      <c r="J4217" s="2"/>
      <c r="K4217" s="7"/>
    </row>
    <row r="4218" spans="1:11" x14ac:dyDescent="0.35">
      <c r="A4218" s="13"/>
      <c r="E4218" s="8"/>
      <c r="F4218" s="1"/>
      <c r="J4218" s="2"/>
      <c r="K4218" s="7"/>
    </row>
    <row r="4219" spans="1:11" x14ac:dyDescent="0.35">
      <c r="A4219" s="13"/>
      <c r="E4219" s="8"/>
      <c r="F4219" s="1"/>
      <c r="J4219" s="2"/>
      <c r="K4219" s="7"/>
    </row>
    <row r="4220" spans="1:11" x14ac:dyDescent="0.35">
      <c r="A4220" s="13"/>
      <c r="E4220" s="8"/>
      <c r="F4220" s="1"/>
      <c r="J4220" s="2"/>
      <c r="K4220" s="7"/>
    </row>
    <row r="4221" spans="1:11" x14ac:dyDescent="0.35">
      <c r="A4221" s="13"/>
      <c r="E4221" s="8"/>
      <c r="F4221" s="1"/>
      <c r="J4221" s="2"/>
      <c r="K4221" s="7"/>
    </row>
    <row r="4222" spans="1:11" x14ac:dyDescent="0.35">
      <c r="A4222" s="13"/>
      <c r="E4222" s="8"/>
      <c r="F4222" s="1"/>
      <c r="J4222" s="2"/>
      <c r="K4222" s="7"/>
    </row>
    <row r="4223" spans="1:11" x14ac:dyDescent="0.35">
      <c r="A4223" s="13"/>
      <c r="E4223" s="8"/>
      <c r="F4223" s="1"/>
      <c r="J4223" s="2"/>
      <c r="K4223" s="7"/>
    </row>
    <row r="4224" spans="1:11" x14ac:dyDescent="0.35">
      <c r="A4224" s="13"/>
      <c r="E4224" s="8"/>
      <c r="F4224" s="1"/>
      <c r="J4224" s="2"/>
      <c r="K4224" s="7"/>
    </row>
    <row r="4225" spans="1:11" x14ac:dyDescent="0.35">
      <c r="A4225" s="13"/>
      <c r="E4225" s="8"/>
      <c r="F4225" s="1"/>
      <c r="J4225" s="2"/>
      <c r="K4225" s="7"/>
    </row>
    <row r="4226" spans="1:11" x14ac:dyDescent="0.35">
      <c r="A4226" s="13"/>
      <c r="E4226" s="8"/>
      <c r="F4226" s="1"/>
      <c r="J4226" s="2"/>
      <c r="K4226" s="7"/>
    </row>
    <row r="4227" spans="1:11" x14ac:dyDescent="0.35">
      <c r="A4227" s="13"/>
      <c r="E4227" s="8"/>
      <c r="F4227" s="1"/>
      <c r="J4227" s="2"/>
      <c r="K4227" s="7"/>
    </row>
    <row r="4228" spans="1:11" x14ac:dyDescent="0.35">
      <c r="A4228" s="13"/>
      <c r="E4228" s="8"/>
      <c r="F4228" s="1"/>
      <c r="J4228" s="2"/>
      <c r="K4228" s="7"/>
    </row>
    <row r="4229" spans="1:11" x14ac:dyDescent="0.35">
      <c r="A4229" s="13"/>
      <c r="E4229" s="8"/>
      <c r="F4229" s="1"/>
      <c r="J4229" s="2"/>
      <c r="K4229" s="7"/>
    </row>
    <row r="4230" spans="1:11" x14ac:dyDescent="0.35">
      <c r="A4230" s="13"/>
      <c r="E4230" s="8"/>
      <c r="F4230" s="1"/>
      <c r="J4230" s="2"/>
      <c r="K4230" s="7"/>
    </row>
    <row r="4231" spans="1:11" x14ac:dyDescent="0.35">
      <c r="A4231" s="13"/>
      <c r="E4231" s="8"/>
      <c r="F4231" s="1"/>
      <c r="J4231" s="2"/>
      <c r="K4231" s="7"/>
    </row>
    <row r="4232" spans="1:11" x14ac:dyDescent="0.35">
      <c r="A4232" s="13"/>
      <c r="E4232" s="8"/>
      <c r="F4232" s="1"/>
      <c r="J4232" s="2"/>
      <c r="K4232" s="7"/>
    </row>
    <row r="4233" spans="1:11" x14ac:dyDescent="0.35">
      <c r="A4233" s="13"/>
      <c r="E4233" s="8"/>
      <c r="F4233" s="1"/>
      <c r="J4233" s="2"/>
      <c r="K4233" s="7"/>
    </row>
    <row r="4234" spans="1:11" x14ac:dyDescent="0.35">
      <c r="A4234" s="13"/>
      <c r="E4234" s="8"/>
      <c r="F4234" s="1"/>
      <c r="J4234" s="2"/>
      <c r="K4234" s="7"/>
    </row>
    <row r="4235" spans="1:11" x14ac:dyDescent="0.35">
      <c r="A4235" s="13"/>
      <c r="E4235" s="8"/>
      <c r="F4235" s="1"/>
      <c r="J4235" s="2"/>
      <c r="K4235" s="7"/>
    </row>
    <row r="4236" spans="1:11" x14ac:dyDescent="0.35">
      <c r="A4236" s="13"/>
      <c r="E4236" s="8"/>
      <c r="F4236" s="1"/>
      <c r="J4236" s="2"/>
      <c r="K4236" s="7"/>
    </row>
    <row r="4237" spans="1:11" x14ac:dyDescent="0.35">
      <c r="A4237" s="13"/>
      <c r="E4237" s="8"/>
      <c r="F4237" s="1"/>
      <c r="J4237" s="2"/>
      <c r="K4237" s="7"/>
    </row>
    <row r="4238" spans="1:11" x14ac:dyDescent="0.35">
      <c r="A4238" s="13"/>
      <c r="E4238" s="8"/>
      <c r="F4238" s="1"/>
      <c r="J4238" s="2"/>
      <c r="K4238" s="7"/>
    </row>
    <row r="4239" spans="1:11" x14ac:dyDescent="0.35">
      <c r="A4239" s="13"/>
      <c r="E4239" s="8"/>
      <c r="F4239" s="1"/>
      <c r="J4239" s="2"/>
      <c r="K4239" s="7"/>
    </row>
    <row r="4240" spans="1:11" x14ac:dyDescent="0.35">
      <c r="A4240" s="13"/>
      <c r="E4240" s="8"/>
      <c r="F4240" s="1"/>
      <c r="J4240" s="2"/>
      <c r="K4240" s="7"/>
    </row>
    <row r="4241" spans="1:11" x14ac:dyDescent="0.35">
      <c r="A4241" s="13"/>
      <c r="E4241" s="8"/>
      <c r="F4241" s="1"/>
      <c r="J4241" s="2"/>
      <c r="K4241" s="7"/>
    </row>
    <row r="4242" spans="1:11" x14ac:dyDescent="0.35">
      <c r="A4242" s="13"/>
      <c r="E4242" s="8"/>
      <c r="F4242" s="1"/>
      <c r="J4242" s="2"/>
      <c r="K4242" s="7"/>
    </row>
    <row r="4243" spans="1:11" x14ac:dyDescent="0.35">
      <c r="A4243" s="13"/>
      <c r="E4243" s="8"/>
      <c r="F4243" s="1"/>
      <c r="J4243" s="2"/>
      <c r="K4243" s="7"/>
    </row>
    <row r="4244" spans="1:11" x14ac:dyDescent="0.35">
      <c r="A4244" s="13"/>
      <c r="E4244" s="8"/>
      <c r="F4244" s="1"/>
      <c r="J4244" s="2"/>
      <c r="K4244" s="7"/>
    </row>
    <row r="4245" spans="1:11" x14ac:dyDescent="0.35">
      <c r="A4245" s="13"/>
      <c r="E4245" s="8"/>
      <c r="F4245" s="1"/>
      <c r="J4245" s="2"/>
      <c r="K4245" s="7"/>
    </row>
    <row r="4246" spans="1:11" x14ac:dyDescent="0.35">
      <c r="A4246" s="13"/>
      <c r="E4246" s="8"/>
      <c r="F4246" s="1"/>
      <c r="J4246" s="2"/>
      <c r="K4246" s="7"/>
    </row>
    <row r="4247" spans="1:11" x14ac:dyDescent="0.35">
      <c r="A4247" s="13"/>
      <c r="E4247" s="8"/>
      <c r="F4247" s="1"/>
      <c r="J4247" s="2"/>
      <c r="K4247" s="7"/>
    </row>
    <row r="4248" spans="1:11" x14ac:dyDescent="0.35">
      <c r="A4248" s="13"/>
      <c r="E4248" s="8"/>
      <c r="F4248" s="1"/>
      <c r="J4248" s="2"/>
      <c r="K4248" s="7"/>
    </row>
    <row r="4249" spans="1:11" x14ac:dyDescent="0.35">
      <c r="A4249" s="13"/>
      <c r="E4249" s="8"/>
      <c r="F4249" s="1"/>
      <c r="J4249" s="2"/>
      <c r="K4249" s="7"/>
    </row>
    <row r="4250" spans="1:11" x14ac:dyDescent="0.35">
      <c r="A4250" s="13"/>
      <c r="E4250" s="8"/>
      <c r="F4250" s="1"/>
      <c r="J4250" s="2"/>
      <c r="K4250" s="7"/>
    </row>
    <row r="4251" spans="1:11" x14ac:dyDescent="0.35">
      <c r="A4251" s="13"/>
      <c r="E4251" s="8"/>
      <c r="F4251" s="1"/>
      <c r="J4251" s="2"/>
      <c r="K4251" s="7"/>
    </row>
    <row r="4252" spans="1:11" x14ac:dyDescent="0.35">
      <c r="A4252" s="13"/>
      <c r="E4252" s="8"/>
      <c r="F4252" s="1"/>
      <c r="J4252" s="2"/>
      <c r="K4252" s="7"/>
    </row>
    <row r="4253" spans="1:11" x14ac:dyDescent="0.35">
      <c r="A4253" s="13"/>
      <c r="E4253" s="8"/>
      <c r="F4253" s="1"/>
      <c r="J4253" s="2"/>
      <c r="K4253" s="7"/>
    </row>
    <row r="4254" spans="1:11" x14ac:dyDescent="0.35">
      <c r="A4254" s="13"/>
      <c r="E4254" s="8"/>
      <c r="F4254" s="1"/>
      <c r="J4254" s="2"/>
      <c r="K4254" s="7"/>
    </row>
    <row r="4255" spans="1:11" x14ac:dyDescent="0.35">
      <c r="A4255" s="13"/>
      <c r="E4255" s="8"/>
      <c r="F4255" s="1"/>
      <c r="J4255" s="2"/>
      <c r="K4255" s="7"/>
    </row>
    <row r="4256" spans="1:11" x14ac:dyDescent="0.35">
      <c r="A4256" s="13"/>
      <c r="E4256" s="8"/>
      <c r="F4256" s="1"/>
      <c r="J4256" s="2"/>
      <c r="K4256" s="7"/>
    </row>
    <row r="4257" spans="1:11" x14ac:dyDescent="0.35">
      <c r="A4257" s="13"/>
      <c r="E4257" s="8"/>
      <c r="F4257" s="1"/>
      <c r="J4257" s="2"/>
      <c r="K4257" s="7"/>
    </row>
    <row r="4258" spans="1:11" x14ac:dyDescent="0.35">
      <c r="A4258" s="13"/>
      <c r="E4258" s="8"/>
      <c r="F4258" s="1"/>
      <c r="J4258" s="2"/>
      <c r="K4258" s="7"/>
    </row>
    <row r="4259" spans="1:11" x14ac:dyDescent="0.35">
      <c r="A4259" s="13"/>
      <c r="E4259" s="8"/>
      <c r="F4259" s="1"/>
      <c r="J4259" s="2"/>
      <c r="K4259" s="7"/>
    </row>
    <row r="4260" spans="1:11" x14ac:dyDescent="0.35">
      <c r="A4260" s="13"/>
      <c r="E4260" s="8"/>
      <c r="F4260" s="1"/>
      <c r="J4260" s="2"/>
      <c r="K4260" s="7"/>
    </row>
    <row r="4261" spans="1:11" x14ac:dyDescent="0.35">
      <c r="A4261" s="13"/>
      <c r="E4261" s="8"/>
      <c r="F4261" s="1"/>
      <c r="J4261" s="2"/>
      <c r="K4261" s="7"/>
    </row>
    <row r="4262" spans="1:11" x14ac:dyDescent="0.35">
      <c r="A4262" s="13"/>
      <c r="E4262" s="8"/>
      <c r="F4262" s="1"/>
      <c r="J4262" s="2"/>
      <c r="K4262" s="7"/>
    </row>
    <row r="4263" spans="1:11" x14ac:dyDescent="0.35">
      <c r="A4263" s="13"/>
      <c r="E4263" s="8"/>
      <c r="F4263" s="1"/>
      <c r="J4263" s="2"/>
      <c r="K4263" s="7"/>
    </row>
    <row r="4264" spans="1:11" x14ac:dyDescent="0.35">
      <c r="A4264" s="13"/>
      <c r="E4264" s="8"/>
      <c r="F4264" s="1"/>
      <c r="J4264" s="2"/>
      <c r="K4264" s="7"/>
    </row>
    <row r="4265" spans="1:11" x14ac:dyDescent="0.35">
      <c r="A4265" s="13"/>
      <c r="E4265" s="8"/>
      <c r="F4265" s="1"/>
      <c r="J4265" s="2"/>
      <c r="K4265" s="7"/>
    </row>
    <row r="4266" spans="1:11" x14ac:dyDescent="0.35">
      <c r="A4266" s="13"/>
      <c r="E4266" s="8"/>
      <c r="F4266" s="1"/>
      <c r="J4266" s="2"/>
      <c r="K4266" s="7"/>
    </row>
    <row r="4267" spans="1:11" x14ac:dyDescent="0.35">
      <c r="A4267" s="13"/>
      <c r="E4267" s="8"/>
      <c r="F4267" s="1"/>
      <c r="J4267" s="2"/>
      <c r="K4267" s="7"/>
    </row>
    <row r="4268" spans="1:11" x14ac:dyDescent="0.35">
      <c r="A4268" s="13"/>
      <c r="E4268" s="8"/>
      <c r="F4268" s="1"/>
      <c r="J4268" s="2"/>
      <c r="K4268" s="7"/>
    </row>
    <row r="4269" spans="1:11" x14ac:dyDescent="0.35">
      <c r="A4269" s="13"/>
      <c r="E4269" s="8"/>
      <c r="F4269" s="1"/>
      <c r="J4269" s="2"/>
      <c r="K4269" s="7"/>
    </row>
    <row r="4270" spans="1:11" x14ac:dyDescent="0.35">
      <c r="A4270" s="13"/>
      <c r="E4270" s="8"/>
      <c r="F4270" s="1"/>
      <c r="J4270" s="2"/>
      <c r="K4270" s="7"/>
    </row>
    <row r="4271" spans="1:11" x14ac:dyDescent="0.35">
      <c r="A4271" s="13"/>
      <c r="E4271" s="8"/>
      <c r="F4271" s="1"/>
      <c r="J4271" s="2"/>
      <c r="K4271" s="7"/>
    </row>
    <row r="4272" spans="1:11" x14ac:dyDescent="0.35">
      <c r="A4272" s="13"/>
      <c r="E4272" s="8"/>
      <c r="F4272" s="1"/>
      <c r="J4272" s="2"/>
      <c r="K4272" s="7"/>
    </row>
    <row r="4273" spans="1:11" x14ac:dyDescent="0.35">
      <c r="A4273" s="13"/>
      <c r="E4273" s="8"/>
      <c r="F4273" s="1"/>
      <c r="J4273" s="2"/>
      <c r="K4273" s="7"/>
    </row>
    <row r="4274" spans="1:11" x14ac:dyDescent="0.35">
      <c r="A4274" s="13"/>
      <c r="E4274" s="8"/>
      <c r="F4274" s="1"/>
      <c r="J4274" s="2"/>
      <c r="K4274" s="7"/>
    </row>
    <row r="4275" spans="1:11" x14ac:dyDescent="0.35">
      <c r="A4275" s="13"/>
      <c r="E4275" s="8"/>
      <c r="F4275" s="1"/>
      <c r="J4275" s="2"/>
      <c r="K4275" s="7"/>
    </row>
    <row r="4276" spans="1:11" x14ac:dyDescent="0.35">
      <c r="A4276" s="13"/>
      <c r="E4276" s="8"/>
      <c r="F4276" s="1"/>
      <c r="J4276" s="2"/>
      <c r="K4276" s="7"/>
    </row>
    <row r="4277" spans="1:11" x14ac:dyDescent="0.35">
      <c r="A4277" s="13"/>
      <c r="E4277" s="8"/>
      <c r="F4277" s="1"/>
      <c r="J4277" s="2"/>
      <c r="K4277" s="7"/>
    </row>
    <row r="4278" spans="1:11" x14ac:dyDescent="0.35">
      <c r="A4278" s="13"/>
      <c r="E4278" s="8"/>
      <c r="F4278" s="1"/>
      <c r="J4278" s="2"/>
      <c r="K4278" s="7"/>
    </row>
    <row r="4279" spans="1:11" x14ac:dyDescent="0.35">
      <c r="A4279" s="13"/>
      <c r="E4279" s="8"/>
      <c r="F4279" s="1"/>
      <c r="J4279" s="2"/>
      <c r="K4279" s="7"/>
    </row>
    <row r="4280" spans="1:11" x14ac:dyDescent="0.35">
      <c r="A4280" s="13"/>
      <c r="E4280" s="8"/>
      <c r="F4280" s="1"/>
      <c r="J4280" s="2"/>
      <c r="K4280" s="7"/>
    </row>
    <row r="4281" spans="1:11" x14ac:dyDescent="0.35">
      <c r="A4281" s="13"/>
      <c r="E4281" s="8"/>
      <c r="F4281" s="1"/>
      <c r="J4281" s="2"/>
      <c r="K4281" s="7"/>
    </row>
    <row r="4282" spans="1:11" x14ac:dyDescent="0.35">
      <c r="A4282" s="13"/>
      <c r="E4282" s="8"/>
      <c r="F4282" s="1"/>
      <c r="J4282" s="2"/>
      <c r="K4282" s="7"/>
    </row>
    <row r="4283" spans="1:11" x14ac:dyDescent="0.35">
      <c r="A4283" s="13"/>
      <c r="E4283" s="8"/>
      <c r="F4283" s="1"/>
      <c r="J4283" s="2"/>
      <c r="K4283" s="7"/>
    </row>
    <row r="4284" spans="1:11" x14ac:dyDescent="0.35">
      <c r="A4284" s="13"/>
      <c r="E4284" s="8"/>
      <c r="F4284" s="1"/>
      <c r="J4284" s="2"/>
      <c r="K4284" s="7"/>
    </row>
    <row r="4285" spans="1:11" x14ac:dyDescent="0.35">
      <c r="A4285" s="13"/>
      <c r="E4285" s="8"/>
      <c r="F4285" s="1"/>
      <c r="J4285" s="2"/>
      <c r="K4285" s="7"/>
    </row>
    <row r="4286" spans="1:11" x14ac:dyDescent="0.35">
      <c r="A4286" s="13"/>
      <c r="E4286" s="8"/>
      <c r="F4286" s="1"/>
      <c r="J4286" s="2"/>
      <c r="K4286" s="7"/>
    </row>
    <row r="4287" spans="1:11" x14ac:dyDescent="0.35">
      <c r="A4287" s="13"/>
      <c r="E4287" s="8"/>
      <c r="F4287" s="1"/>
      <c r="J4287" s="2"/>
      <c r="K4287" s="7"/>
    </row>
    <row r="4288" spans="1:11" x14ac:dyDescent="0.35">
      <c r="A4288" s="13"/>
      <c r="E4288" s="8"/>
      <c r="F4288" s="1"/>
      <c r="J4288" s="2"/>
      <c r="K4288" s="7"/>
    </row>
    <row r="4289" spans="1:11" x14ac:dyDescent="0.35">
      <c r="A4289" s="13"/>
      <c r="E4289" s="8"/>
      <c r="F4289" s="1"/>
      <c r="J4289" s="2"/>
      <c r="K4289" s="7"/>
    </row>
    <row r="4290" spans="1:11" x14ac:dyDescent="0.35">
      <c r="A4290" s="13"/>
      <c r="E4290" s="8"/>
      <c r="F4290" s="1"/>
      <c r="J4290" s="2"/>
      <c r="K4290" s="7"/>
    </row>
    <row r="4291" spans="1:11" x14ac:dyDescent="0.35">
      <c r="A4291" s="13"/>
      <c r="E4291" s="8"/>
      <c r="F4291" s="1"/>
      <c r="J4291" s="2"/>
      <c r="K4291" s="7"/>
    </row>
    <row r="4292" spans="1:11" x14ac:dyDescent="0.35">
      <c r="A4292" s="13"/>
      <c r="E4292" s="8"/>
      <c r="F4292" s="1"/>
      <c r="J4292" s="2"/>
      <c r="K4292" s="7"/>
    </row>
    <row r="4293" spans="1:11" x14ac:dyDescent="0.35">
      <c r="A4293" s="13"/>
      <c r="E4293" s="8"/>
      <c r="F4293" s="1"/>
      <c r="J4293" s="2"/>
      <c r="K4293" s="7"/>
    </row>
    <row r="4294" spans="1:11" x14ac:dyDescent="0.35">
      <c r="A4294" s="13"/>
      <c r="E4294" s="8"/>
      <c r="F4294" s="1"/>
      <c r="J4294" s="2"/>
      <c r="K4294" s="7"/>
    </row>
    <row r="4295" spans="1:11" x14ac:dyDescent="0.35">
      <c r="A4295" s="13"/>
      <c r="E4295" s="8"/>
      <c r="F4295" s="1"/>
      <c r="J4295" s="2"/>
      <c r="K4295" s="7"/>
    </row>
    <row r="4296" spans="1:11" x14ac:dyDescent="0.35">
      <c r="A4296" s="13"/>
      <c r="E4296" s="8"/>
      <c r="F4296" s="1"/>
      <c r="J4296" s="2"/>
      <c r="K4296" s="7"/>
    </row>
    <row r="4297" spans="1:11" x14ac:dyDescent="0.35">
      <c r="A4297" s="13"/>
      <c r="E4297" s="8"/>
      <c r="F4297" s="1"/>
      <c r="J4297" s="2"/>
      <c r="K4297" s="7"/>
    </row>
    <row r="4298" spans="1:11" x14ac:dyDescent="0.35">
      <c r="A4298" s="13"/>
      <c r="E4298" s="8"/>
      <c r="F4298" s="1"/>
      <c r="J4298" s="2"/>
      <c r="K4298" s="7"/>
    </row>
    <row r="4299" spans="1:11" x14ac:dyDescent="0.35">
      <c r="A4299" s="13"/>
      <c r="E4299" s="8"/>
      <c r="F4299" s="1"/>
      <c r="J4299" s="2"/>
      <c r="K4299" s="7"/>
    </row>
    <row r="4300" spans="1:11" x14ac:dyDescent="0.35">
      <c r="A4300" s="13"/>
      <c r="E4300" s="8"/>
      <c r="F4300" s="1"/>
      <c r="J4300" s="2"/>
      <c r="K4300" s="7"/>
    </row>
    <row r="4301" spans="1:11" x14ac:dyDescent="0.35">
      <c r="A4301" s="13"/>
      <c r="E4301" s="8"/>
      <c r="F4301" s="1"/>
      <c r="J4301" s="2"/>
      <c r="K4301" s="7"/>
    </row>
    <row r="4302" spans="1:11" x14ac:dyDescent="0.35">
      <c r="A4302" s="13"/>
      <c r="E4302" s="8"/>
      <c r="F4302" s="1"/>
      <c r="J4302" s="2"/>
      <c r="K4302" s="7"/>
    </row>
    <row r="4303" spans="1:11" x14ac:dyDescent="0.35">
      <c r="A4303" s="13"/>
      <c r="E4303" s="8"/>
      <c r="F4303" s="1"/>
      <c r="J4303" s="2"/>
      <c r="K4303" s="7"/>
    </row>
    <row r="4304" spans="1:11" x14ac:dyDescent="0.35">
      <c r="A4304" s="13"/>
      <c r="E4304" s="8"/>
      <c r="F4304" s="1"/>
      <c r="J4304" s="2"/>
      <c r="K4304" s="7"/>
    </row>
    <row r="4305" spans="1:11" x14ac:dyDescent="0.35">
      <c r="A4305" s="13"/>
      <c r="E4305" s="8"/>
      <c r="F4305" s="1"/>
      <c r="J4305" s="2"/>
      <c r="K4305" s="7"/>
    </row>
    <row r="4306" spans="1:11" x14ac:dyDescent="0.35">
      <c r="A4306" s="13"/>
      <c r="E4306" s="8"/>
      <c r="F4306" s="1"/>
      <c r="J4306" s="2"/>
      <c r="K4306" s="7"/>
    </row>
    <row r="4307" spans="1:11" x14ac:dyDescent="0.35">
      <c r="A4307" s="13"/>
      <c r="E4307" s="8"/>
      <c r="F4307" s="1"/>
      <c r="J4307" s="2"/>
      <c r="K4307" s="7"/>
    </row>
    <row r="4308" spans="1:11" x14ac:dyDescent="0.35">
      <c r="A4308" s="13"/>
      <c r="E4308" s="8"/>
      <c r="F4308" s="1"/>
      <c r="J4308" s="2"/>
      <c r="K4308" s="7"/>
    </row>
    <row r="4309" spans="1:11" x14ac:dyDescent="0.35">
      <c r="A4309" s="13"/>
      <c r="E4309" s="8"/>
      <c r="F4309" s="1"/>
      <c r="J4309" s="2"/>
      <c r="K4309" s="7"/>
    </row>
    <row r="4310" spans="1:11" x14ac:dyDescent="0.35">
      <c r="A4310" s="13"/>
      <c r="E4310" s="8"/>
      <c r="F4310" s="1"/>
      <c r="J4310" s="2"/>
      <c r="K4310" s="7"/>
    </row>
    <row r="4311" spans="1:11" x14ac:dyDescent="0.35">
      <c r="A4311" s="13"/>
      <c r="E4311" s="8"/>
      <c r="F4311" s="1"/>
      <c r="J4311" s="2"/>
      <c r="K4311" s="7"/>
    </row>
    <row r="4312" spans="1:11" x14ac:dyDescent="0.35">
      <c r="A4312" s="13"/>
      <c r="E4312" s="8"/>
      <c r="F4312" s="1"/>
      <c r="J4312" s="2"/>
      <c r="K4312" s="7"/>
    </row>
    <row r="4313" spans="1:11" x14ac:dyDescent="0.35">
      <c r="A4313" s="13"/>
      <c r="E4313" s="8"/>
      <c r="F4313" s="1"/>
      <c r="J4313" s="2"/>
      <c r="K4313" s="7"/>
    </row>
    <row r="4314" spans="1:11" x14ac:dyDescent="0.35">
      <c r="A4314" s="13"/>
      <c r="E4314" s="8"/>
      <c r="F4314" s="1"/>
      <c r="J4314" s="2"/>
      <c r="K4314" s="7"/>
    </row>
    <row r="4315" spans="1:11" x14ac:dyDescent="0.35">
      <c r="A4315" s="13"/>
      <c r="E4315" s="8"/>
      <c r="F4315" s="1"/>
      <c r="J4315" s="2"/>
      <c r="K4315" s="7"/>
    </row>
    <row r="4316" spans="1:11" x14ac:dyDescent="0.35">
      <c r="A4316" s="13"/>
      <c r="E4316" s="8"/>
      <c r="F4316" s="1"/>
      <c r="J4316" s="2"/>
      <c r="K4316" s="7"/>
    </row>
    <row r="4317" spans="1:11" x14ac:dyDescent="0.35">
      <c r="A4317" s="13"/>
      <c r="E4317" s="8"/>
      <c r="F4317" s="1"/>
      <c r="J4317" s="2"/>
      <c r="K4317" s="7"/>
    </row>
    <row r="4318" spans="1:11" x14ac:dyDescent="0.35">
      <c r="A4318" s="13"/>
      <c r="E4318" s="8"/>
      <c r="F4318" s="1"/>
      <c r="J4318" s="2"/>
      <c r="K4318" s="7"/>
    </row>
    <row r="4319" spans="1:11" x14ac:dyDescent="0.35">
      <c r="A4319" s="13"/>
      <c r="E4319" s="8"/>
      <c r="F4319" s="1"/>
      <c r="J4319" s="2"/>
      <c r="K4319" s="7"/>
    </row>
    <row r="4320" spans="1:11" x14ac:dyDescent="0.35">
      <c r="A4320" s="13"/>
      <c r="E4320" s="8"/>
      <c r="F4320" s="1"/>
      <c r="J4320" s="2"/>
      <c r="K4320" s="7"/>
    </row>
    <row r="4321" spans="1:11" x14ac:dyDescent="0.35">
      <c r="A4321" s="13"/>
      <c r="E4321" s="8"/>
      <c r="F4321" s="1"/>
      <c r="J4321" s="2"/>
      <c r="K4321" s="7"/>
    </row>
    <row r="4322" spans="1:11" x14ac:dyDescent="0.35">
      <c r="A4322" s="13"/>
      <c r="E4322" s="8"/>
      <c r="F4322" s="1"/>
      <c r="J4322" s="2"/>
      <c r="K4322" s="7"/>
    </row>
    <row r="4323" spans="1:11" x14ac:dyDescent="0.35">
      <c r="A4323" s="13"/>
      <c r="E4323" s="8"/>
      <c r="F4323" s="1"/>
      <c r="J4323" s="2"/>
      <c r="K4323" s="7"/>
    </row>
    <row r="4324" spans="1:11" x14ac:dyDescent="0.35">
      <c r="A4324" s="13"/>
      <c r="E4324" s="8"/>
      <c r="F4324" s="1"/>
      <c r="J4324" s="2"/>
      <c r="K4324" s="7"/>
    </row>
    <row r="4325" spans="1:11" x14ac:dyDescent="0.35">
      <c r="A4325" s="13"/>
      <c r="E4325" s="8"/>
      <c r="F4325" s="1"/>
      <c r="J4325" s="2"/>
      <c r="K4325" s="7"/>
    </row>
    <row r="4326" spans="1:11" x14ac:dyDescent="0.35">
      <c r="A4326" s="13"/>
      <c r="E4326" s="8"/>
      <c r="F4326" s="1"/>
      <c r="J4326" s="2"/>
      <c r="K4326" s="7"/>
    </row>
    <row r="4327" spans="1:11" x14ac:dyDescent="0.35">
      <c r="A4327" s="13"/>
      <c r="E4327" s="8"/>
      <c r="F4327" s="1"/>
      <c r="J4327" s="2"/>
      <c r="K4327" s="7"/>
    </row>
    <row r="4328" spans="1:11" x14ac:dyDescent="0.35">
      <c r="A4328" s="13"/>
      <c r="E4328" s="8"/>
      <c r="F4328" s="1"/>
      <c r="J4328" s="2"/>
      <c r="K4328" s="7"/>
    </row>
    <row r="4329" spans="1:11" x14ac:dyDescent="0.35">
      <c r="A4329" s="13"/>
      <c r="E4329" s="8"/>
      <c r="F4329" s="1"/>
      <c r="J4329" s="2"/>
      <c r="K4329" s="7"/>
    </row>
    <row r="4330" spans="1:11" x14ac:dyDescent="0.35">
      <c r="A4330" s="13"/>
      <c r="E4330" s="8"/>
      <c r="F4330" s="1"/>
      <c r="J4330" s="2"/>
      <c r="K4330" s="7"/>
    </row>
    <row r="4331" spans="1:11" x14ac:dyDescent="0.35">
      <c r="A4331" s="13"/>
      <c r="E4331" s="8"/>
      <c r="F4331" s="1"/>
      <c r="J4331" s="2"/>
      <c r="K4331" s="7"/>
    </row>
    <row r="4332" spans="1:11" x14ac:dyDescent="0.35">
      <c r="A4332" s="13"/>
      <c r="E4332" s="8"/>
      <c r="F4332" s="1"/>
      <c r="J4332" s="2"/>
      <c r="K4332" s="7"/>
    </row>
    <row r="4333" spans="1:11" x14ac:dyDescent="0.35">
      <c r="A4333" s="13"/>
      <c r="E4333" s="8"/>
      <c r="F4333" s="1"/>
      <c r="J4333" s="2"/>
      <c r="K4333" s="7"/>
    </row>
    <row r="4334" spans="1:11" x14ac:dyDescent="0.35">
      <c r="A4334" s="13"/>
      <c r="E4334" s="8"/>
      <c r="F4334" s="1"/>
      <c r="J4334" s="2"/>
      <c r="K4334" s="7"/>
    </row>
    <row r="4335" spans="1:11" x14ac:dyDescent="0.35">
      <c r="A4335" s="13"/>
      <c r="E4335" s="8"/>
      <c r="F4335" s="1"/>
      <c r="J4335" s="2"/>
      <c r="K4335" s="7"/>
    </row>
    <row r="4336" spans="1:11" x14ac:dyDescent="0.35">
      <c r="A4336" s="13"/>
      <c r="E4336" s="8"/>
      <c r="F4336" s="1"/>
      <c r="J4336" s="2"/>
      <c r="K4336" s="7"/>
    </row>
    <row r="4337" spans="1:11" x14ac:dyDescent="0.35">
      <c r="A4337" s="13"/>
      <c r="E4337" s="8"/>
      <c r="F4337" s="1"/>
      <c r="J4337" s="2"/>
      <c r="K4337" s="7"/>
    </row>
    <row r="4338" spans="1:11" x14ac:dyDescent="0.35">
      <c r="A4338" s="13"/>
      <c r="E4338" s="8"/>
      <c r="F4338" s="1"/>
      <c r="J4338" s="2"/>
      <c r="K4338" s="7"/>
    </row>
    <row r="4339" spans="1:11" x14ac:dyDescent="0.35">
      <c r="A4339" s="13"/>
      <c r="E4339" s="8"/>
      <c r="F4339" s="1"/>
      <c r="J4339" s="2"/>
      <c r="K4339" s="7"/>
    </row>
    <row r="4340" spans="1:11" x14ac:dyDescent="0.35">
      <c r="A4340" s="13"/>
      <c r="E4340" s="8"/>
      <c r="F4340" s="1"/>
      <c r="J4340" s="2"/>
      <c r="K4340" s="7"/>
    </row>
    <row r="4341" spans="1:11" x14ac:dyDescent="0.35">
      <c r="A4341" s="13"/>
      <c r="E4341" s="8"/>
      <c r="F4341" s="1"/>
      <c r="J4341" s="2"/>
      <c r="K4341" s="7"/>
    </row>
    <row r="4342" spans="1:11" x14ac:dyDescent="0.35">
      <c r="A4342" s="13"/>
      <c r="E4342" s="8"/>
      <c r="F4342" s="1"/>
      <c r="J4342" s="2"/>
      <c r="K4342" s="7"/>
    </row>
    <row r="4343" spans="1:11" x14ac:dyDescent="0.35">
      <c r="A4343" s="13"/>
      <c r="E4343" s="8"/>
      <c r="F4343" s="1"/>
      <c r="J4343" s="2"/>
      <c r="K4343" s="7"/>
    </row>
    <row r="4344" spans="1:11" x14ac:dyDescent="0.35">
      <c r="A4344" s="13"/>
      <c r="E4344" s="8"/>
      <c r="F4344" s="1"/>
      <c r="J4344" s="2"/>
      <c r="K4344" s="7"/>
    </row>
    <row r="4345" spans="1:11" x14ac:dyDescent="0.35">
      <c r="A4345" s="13"/>
      <c r="E4345" s="8"/>
      <c r="F4345" s="1"/>
      <c r="J4345" s="2"/>
      <c r="K4345" s="7"/>
    </row>
    <row r="4346" spans="1:11" x14ac:dyDescent="0.35">
      <c r="A4346" s="13"/>
      <c r="E4346" s="8"/>
      <c r="F4346" s="1"/>
      <c r="J4346" s="2"/>
      <c r="K4346" s="7"/>
    </row>
    <row r="4347" spans="1:11" x14ac:dyDescent="0.35">
      <c r="A4347" s="13"/>
      <c r="E4347" s="8"/>
      <c r="F4347" s="1"/>
      <c r="J4347" s="2"/>
      <c r="K4347" s="7"/>
    </row>
    <row r="4348" spans="1:11" x14ac:dyDescent="0.35">
      <c r="A4348" s="13"/>
      <c r="E4348" s="8"/>
      <c r="F4348" s="1"/>
      <c r="J4348" s="2"/>
      <c r="K4348" s="7"/>
    </row>
    <row r="4349" spans="1:11" x14ac:dyDescent="0.35">
      <c r="A4349" s="13"/>
      <c r="E4349" s="8"/>
      <c r="F4349" s="1"/>
      <c r="J4349" s="2"/>
      <c r="K4349" s="7"/>
    </row>
    <row r="4350" spans="1:11" x14ac:dyDescent="0.35">
      <c r="A4350" s="13"/>
      <c r="E4350" s="8"/>
      <c r="F4350" s="1"/>
      <c r="J4350" s="2"/>
      <c r="K4350" s="7"/>
    </row>
    <row r="4351" spans="1:11" x14ac:dyDescent="0.35">
      <c r="A4351" s="13"/>
      <c r="E4351" s="8"/>
      <c r="F4351" s="1"/>
      <c r="J4351" s="2"/>
      <c r="K4351" s="7"/>
    </row>
    <row r="4352" spans="1:11" x14ac:dyDescent="0.35">
      <c r="A4352" s="13"/>
      <c r="E4352" s="8"/>
      <c r="F4352" s="1"/>
      <c r="J4352" s="2"/>
      <c r="K4352" s="7"/>
    </row>
    <row r="4353" spans="1:11" x14ac:dyDescent="0.35">
      <c r="A4353" s="13"/>
      <c r="E4353" s="8"/>
      <c r="F4353" s="1"/>
      <c r="J4353" s="2"/>
      <c r="K4353" s="7"/>
    </row>
    <row r="4354" spans="1:11" x14ac:dyDescent="0.35">
      <c r="A4354" s="13"/>
      <c r="E4354" s="8"/>
      <c r="F4354" s="1"/>
      <c r="J4354" s="2"/>
      <c r="K4354" s="7"/>
    </row>
    <row r="4355" spans="1:11" x14ac:dyDescent="0.35">
      <c r="A4355" s="13"/>
      <c r="E4355" s="8"/>
      <c r="F4355" s="1"/>
      <c r="J4355" s="2"/>
      <c r="K4355" s="7"/>
    </row>
    <row r="4356" spans="1:11" x14ac:dyDescent="0.35">
      <c r="A4356" s="13"/>
      <c r="E4356" s="8"/>
      <c r="F4356" s="1"/>
      <c r="J4356" s="2"/>
      <c r="K4356" s="7"/>
    </row>
    <row r="4357" spans="1:11" x14ac:dyDescent="0.35">
      <c r="A4357" s="13"/>
      <c r="E4357" s="8"/>
      <c r="F4357" s="1"/>
      <c r="J4357" s="2"/>
      <c r="K4357" s="7"/>
    </row>
    <row r="4358" spans="1:11" x14ac:dyDescent="0.35">
      <c r="A4358" s="13"/>
      <c r="E4358" s="8"/>
      <c r="F4358" s="1"/>
      <c r="J4358" s="2"/>
      <c r="K4358" s="7"/>
    </row>
    <row r="4359" spans="1:11" x14ac:dyDescent="0.35">
      <c r="A4359" s="13"/>
      <c r="E4359" s="8"/>
      <c r="F4359" s="1"/>
      <c r="J4359" s="2"/>
      <c r="K4359" s="7"/>
    </row>
    <row r="4360" spans="1:11" x14ac:dyDescent="0.35">
      <c r="A4360" s="13"/>
      <c r="E4360" s="8"/>
      <c r="F4360" s="1"/>
      <c r="J4360" s="2"/>
      <c r="K4360" s="7"/>
    </row>
    <row r="4361" spans="1:11" x14ac:dyDescent="0.35">
      <c r="A4361" s="13"/>
      <c r="E4361" s="8"/>
      <c r="F4361" s="1"/>
      <c r="J4361" s="2"/>
      <c r="K4361" s="7"/>
    </row>
    <row r="4362" spans="1:11" x14ac:dyDescent="0.35">
      <c r="A4362" s="13"/>
      <c r="E4362" s="8"/>
      <c r="F4362" s="1"/>
      <c r="J4362" s="2"/>
      <c r="K4362" s="7"/>
    </row>
    <row r="4363" spans="1:11" x14ac:dyDescent="0.35">
      <c r="A4363" s="13"/>
      <c r="E4363" s="8"/>
      <c r="F4363" s="1"/>
      <c r="J4363" s="2"/>
      <c r="K4363" s="7"/>
    </row>
    <row r="4364" spans="1:11" x14ac:dyDescent="0.35">
      <c r="A4364" s="13"/>
      <c r="E4364" s="8"/>
      <c r="F4364" s="1"/>
      <c r="J4364" s="2"/>
      <c r="K4364" s="7"/>
    </row>
    <row r="4365" spans="1:11" x14ac:dyDescent="0.35">
      <c r="A4365" s="13"/>
      <c r="E4365" s="8"/>
      <c r="F4365" s="1"/>
      <c r="J4365" s="2"/>
      <c r="K4365" s="7"/>
    </row>
    <row r="4366" spans="1:11" x14ac:dyDescent="0.35">
      <c r="A4366" s="13"/>
      <c r="E4366" s="8"/>
      <c r="F4366" s="1"/>
      <c r="J4366" s="2"/>
      <c r="K4366" s="7"/>
    </row>
    <row r="4367" spans="1:11" x14ac:dyDescent="0.35">
      <c r="A4367" s="13"/>
      <c r="E4367" s="8"/>
      <c r="F4367" s="1"/>
      <c r="J4367" s="2"/>
      <c r="K4367" s="7"/>
    </row>
    <row r="4368" spans="1:11" x14ac:dyDescent="0.35">
      <c r="A4368" s="13"/>
      <c r="E4368" s="8"/>
      <c r="F4368" s="1"/>
      <c r="J4368" s="2"/>
      <c r="K4368" s="7"/>
    </row>
    <row r="4369" spans="1:11" x14ac:dyDescent="0.35">
      <c r="A4369" s="13"/>
      <c r="E4369" s="8"/>
      <c r="F4369" s="1"/>
      <c r="J4369" s="2"/>
      <c r="K4369" s="7"/>
    </row>
    <row r="4370" spans="1:11" x14ac:dyDescent="0.35">
      <c r="A4370" s="13"/>
      <c r="E4370" s="8"/>
      <c r="F4370" s="1"/>
      <c r="J4370" s="2"/>
      <c r="K4370" s="7"/>
    </row>
    <row r="4371" spans="1:11" x14ac:dyDescent="0.35">
      <c r="A4371" s="13"/>
      <c r="E4371" s="8"/>
      <c r="F4371" s="1"/>
      <c r="J4371" s="2"/>
      <c r="K4371" s="7"/>
    </row>
    <row r="4372" spans="1:11" x14ac:dyDescent="0.35">
      <c r="A4372" s="13"/>
      <c r="E4372" s="8"/>
      <c r="F4372" s="1"/>
      <c r="J4372" s="2"/>
      <c r="K4372" s="7"/>
    </row>
    <row r="4373" spans="1:11" x14ac:dyDescent="0.35">
      <c r="A4373" s="13"/>
      <c r="E4373" s="8"/>
      <c r="F4373" s="1"/>
      <c r="J4373" s="2"/>
      <c r="K4373" s="7"/>
    </row>
    <row r="4374" spans="1:11" x14ac:dyDescent="0.35">
      <c r="A4374" s="13"/>
      <c r="E4374" s="8"/>
      <c r="F4374" s="1"/>
      <c r="J4374" s="2"/>
      <c r="K4374" s="7"/>
    </row>
    <row r="4375" spans="1:11" x14ac:dyDescent="0.35">
      <c r="A4375" s="13"/>
      <c r="E4375" s="8"/>
      <c r="F4375" s="1"/>
      <c r="J4375" s="2"/>
      <c r="K4375" s="7"/>
    </row>
    <row r="4376" spans="1:11" x14ac:dyDescent="0.35">
      <c r="A4376" s="13"/>
      <c r="E4376" s="8"/>
      <c r="F4376" s="1"/>
      <c r="J4376" s="2"/>
      <c r="K4376" s="7"/>
    </row>
    <row r="4377" spans="1:11" x14ac:dyDescent="0.35">
      <c r="A4377" s="13"/>
      <c r="E4377" s="8"/>
      <c r="F4377" s="1"/>
      <c r="J4377" s="2"/>
      <c r="K4377" s="7"/>
    </row>
    <row r="4378" spans="1:11" x14ac:dyDescent="0.35">
      <c r="A4378" s="13"/>
      <c r="E4378" s="8"/>
      <c r="F4378" s="1"/>
      <c r="J4378" s="2"/>
      <c r="K4378" s="7"/>
    </row>
    <row r="4379" spans="1:11" x14ac:dyDescent="0.35">
      <c r="A4379" s="13"/>
      <c r="E4379" s="8"/>
      <c r="F4379" s="1"/>
      <c r="J4379" s="2"/>
      <c r="K4379" s="7"/>
    </row>
    <row r="4380" spans="1:11" x14ac:dyDescent="0.35">
      <c r="A4380" s="13"/>
      <c r="E4380" s="8"/>
      <c r="F4380" s="1"/>
      <c r="J4380" s="2"/>
      <c r="K4380" s="7"/>
    </row>
    <row r="4381" spans="1:11" x14ac:dyDescent="0.35">
      <c r="A4381" s="13"/>
      <c r="E4381" s="8"/>
      <c r="F4381" s="1"/>
      <c r="J4381" s="2"/>
      <c r="K4381" s="7"/>
    </row>
    <row r="4382" spans="1:11" x14ac:dyDescent="0.35">
      <c r="A4382" s="13"/>
      <c r="E4382" s="8"/>
      <c r="F4382" s="1"/>
      <c r="J4382" s="2"/>
      <c r="K4382" s="7"/>
    </row>
    <row r="4383" spans="1:11" x14ac:dyDescent="0.35">
      <c r="A4383" s="13"/>
      <c r="E4383" s="8"/>
      <c r="F4383" s="1"/>
      <c r="J4383" s="2"/>
      <c r="K4383" s="7"/>
    </row>
    <row r="4384" spans="1:11" x14ac:dyDescent="0.35">
      <c r="A4384" s="13"/>
      <c r="E4384" s="8"/>
      <c r="F4384" s="1"/>
      <c r="J4384" s="2"/>
      <c r="K4384" s="7"/>
    </row>
    <row r="4385" spans="1:11" x14ac:dyDescent="0.35">
      <c r="A4385" s="13"/>
      <c r="E4385" s="8"/>
      <c r="F4385" s="1"/>
      <c r="J4385" s="2"/>
      <c r="K4385" s="7"/>
    </row>
    <row r="4386" spans="1:11" x14ac:dyDescent="0.35">
      <c r="A4386" s="13"/>
      <c r="E4386" s="8"/>
      <c r="F4386" s="1"/>
      <c r="J4386" s="2"/>
      <c r="K4386" s="7"/>
    </row>
    <row r="4387" spans="1:11" x14ac:dyDescent="0.35">
      <c r="A4387" s="13"/>
      <c r="E4387" s="8"/>
      <c r="F4387" s="1"/>
      <c r="J4387" s="2"/>
      <c r="K4387" s="7"/>
    </row>
    <row r="4388" spans="1:11" x14ac:dyDescent="0.35">
      <c r="A4388" s="13"/>
      <c r="E4388" s="8"/>
      <c r="F4388" s="1"/>
      <c r="J4388" s="2"/>
      <c r="K4388" s="7"/>
    </row>
    <row r="4389" spans="1:11" x14ac:dyDescent="0.35">
      <c r="A4389" s="13"/>
      <c r="E4389" s="8"/>
      <c r="F4389" s="1"/>
      <c r="J4389" s="2"/>
      <c r="K4389" s="7"/>
    </row>
    <row r="4390" spans="1:11" x14ac:dyDescent="0.35">
      <c r="A4390" s="13"/>
      <c r="E4390" s="8"/>
      <c r="F4390" s="1"/>
      <c r="J4390" s="2"/>
      <c r="K4390" s="7"/>
    </row>
    <row r="4391" spans="1:11" x14ac:dyDescent="0.35">
      <c r="A4391" s="13"/>
      <c r="E4391" s="8"/>
      <c r="F4391" s="1"/>
      <c r="J4391" s="2"/>
      <c r="K4391" s="7"/>
    </row>
    <row r="4392" spans="1:11" x14ac:dyDescent="0.35">
      <c r="A4392" s="13"/>
      <c r="E4392" s="8"/>
      <c r="F4392" s="1"/>
      <c r="J4392" s="2"/>
      <c r="K4392" s="7"/>
    </row>
    <row r="4393" spans="1:11" x14ac:dyDescent="0.35">
      <c r="A4393" s="13"/>
      <c r="E4393" s="8"/>
      <c r="F4393" s="1"/>
      <c r="J4393" s="2"/>
      <c r="K4393" s="7"/>
    </row>
    <row r="4394" spans="1:11" x14ac:dyDescent="0.35">
      <c r="A4394" s="13"/>
      <c r="E4394" s="8"/>
      <c r="F4394" s="1"/>
      <c r="J4394" s="2"/>
      <c r="K4394" s="7"/>
    </row>
    <row r="4395" spans="1:11" x14ac:dyDescent="0.35">
      <c r="A4395" s="13"/>
      <c r="E4395" s="8"/>
      <c r="F4395" s="1"/>
      <c r="J4395" s="2"/>
      <c r="K4395" s="7"/>
    </row>
    <row r="4396" spans="1:11" x14ac:dyDescent="0.35">
      <c r="A4396" s="13"/>
      <c r="E4396" s="8"/>
      <c r="F4396" s="1"/>
      <c r="J4396" s="2"/>
      <c r="K4396" s="7"/>
    </row>
    <row r="4397" spans="1:11" x14ac:dyDescent="0.35">
      <c r="A4397" s="13"/>
      <c r="E4397" s="8"/>
      <c r="F4397" s="1"/>
      <c r="J4397" s="2"/>
      <c r="K4397" s="7"/>
    </row>
    <row r="4398" spans="1:11" x14ac:dyDescent="0.35">
      <c r="A4398" s="13"/>
      <c r="E4398" s="8"/>
      <c r="F4398" s="1"/>
      <c r="J4398" s="2"/>
      <c r="K4398" s="7"/>
    </row>
    <row r="4399" spans="1:11" x14ac:dyDescent="0.35">
      <c r="A4399" s="13"/>
      <c r="E4399" s="8"/>
      <c r="F4399" s="1"/>
      <c r="J4399" s="2"/>
      <c r="K4399" s="7"/>
    </row>
    <row r="4400" spans="1:11" x14ac:dyDescent="0.35">
      <c r="A4400" s="13"/>
      <c r="E4400" s="8"/>
      <c r="F4400" s="1"/>
      <c r="J4400" s="2"/>
      <c r="K4400" s="7"/>
    </row>
    <row r="4401" spans="1:11" x14ac:dyDescent="0.35">
      <c r="A4401" s="13"/>
      <c r="E4401" s="8"/>
      <c r="F4401" s="1"/>
      <c r="J4401" s="2"/>
      <c r="K4401" s="7"/>
    </row>
    <row r="4402" spans="1:11" x14ac:dyDescent="0.35">
      <c r="A4402" s="13"/>
      <c r="E4402" s="8"/>
      <c r="F4402" s="1"/>
      <c r="J4402" s="2"/>
      <c r="K4402" s="7"/>
    </row>
    <row r="4403" spans="1:11" x14ac:dyDescent="0.35">
      <c r="A4403" s="13"/>
      <c r="E4403" s="8"/>
      <c r="F4403" s="1"/>
      <c r="J4403" s="2"/>
      <c r="K4403" s="7"/>
    </row>
    <row r="4404" spans="1:11" x14ac:dyDescent="0.35">
      <c r="A4404" s="13"/>
      <c r="E4404" s="8"/>
      <c r="F4404" s="1"/>
      <c r="J4404" s="2"/>
      <c r="K4404" s="7"/>
    </row>
    <row r="4405" spans="1:11" x14ac:dyDescent="0.35">
      <c r="A4405" s="13"/>
      <c r="E4405" s="8"/>
      <c r="F4405" s="1"/>
      <c r="J4405" s="2"/>
      <c r="K4405" s="7"/>
    </row>
    <row r="4406" spans="1:11" x14ac:dyDescent="0.35">
      <c r="A4406" s="13"/>
      <c r="E4406" s="8"/>
      <c r="F4406" s="1"/>
      <c r="J4406" s="2"/>
      <c r="K4406" s="7"/>
    </row>
    <row r="4407" spans="1:11" x14ac:dyDescent="0.35">
      <c r="A4407" s="13"/>
      <c r="E4407" s="8"/>
      <c r="F4407" s="1"/>
      <c r="J4407" s="2"/>
      <c r="K4407" s="7"/>
    </row>
    <row r="4408" spans="1:11" x14ac:dyDescent="0.35">
      <c r="A4408" s="13"/>
      <c r="E4408" s="8"/>
      <c r="F4408" s="1"/>
      <c r="J4408" s="2"/>
      <c r="K4408" s="7"/>
    </row>
    <row r="4409" spans="1:11" x14ac:dyDescent="0.35">
      <c r="A4409" s="13"/>
      <c r="E4409" s="8"/>
      <c r="F4409" s="1"/>
      <c r="J4409" s="2"/>
      <c r="K4409" s="7"/>
    </row>
    <row r="4410" spans="1:11" x14ac:dyDescent="0.35">
      <c r="A4410" s="13"/>
      <c r="E4410" s="8"/>
      <c r="F4410" s="1"/>
      <c r="J4410" s="2"/>
      <c r="K4410" s="7"/>
    </row>
    <row r="4411" spans="1:11" x14ac:dyDescent="0.35">
      <c r="A4411" s="13"/>
      <c r="E4411" s="8"/>
      <c r="F4411" s="1"/>
      <c r="J4411" s="2"/>
      <c r="K4411" s="7"/>
    </row>
    <row r="4412" spans="1:11" x14ac:dyDescent="0.35">
      <c r="A4412" s="13"/>
      <c r="E4412" s="8"/>
      <c r="F4412" s="1"/>
      <c r="J4412" s="2"/>
      <c r="K4412" s="7"/>
    </row>
    <row r="4413" spans="1:11" x14ac:dyDescent="0.35">
      <c r="A4413" s="13"/>
      <c r="E4413" s="8"/>
      <c r="F4413" s="1"/>
      <c r="J4413" s="2"/>
      <c r="K4413" s="7"/>
    </row>
    <row r="4414" spans="1:11" x14ac:dyDescent="0.35">
      <c r="A4414" s="13"/>
      <c r="E4414" s="8"/>
      <c r="F4414" s="1"/>
      <c r="J4414" s="2"/>
      <c r="K4414" s="7"/>
    </row>
    <row r="4415" spans="1:11" x14ac:dyDescent="0.35">
      <c r="A4415" s="13"/>
      <c r="E4415" s="8"/>
      <c r="F4415" s="1"/>
      <c r="J4415" s="2"/>
      <c r="K4415" s="7"/>
    </row>
    <row r="4416" spans="1:11" x14ac:dyDescent="0.35">
      <c r="A4416" s="13"/>
      <c r="E4416" s="8"/>
      <c r="F4416" s="1"/>
      <c r="J4416" s="2"/>
      <c r="K4416" s="7"/>
    </row>
    <row r="4417" spans="1:11" x14ac:dyDescent="0.35">
      <c r="A4417" s="13"/>
      <c r="E4417" s="8"/>
      <c r="F4417" s="1"/>
      <c r="J4417" s="2"/>
      <c r="K4417" s="7"/>
    </row>
    <row r="4418" spans="1:11" x14ac:dyDescent="0.35">
      <c r="A4418" s="13"/>
      <c r="E4418" s="8"/>
      <c r="F4418" s="1"/>
      <c r="J4418" s="2"/>
      <c r="K4418" s="7"/>
    </row>
    <row r="4419" spans="1:11" x14ac:dyDescent="0.35">
      <c r="A4419" s="13"/>
      <c r="E4419" s="8"/>
      <c r="F4419" s="1"/>
      <c r="J4419" s="2"/>
      <c r="K4419" s="7"/>
    </row>
    <row r="4420" spans="1:11" x14ac:dyDescent="0.35">
      <c r="A4420" s="13"/>
      <c r="E4420" s="8"/>
      <c r="F4420" s="1"/>
      <c r="J4420" s="2"/>
      <c r="K4420" s="7"/>
    </row>
    <row r="4421" spans="1:11" x14ac:dyDescent="0.35">
      <c r="A4421" s="13"/>
      <c r="E4421" s="8"/>
      <c r="F4421" s="1"/>
      <c r="J4421" s="2"/>
      <c r="K4421" s="7"/>
    </row>
    <row r="4422" spans="1:11" x14ac:dyDescent="0.35">
      <c r="A4422" s="13"/>
      <c r="E4422" s="8"/>
      <c r="F4422" s="1"/>
      <c r="J4422" s="2"/>
      <c r="K4422" s="7"/>
    </row>
    <row r="4423" spans="1:11" x14ac:dyDescent="0.35">
      <c r="A4423" s="13"/>
      <c r="E4423" s="8"/>
      <c r="F4423" s="1"/>
      <c r="J4423" s="2"/>
      <c r="K4423" s="7"/>
    </row>
    <row r="4424" spans="1:11" x14ac:dyDescent="0.35">
      <c r="A4424" s="13"/>
      <c r="E4424" s="8"/>
      <c r="F4424" s="1"/>
      <c r="J4424" s="2"/>
      <c r="K4424" s="7"/>
    </row>
    <row r="4425" spans="1:11" x14ac:dyDescent="0.35">
      <c r="A4425" s="13"/>
      <c r="E4425" s="8"/>
      <c r="F4425" s="1"/>
      <c r="J4425" s="2"/>
      <c r="K4425" s="7"/>
    </row>
    <row r="4426" spans="1:11" x14ac:dyDescent="0.35">
      <c r="A4426" s="13"/>
      <c r="E4426" s="8"/>
      <c r="F4426" s="1"/>
      <c r="J4426" s="2"/>
      <c r="K4426" s="7"/>
    </row>
    <row r="4427" spans="1:11" x14ac:dyDescent="0.35">
      <c r="A4427" s="13"/>
      <c r="E4427" s="8"/>
      <c r="F4427" s="1"/>
      <c r="J4427" s="2"/>
      <c r="K4427" s="7"/>
    </row>
    <row r="4428" spans="1:11" x14ac:dyDescent="0.35">
      <c r="A4428" s="13"/>
      <c r="E4428" s="8"/>
      <c r="F4428" s="1"/>
      <c r="J4428" s="2"/>
      <c r="K4428" s="7"/>
    </row>
    <row r="4429" spans="1:11" x14ac:dyDescent="0.35">
      <c r="A4429" s="13"/>
      <c r="E4429" s="8"/>
      <c r="F4429" s="1"/>
      <c r="J4429" s="2"/>
      <c r="K4429" s="7"/>
    </row>
    <row r="4430" spans="1:11" x14ac:dyDescent="0.35">
      <c r="A4430" s="13"/>
      <c r="E4430" s="8"/>
      <c r="F4430" s="1"/>
      <c r="J4430" s="2"/>
      <c r="K4430" s="7"/>
    </row>
    <row r="4431" spans="1:11" x14ac:dyDescent="0.35">
      <c r="A4431" s="13"/>
      <c r="E4431" s="8"/>
      <c r="F4431" s="1"/>
      <c r="J4431" s="2"/>
      <c r="K4431" s="7"/>
    </row>
    <row r="4432" spans="1:11" x14ac:dyDescent="0.35">
      <c r="A4432" s="13"/>
      <c r="E4432" s="8"/>
      <c r="F4432" s="1"/>
      <c r="J4432" s="2"/>
      <c r="K4432" s="7"/>
    </row>
    <row r="4433" spans="1:11" x14ac:dyDescent="0.35">
      <c r="A4433" s="13"/>
      <c r="E4433" s="8"/>
      <c r="F4433" s="1"/>
      <c r="J4433" s="2"/>
      <c r="K4433" s="7"/>
    </row>
    <row r="4434" spans="1:11" x14ac:dyDescent="0.35">
      <c r="A4434" s="13"/>
      <c r="E4434" s="8"/>
      <c r="F4434" s="1"/>
      <c r="J4434" s="2"/>
      <c r="K4434" s="7"/>
    </row>
    <row r="4435" spans="1:11" x14ac:dyDescent="0.35">
      <c r="A4435" s="13"/>
      <c r="E4435" s="8"/>
      <c r="F4435" s="1"/>
      <c r="J4435" s="2"/>
      <c r="K4435" s="7"/>
    </row>
    <row r="4436" spans="1:11" x14ac:dyDescent="0.35">
      <c r="A4436" s="13"/>
      <c r="E4436" s="8"/>
      <c r="F4436" s="1"/>
      <c r="J4436" s="2"/>
      <c r="K4436" s="7"/>
    </row>
    <row r="4437" spans="1:11" x14ac:dyDescent="0.35">
      <c r="A4437" s="13"/>
      <c r="E4437" s="8"/>
      <c r="F4437" s="1"/>
      <c r="J4437" s="2"/>
      <c r="K4437" s="7"/>
    </row>
    <row r="4438" spans="1:11" x14ac:dyDescent="0.35">
      <c r="A4438" s="13"/>
      <c r="E4438" s="8"/>
      <c r="F4438" s="1"/>
      <c r="J4438" s="2"/>
      <c r="K4438" s="7"/>
    </row>
    <row r="4439" spans="1:11" x14ac:dyDescent="0.35">
      <c r="A4439" s="13"/>
      <c r="E4439" s="8"/>
      <c r="F4439" s="1"/>
      <c r="J4439" s="2"/>
      <c r="K4439" s="7"/>
    </row>
    <row r="4440" spans="1:11" x14ac:dyDescent="0.35">
      <c r="A4440" s="13"/>
      <c r="E4440" s="8"/>
      <c r="F4440" s="1"/>
      <c r="J4440" s="2"/>
      <c r="K4440" s="7"/>
    </row>
    <row r="4441" spans="1:11" x14ac:dyDescent="0.35">
      <c r="A4441" s="13"/>
      <c r="E4441" s="8"/>
      <c r="F4441" s="1"/>
      <c r="J4441" s="2"/>
      <c r="K4441" s="7"/>
    </row>
    <row r="4442" spans="1:11" x14ac:dyDescent="0.35">
      <c r="A4442" s="13"/>
      <c r="E4442" s="8"/>
      <c r="F4442" s="1"/>
      <c r="J4442" s="2"/>
      <c r="K4442" s="7"/>
    </row>
    <row r="4443" spans="1:11" x14ac:dyDescent="0.35">
      <c r="A4443" s="13"/>
      <c r="E4443" s="8"/>
      <c r="F4443" s="1"/>
      <c r="J4443" s="2"/>
      <c r="K4443" s="7"/>
    </row>
    <row r="4444" spans="1:11" x14ac:dyDescent="0.35">
      <c r="A4444" s="13"/>
      <c r="E4444" s="8"/>
      <c r="F4444" s="1"/>
      <c r="J4444" s="2"/>
      <c r="K4444" s="7"/>
    </row>
    <row r="4445" spans="1:11" x14ac:dyDescent="0.35">
      <c r="A4445" s="13"/>
      <c r="E4445" s="8"/>
      <c r="F4445" s="1"/>
      <c r="J4445" s="2"/>
      <c r="K4445" s="7"/>
    </row>
    <row r="4446" spans="1:11" x14ac:dyDescent="0.35">
      <c r="A4446" s="13"/>
      <c r="E4446" s="8"/>
      <c r="F4446" s="1"/>
      <c r="J4446" s="2"/>
      <c r="K4446" s="7"/>
    </row>
    <row r="4447" spans="1:11" x14ac:dyDescent="0.35">
      <c r="A4447" s="13"/>
      <c r="E4447" s="8"/>
      <c r="F4447" s="1"/>
      <c r="J4447" s="2"/>
      <c r="K4447" s="7"/>
    </row>
    <row r="4448" spans="1:11" x14ac:dyDescent="0.35">
      <c r="A4448" s="13"/>
      <c r="E4448" s="8"/>
      <c r="F4448" s="1"/>
      <c r="J4448" s="2"/>
      <c r="K4448" s="7"/>
    </row>
    <row r="4449" spans="1:11" x14ac:dyDescent="0.35">
      <c r="A4449" s="13"/>
      <c r="E4449" s="8"/>
      <c r="F4449" s="1"/>
      <c r="J4449" s="2"/>
      <c r="K4449" s="7"/>
    </row>
    <row r="4450" spans="1:11" x14ac:dyDescent="0.35">
      <c r="A4450" s="13"/>
      <c r="E4450" s="8"/>
      <c r="F4450" s="1"/>
      <c r="J4450" s="2"/>
      <c r="K4450" s="7"/>
    </row>
    <row r="4451" spans="1:11" x14ac:dyDescent="0.35">
      <c r="A4451" s="13"/>
      <c r="E4451" s="8"/>
      <c r="F4451" s="1"/>
      <c r="J4451" s="2"/>
      <c r="K4451" s="7"/>
    </row>
    <row r="4452" spans="1:11" x14ac:dyDescent="0.35">
      <c r="A4452" s="13"/>
      <c r="E4452" s="8"/>
      <c r="F4452" s="1"/>
      <c r="J4452" s="2"/>
      <c r="K4452" s="7"/>
    </row>
    <row r="4453" spans="1:11" x14ac:dyDescent="0.35">
      <c r="A4453" s="13"/>
      <c r="E4453" s="8"/>
      <c r="F4453" s="1"/>
      <c r="J4453" s="2"/>
      <c r="K4453" s="7"/>
    </row>
    <row r="4454" spans="1:11" x14ac:dyDescent="0.35">
      <c r="A4454" s="13"/>
      <c r="E4454" s="8"/>
      <c r="F4454" s="1"/>
      <c r="J4454" s="2"/>
      <c r="K4454" s="7"/>
    </row>
    <row r="4455" spans="1:11" x14ac:dyDescent="0.35">
      <c r="A4455" s="13"/>
      <c r="E4455" s="8"/>
      <c r="F4455" s="1"/>
      <c r="J4455" s="2"/>
      <c r="K4455" s="7"/>
    </row>
    <row r="4456" spans="1:11" x14ac:dyDescent="0.35">
      <c r="A4456" s="13"/>
      <c r="E4456" s="8"/>
      <c r="F4456" s="1"/>
      <c r="J4456" s="2"/>
      <c r="K4456" s="7"/>
    </row>
    <row r="4457" spans="1:11" x14ac:dyDescent="0.35">
      <c r="A4457" s="13"/>
      <c r="E4457" s="8"/>
      <c r="F4457" s="1"/>
      <c r="J4457" s="2"/>
      <c r="K4457" s="7"/>
    </row>
    <row r="4458" spans="1:11" x14ac:dyDescent="0.35">
      <c r="A4458" s="13"/>
      <c r="E4458" s="8"/>
      <c r="F4458" s="1"/>
      <c r="J4458" s="2"/>
      <c r="K4458" s="7"/>
    </row>
    <row r="4459" spans="1:11" x14ac:dyDescent="0.35">
      <c r="A4459" s="13"/>
      <c r="E4459" s="8"/>
      <c r="F4459" s="1"/>
      <c r="J4459" s="2"/>
      <c r="K4459" s="7"/>
    </row>
    <row r="4460" spans="1:11" x14ac:dyDescent="0.35">
      <c r="A4460" s="13"/>
      <c r="E4460" s="8"/>
      <c r="F4460" s="1"/>
      <c r="J4460" s="2"/>
      <c r="K4460" s="7"/>
    </row>
    <row r="4461" spans="1:11" x14ac:dyDescent="0.35">
      <c r="A4461" s="13"/>
      <c r="E4461" s="8"/>
      <c r="F4461" s="1"/>
      <c r="J4461" s="2"/>
      <c r="K4461" s="7"/>
    </row>
    <row r="4462" spans="1:11" x14ac:dyDescent="0.35">
      <c r="A4462" s="13"/>
      <c r="E4462" s="8"/>
      <c r="F4462" s="1"/>
      <c r="J4462" s="2"/>
      <c r="K4462" s="7"/>
    </row>
    <row r="4463" spans="1:11" x14ac:dyDescent="0.35">
      <c r="A4463" s="13"/>
      <c r="E4463" s="8"/>
      <c r="F4463" s="1"/>
      <c r="J4463" s="2"/>
      <c r="K4463" s="7"/>
    </row>
    <row r="4464" spans="1:11" x14ac:dyDescent="0.35">
      <c r="A4464" s="13"/>
      <c r="E4464" s="8"/>
      <c r="F4464" s="1"/>
      <c r="J4464" s="2"/>
      <c r="K4464" s="7"/>
    </row>
    <row r="4465" spans="1:11" x14ac:dyDescent="0.35">
      <c r="A4465" s="13"/>
      <c r="E4465" s="8"/>
      <c r="F4465" s="1"/>
      <c r="J4465" s="2"/>
      <c r="K4465" s="7"/>
    </row>
    <row r="4466" spans="1:11" x14ac:dyDescent="0.35">
      <c r="A4466" s="13"/>
      <c r="E4466" s="8"/>
      <c r="F4466" s="1"/>
      <c r="J4466" s="2"/>
      <c r="K4466" s="7"/>
    </row>
    <row r="4467" spans="1:11" x14ac:dyDescent="0.35">
      <c r="A4467" s="13"/>
      <c r="E4467" s="8"/>
      <c r="F4467" s="1"/>
      <c r="J4467" s="2"/>
      <c r="K4467" s="7"/>
    </row>
    <row r="4468" spans="1:11" x14ac:dyDescent="0.35">
      <c r="A4468" s="13"/>
      <c r="E4468" s="8"/>
      <c r="F4468" s="1"/>
      <c r="J4468" s="2"/>
      <c r="K4468" s="7"/>
    </row>
    <row r="4469" spans="1:11" x14ac:dyDescent="0.35">
      <c r="A4469" s="13"/>
      <c r="E4469" s="8"/>
      <c r="F4469" s="1"/>
      <c r="J4469" s="2"/>
      <c r="K4469" s="7"/>
    </row>
    <row r="4470" spans="1:11" x14ac:dyDescent="0.35">
      <c r="A4470" s="13"/>
      <c r="E4470" s="8"/>
      <c r="F4470" s="1"/>
      <c r="J4470" s="2"/>
      <c r="K4470" s="7"/>
    </row>
    <row r="4471" spans="1:11" x14ac:dyDescent="0.35">
      <c r="A4471" s="13"/>
      <c r="E4471" s="8"/>
      <c r="F4471" s="1"/>
      <c r="J4471" s="2"/>
      <c r="K4471" s="7"/>
    </row>
    <row r="4472" spans="1:11" x14ac:dyDescent="0.35">
      <c r="A4472" s="13"/>
      <c r="E4472" s="8"/>
      <c r="F4472" s="1"/>
      <c r="J4472" s="2"/>
      <c r="K4472" s="7"/>
    </row>
    <row r="4473" spans="1:11" x14ac:dyDescent="0.35">
      <c r="A4473" s="13"/>
      <c r="E4473" s="8"/>
      <c r="F4473" s="1"/>
      <c r="J4473" s="2"/>
      <c r="K4473" s="7"/>
    </row>
    <row r="4474" spans="1:11" x14ac:dyDescent="0.35">
      <c r="A4474" s="13"/>
      <c r="E4474" s="8"/>
      <c r="F4474" s="1"/>
      <c r="J4474" s="2"/>
      <c r="K4474" s="7"/>
    </row>
    <row r="4475" spans="1:11" x14ac:dyDescent="0.35">
      <c r="A4475" s="13"/>
      <c r="E4475" s="8"/>
      <c r="F4475" s="1"/>
      <c r="J4475" s="2"/>
      <c r="K4475" s="7"/>
    </row>
    <row r="4476" spans="1:11" x14ac:dyDescent="0.35">
      <c r="A4476" s="13"/>
      <c r="E4476" s="8"/>
      <c r="F4476" s="1"/>
      <c r="J4476" s="2"/>
      <c r="K4476" s="7"/>
    </row>
    <row r="4477" spans="1:11" x14ac:dyDescent="0.35">
      <c r="A4477" s="13"/>
      <c r="E4477" s="8"/>
      <c r="F4477" s="1"/>
      <c r="J4477" s="2"/>
      <c r="K4477" s="7"/>
    </row>
    <row r="4478" spans="1:11" x14ac:dyDescent="0.35">
      <c r="A4478" s="13"/>
      <c r="E4478" s="8"/>
      <c r="F4478" s="1"/>
      <c r="J4478" s="2"/>
      <c r="K4478" s="7"/>
    </row>
    <row r="4479" spans="1:11" x14ac:dyDescent="0.35">
      <c r="A4479" s="13"/>
      <c r="E4479" s="8"/>
      <c r="F4479" s="1"/>
      <c r="J4479" s="2"/>
      <c r="K4479" s="7"/>
    </row>
    <row r="4480" spans="1:11" x14ac:dyDescent="0.35">
      <c r="A4480" s="13"/>
      <c r="E4480" s="8"/>
      <c r="F4480" s="1"/>
      <c r="J4480" s="2"/>
      <c r="K4480" s="7"/>
    </row>
    <row r="4481" spans="1:11" x14ac:dyDescent="0.35">
      <c r="A4481" s="13"/>
      <c r="E4481" s="8"/>
      <c r="F4481" s="1"/>
      <c r="J4481" s="2"/>
      <c r="K4481" s="7"/>
    </row>
    <row r="4482" spans="1:11" x14ac:dyDescent="0.35">
      <c r="A4482" s="13"/>
      <c r="E4482" s="8"/>
      <c r="F4482" s="1"/>
      <c r="J4482" s="2"/>
      <c r="K4482" s="7"/>
    </row>
    <row r="4483" spans="1:11" x14ac:dyDescent="0.35">
      <c r="A4483" s="13"/>
      <c r="E4483" s="8"/>
      <c r="F4483" s="1"/>
      <c r="J4483" s="2"/>
      <c r="K4483" s="7"/>
    </row>
    <row r="4484" spans="1:11" x14ac:dyDescent="0.35">
      <c r="A4484" s="13"/>
      <c r="E4484" s="8"/>
      <c r="F4484" s="1"/>
      <c r="J4484" s="2"/>
      <c r="K4484" s="7"/>
    </row>
    <row r="4485" spans="1:11" x14ac:dyDescent="0.35">
      <c r="A4485" s="13"/>
      <c r="E4485" s="8"/>
      <c r="F4485" s="1"/>
      <c r="J4485" s="2"/>
      <c r="K4485" s="7"/>
    </row>
    <row r="4486" spans="1:11" x14ac:dyDescent="0.35">
      <c r="A4486" s="13"/>
      <c r="E4486" s="8"/>
      <c r="F4486" s="1"/>
      <c r="J4486" s="2"/>
      <c r="K4486" s="7"/>
    </row>
    <row r="4487" spans="1:11" x14ac:dyDescent="0.35">
      <c r="A4487" s="13"/>
      <c r="E4487" s="8"/>
      <c r="F4487" s="1"/>
      <c r="J4487" s="2"/>
      <c r="K4487" s="7"/>
    </row>
    <row r="4488" spans="1:11" x14ac:dyDescent="0.35">
      <c r="A4488" s="13"/>
      <c r="E4488" s="8"/>
      <c r="F4488" s="1"/>
      <c r="J4488" s="2"/>
      <c r="K4488" s="7"/>
    </row>
    <row r="4489" spans="1:11" x14ac:dyDescent="0.35">
      <c r="A4489" s="13"/>
      <c r="E4489" s="8"/>
      <c r="F4489" s="1"/>
      <c r="J4489" s="2"/>
      <c r="K4489" s="7"/>
    </row>
    <row r="4490" spans="1:11" x14ac:dyDescent="0.35">
      <c r="A4490" s="13"/>
      <c r="E4490" s="8"/>
      <c r="F4490" s="1"/>
      <c r="J4490" s="2"/>
      <c r="K4490" s="7"/>
    </row>
    <row r="4491" spans="1:11" x14ac:dyDescent="0.35">
      <c r="A4491" s="13"/>
      <c r="E4491" s="8"/>
      <c r="F4491" s="1"/>
      <c r="J4491" s="2"/>
      <c r="K4491" s="7"/>
    </row>
    <row r="4492" spans="1:11" x14ac:dyDescent="0.35">
      <c r="A4492" s="13"/>
      <c r="E4492" s="8"/>
      <c r="F4492" s="1"/>
      <c r="J4492" s="2"/>
      <c r="K4492" s="7"/>
    </row>
    <row r="4493" spans="1:11" x14ac:dyDescent="0.35">
      <c r="A4493" s="13"/>
      <c r="E4493" s="8"/>
      <c r="F4493" s="1"/>
      <c r="J4493" s="2"/>
      <c r="K4493" s="7"/>
    </row>
    <row r="4494" spans="1:11" x14ac:dyDescent="0.35">
      <c r="A4494" s="13"/>
      <c r="E4494" s="8"/>
      <c r="F4494" s="1"/>
      <c r="J4494" s="2"/>
      <c r="K4494" s="7"/>
    </row>
    <row r="4495" spans="1:11" x14ac:dyDescent="0.35">
      <c r="A4495" s="13"/>
      <c r="E4495" s="8"/>
      <c r="F4495" s="1"/>
      <c r="J4495" s="2"/>
      <c r="K4495" s="7"/>
    </row>
    <row r="4496" spans="1:11" x14ac:dyDescent="0.35">
      <c r="A4496" s="13"/>
      <c r="E4496" s="8"/>
      <c r="F4496" s="1"/>
      <c r="J4496" s="2"/>
      <c r="K4496" s="7"/>
    </row>
    <row r="4497" spans="1:11" x14ac:dyDescent="0.35">
      <c r="A4497" s="13"/>
      <c r="E4497" s="8"/>
      <c r="F4497" s="1"/>
      <c r="J4497" s="2"/>
      <c r="K4497" s="7"/>
    </row>
    <row r="4498" spans="1:11" x14ac:dyDescent="0.35">
      <c r="A4498" s="13"/>
      <c r="E4498" s="8"/>
      <c r="F4498" s="1"/>
      <c r="J4498" s="2"/>
      <c r="K4498" s="7"/>
    </row>
    <row r="4499" spans="1:11" x14ac:dyDescent="0.35">
      <c r="A4499" s="13"/>
      <c r="E4499" s="8"/>
      <c r="F4499" s="1"/>
      <c r="J4499" s="2"/>
      <c r="K4499" s="7"/>
    </row>
    <row r="4500" spans="1:11" x14ac:dyDescent="0.35">
      <c r="A4500" s="13"/>
      <c r="E4500" s="8"/>
      <c r="F4500" s="1"/>
      <c r="J4500" s="2"/>
      <c r="K4500" s="7"/>
    </row>
    <row r="4501" spans="1:11" x14ac:dyDescent="0.35">
      <c r="A4501" s="13"/>
      <c r="E4501" s="8"/>
      <c r="F4501" s="1"/>
      <c r="J4501" s="2"/>
      <c r="K4501" s="7"/>
    </row>
    <row r="4502" spans="1:11" x14ac:dyDescent="0.35">
      <c r="A4502" s="13"/>
      <c r="E4502" s="8"/>
      <c r="F4502" s="1"/>
      <c r="J4502" s="2"/>
      <c r="K4502" s="7"/>
    </row>
    <row r="4503" spans="1:11" x14ac:dyDescent="0.35">
      <c r="A4503" s="13"/>
      <c r="E4503" s="8"/>
      <c r="F4503" s="1"/>
      <c r="J4503" s="2"/>
      <c r="K4503" s="7"/>
    </row>
    <row r="4504" spans="1:11" x14ac:dyDescent="0.35">
      <c r="A4504" s="13"/>
      <c r="E4504" s="8"/>
      <c r="F4504" s="1"/>
      <c r="J4504" s="2"/>
      <c r="K4504" s="7"/>
    </row>
    <row r="4505" spans="1:11" x14ac:dyDescent="0.35">
      <c r="A4505" s="13"/>
      <c r="E4505" s="8"/>
      <c r="F4505" s="1"/>
      <c r="J4505" s="2"/>
      <c r="K4505" s="7"/>
    </row>
    <row r="4506" spans="1:11" x14ac:dyDescent="0.35">
      <c r="A4506" s="13"/>
      <c r="E4506" s="8"/>
      <c r="F4506" s="1"/>
      <c r="J4506" s="2"/>
      <c r="K4506" s="7"/>
    </row>
    <row r="4507" spans="1:11" x14ac:dyDescent="0.35">
      <c r="A4507" s="13"/>
      <c r="E4507" s="8"/>
      <c r="F4507" s="1"/>
      <c r="J4507" s="2"/>
      <c r="K4507" s="7"/>
    </row>
    <row r="4508" spans="1:11" x14ac:dyDescent="0.35">
      <c r="A4508" s="13"/>
      <c r="E4508" s="8"/>
      <c r="F4508" s="1"/>
      <c r="J4508" s="2"/>
      <c r="K4508" s="7"/>
    </row>
    <row r="4509" spans="1:11" x14ac:dyDescent="0.35">
      <c r="A4509" s="13"/>
      <c r="E4509" s="8"/>
      <c r="F4509" s="1"/>
      <c r="J4509" s="2"/>
      <c r="K4509" s="7"/>
    </row>
    <row r="4510" spans="1:11" x14ac:dyDescent="0.35">
      <c r="A4510" s="13"/>
      <c r="E4510" s="8"/>
      <c r="F4510" s="1"/>
      <c r="J4510" s="2"/>
      <c r="K4510" s="7"/>
    </row>
    <row r="4511" spans="1:11" x14ac:dyDescent="0.35">
      <c r="A4511" s="13"/>
      <c r="E4511" s="8"/>
      <c r="F4511" s="1"/>
      <c r="J4511" s="2"/>
      <c r="K4511" s="7"/>
    </row>
    <row r="4512" spans="1:11" x14ac:dyDescent="0.35">
      <c r="A4512" s="13"/>
      <c r="E4512" s="8"/>
      <c r="F4512" s="1"/>
      <c r="J4512" s="2"/>
      <c r="K4512" s="7"/>
    </row>
    <row r="4513" spans="1:11" x14ac:dyDescent="0.35">
      <c r="A4513" s="13"/>
      <c r="E4513" s="8"/>
      <c r="F4513" s="1"/>
      <c r="J4513" s="2"/>
      <c r="K4513" s="7"/>
    </row>
    <row r="4514" spans="1:11" x14ac:dyDescent="0.35">
      <c r="A4514" s="13"/>
      <c r="E4514" s="8"/>
      <c r="F4514" s="1"/>
      <c r="J4514" s="2"/>
      <c r="K4514" s="7"/>
    </row>
    <row r="4515" spans="1:11" x14ac:dyDescent="0.35">
      <c r="A4515" s="13"/>
      <c r="E4515" s="8"/>
      <c r="F4515" s="1"/>
      <c r="J4515" s="2"/>
      <c r="K4515" s="7"/>
    </row>
    <row r="4516" spans="1:11" x14ac:dyDescent="0.35">
      <c r="A4516" s="13"/>
      <c r="E4516" s="8"/>
      <c r="F4516" s="1"/>
      <c r="J4516" s="2"/>
      <c r="K4516" s="7"/>
    </row>
    <row r="4517" spans="1:11" x14ac:dyDescent="0.35">
      <c r="A4517" s="13"/>
      <c r="E4517" s="8"/>
      <c r="F4517" s="1"/>
      <c r="J4517" s="2"/>
      <c r="K4517" s="7"/>
    </row>
    <row r="4518" spans="1:11" x14ac:dyDescent="0.35">
      <c r="A4518" s="13"/>
      <c r="E4518" s="8"/>
      <c r="F4518" s="1"/>
      <c r="J4518" s="2"/>
      <c r="K4518" s="7"/>
    </row>
    <row r="4519" spans="1:11" x14ac:dyDescent="0.35">
      <c r="A4519" s="13"/>
      <c r="E4519" s="8"/>
      <c r="F4519" s="1"/>
      <c r="J4519" s="2"/>
      <c r="K4519" s="7"/>
    </row>
    <row r="4520" spans="1:11" x14ac:dyDescent="0.35">
      <c r="A4520" s="13"/>
      <c r="E4520" s="8"/>
      <c r="F4520" s="1"/>
      <c r="J4520" s="2"/>
      <c r="K4520" s="7"/>
    </row>
    <row r="4521" spans="1:11" x14ac:dyDescent="0.35">
      <c r="A4521" s="13"/>
      <c r="E4521" s="8"/>
      <c r="F4521" s="1"/>
      <c r="J4521" s="2"/>
      <c r="K4521" s="7"/>
    </row>
    <row r="4522" spans="1:11" x14ac:dyDescent="0.35">
      <c r="A4522" s="13"/>
      <c r="E4522" s="8"/>
      <c r="F4522" s="1"/>
      <c r="J4522" s="2"/>
      <c r="K4522" s="7"/>
    </row>
    <row r="4523" spans="1:11" x14ac:dyDescent="0.35">
      <c r="A4523" s="13"/>
      <c r="E4523" s="8"/>
      <c r="F4523" s="1"/>
      <c r="J4523" s="2"/>
      <c r="K4523" s="7"/>
    </row>
    <row r="4524" spans="1:11" x14ac:dyDescent="0.35">
      <c r="A4524" s="13"/>
      <c r="E4524" s="8"/>
      <c r="F4524" s="1"/>
      <c r="J4524" s="2"/>
      <c r="K4524" s="7"/>
    </row>
    <row r="4525" spans="1:11" x14ac:dyDescent="0.35">
      <c r="A4525" s="13"/>
      <c r="E4525" s="8"/>
      <c r="F4525" s="1"/>
      <c r="J4525" s="2"/>
      <c r="K4525" s="7"/>
    </row>
    <row r="4526" spans="1:11" x14ac:dyDescent="0.35">
      <c r="A4526" s="13"/>
      <c r="E4526" s="8"/>
      <c r="F4526" s="1"/>
      <c r="J4526" s="2"/>
      <c r="K4526" s="7"/>
    </row>
    <row r="4527" spans="1:11" x14ac:dyDescent="0.35">
      <c r="A4527" s="13"/>
      <c r="E4527" s="8"/>
      <c r="F4527" s="1"/>
      <c r="J4527" s="2"/>
      <c r="K4527" s="7"/>
    </row>
    <row r="4528" spans="1:11" x14ac:dyDescent="0.35">
      <c r="A4528" s="13"/>
      <c r="E4528" s="8"/>
      <c r="F4528" s="1"/>
      <c r="J4528" s="2"/>
      <c r="K4528" s="7"/>
    </row>
    <row r="4529" spans="1:11" x14ac:dyDescent="0.35">
      <c r="A4529" s="13"/>
      <c r="E4529" s="8"/>
      <c r="F4529" s="1"/>
      <c r="J4529" s="2"/>
      <c r="K4529" s="7"/>
    </row>
    <row r="4530" spans="1:11" x14ac:dyDescent="0.35">
      <c r="A4530" s="13"/>
      <c r="E4530" s="8"/>
      <c r="F4530" s="1"/>
      <c r="J4530" s="2"/>
      <c r="K4530" s="7"/>
    </row>
    <row r="4531" spans="1:11" x14ac:dyDescent="0.35">
      <c r="A4531" s="13"/>
      <c r="E4531" s="8"/>
      <c r="F4531" s="1"/>
      <c r="J4531" s="2"/>
      <c r="K4531" s="7"/>
    </row>
    <row r="4532" spans="1:11" x14ac:dyDescent="0.35">
      <c r="A4532" s="13"/>
      <c r="E4532" s="8"/>
      <c r="F4532" s="1"/>
      <c r="J4532" s="2"/>
      <c r="K4532" s="7"/>
    </row>
    <row r="4533" spans="1:11" x14ac:dyDescent="0.35">
      <c r="A4533" s="13"/>
      <c r="E4533" s="8"/>
      <c r="F4533" s="1"/>
      <c r="J4533" s="2"/>
      <c r="K4533" s="7"/>
    </row>
    <row r="4534" spans="1:11" x14ac:dyDescent="0.35">
      <c r="A4534" s="13"/>
      <c r="E4534" s="8"/>
      <c r="F4534" s="1"/>
      <c r="J4534" s="2"/>
      <c r="K4534" s="7"/>
    </row>
    <row r="4535" spans="1:11" x14ac:dyDescent="0.35">
      <c r="A4535" s="13"/>
      <c r="E4535" s="8"/>
      <c r="F4535" s="1"/>
      <c r="J4535" s="2"/>
      <c r="K4535" s="7"/>
    </row>
    <row r="4536" spans="1:11" x14ac:dyDescent="0.35">
      <c r="A4536" s="13"/>
      <c r="E4536" s="8"/>
      <c r="F4536" s="1"/>
      <c r="J4536" s="2"/>
      <c r="K4536" s="7"/>
    </row>
    <row r="4537" spans="1:11" x14ac:dyDescent="0.35">
      <c r="A4537" s="13"/>
      <c r="E4537" s="8"/>
      <c r="F4537" s="1"/>
      <c r="J4537" s="2"/>
      <c r="K4537" s="7"/>
    </row>
    <row r="4538" spans="1:11" x14ac:dyDescent="0.35">
      <c r="A4538" s="13"/>
      <c r="E4538" s="8"/>
      <c r="F4538" s="1"/>
      <c r="J4538" s="2"/>
      <c r="K4538" s="7"/>
    </row>
    <row r="4539" spans="1:11" x14ac:dyDescent="0.35">
      <c r="A4539" s="13"/>
      <c r="E4539" s="8"/>
      <c r="F4539" s="1"/>
      <c r="J4539" s="2"/>
      <c r="K4539" s="7"/>
    </row>
    <row r="4540" spans="1:11" x14ac:dyDescent="0.35">
      <c r="A4540" s="13"/>
      <c r="E4540" s="8"/>
      <c r="F4540" s="1"/>
      <c r="J4540" s="2"/>
      <c r="K4540" s="7"/>
    </row>
    <row r="4541" spans="1:11" x14ac:dyDescent="0.35">
      <c r="A4541" s="13"/>
      <c r="E4541" s="8"/>
      <c r="F4541" s="1"/>
      <c r="J4541" s="2"/>
      <c r="K4541" s="7"/>
    </row>
    <row r="4542" spans="1:11" x14ac:dyDescent="0.35">
      <c r="A4542" s="13"/>
      <c r="E4542" s="8"/>
      <c r="F4542" s="1"/>
      <c r="J4542" s="2"/>
      <c r="K4542" s="7"/>
    </row>
    <row r="4543" spans="1:11" x14ac:dyDescent="0.35">
      <c r="A4543" s="13"/>
      <c r="E4543" s="8"/>
      <c r="F4543" s="1"/>
      <c r="J4543" s="2"/>
      <c r="K4543" s="7"/>
    </row>
    <row r="4544" spans="1:11" x14ac:dyDescent="0.35">
      <c r="A4544" s="13"/>
      <c r="E4544" s="8"/>
      <c r="F4544" s="1"/>
      <c r="J4544" s="2"/>
      <c r="K4544" s="7"/>
    </row>
    <row r="4545" spans="1:11" x14ac:dyDescent="0.35">
      <c r="A4545" s="13"/>
      <c r="E4545" s="8"/>
      <c r="F4545" s="1"/>
      <c r="J4545" s="2"/>
      <c r="K4545" s="7"/>
    </row>
    <row r="4546" spans="1:11" x14ac:dyDescent="0.35">
      <c r="A4546" s="13"/>
      <c r="E4546" s="8"/>
      <c r="F4546" s="1"/>
      <c r="J4546" s="2"/>
      <c r="K4546" s="7"/>
    </row>
    <row r="4547" spans="1:11" x14ac:dyDescent="0.35">
      <c r="A4547" s="13"/>
      <c r="E4547" s="8"/>
      <c r="F4547" s="1"/>
      <c r="J4547" s="2"/>
      <c r="K4547" s="7"/>
    </row>
    <row r="4548" spans="1:11" x14ac:dyDescent="0.35">
      <c r="A4548" s="13"/>
      <c r="E4548" s="8"/>
      <c r="F4548" s="1"/>
      <c r="J4548" s="2"/>
      <c r="K4548" s="7"/>
    </row>
    <row r="4549" spans="1:11" x14ac:dyDescent="0.35">
      <c r="A4549" s="13"/>
      <c r="E4549" s="8"/>
      <c r="F4549" s="1"/>
      <c r="J4549" s="2"/>
      <c r="K4549" s="7"/>
    </row>
    <row r="4550" spans="1:11" x14ac:dyDescent="0.35">
      <c r="A4550" s="13"/>
      <c r="E4550" s="8"/>
      <c r="F4550" s="1"/>
      <c r="J4550" s="2"/>
      <c r="K4550" s="7"/>
    </row>
    <row r="4551" spans="1:11" x14ac:dyDescent="0.35">
      <c r="A4551" s="13"/>
      <c r="E4551" s="8"/>
      <c r="F4551" s="1"/>
      <c r="J4551" s="2"/>
      <c r="K4551" s="7"/>
    </row>
    <row r="4552" spans="1:11" x14ac:dyDescent="0.35">
      <c r="A4552" s="13"/>
      <c r="E4552" s="8"/>
      <c r="F4552" s="1"/>
      <c r="J4552" s="2"/>
      <c r="K4552" s="7"/>
    </row>
    <row r="4553" spans="1:11" x14ac:dyDescent="0.35">
      <c r="A4553" s="13"/>
      <c r="E4553" s="8"/>
      <c r="F4553" s="1"/>
      <c r="J4553" s="2"/>
      <c r="K4553" s="7"/>
    </row>
    <row r="4554" spans="1:11" x14ac:dyDescent="0.35">
      <c r="A4554" s="13"/>
      <c r="E4554" s="8"/>
      <c r="F4554" s="1"/>
      <c r="J4554" s="2"/>
      <c r="K4554" s="7"/>
    </row>
    <row r="4555" spans="1:11" x14ac:dyDescent="0.35">
      <c r="A4555" s="13"/>
      <c r="E4555" s="8"/>
      <c r="F4555" s="1"/>
      <c r="J4555" s="2"/>
      <c r="K4555" s="7"/>
    </row>
    <row r="4556" spans="1:11" x14ac:dyDescent="0.35">
      <c r="A4556" s="13"/>
      <c r="E4556" s="8"/>
      <c r="F4556" s="1"/>
      <c r="J4556" s="2"/>
      <c r="K4556" s="7"/>
    </row>
    <row r="4557" spans="1:11" x14ac:dyDescent="0.35">
      <c r="A4557" s="13"/>
      <c r="E4557" s="8"/>
      <c r="F4557" s="1"/>
      <c r="J4557" s="2"/>
      <c r="K4557" s="7"/>
    </row>
    <row r="4558" spans="1:11" x14ac:dyDescent="0.35">
      <c r="A4558" s="13"/>
      <c r="E4558" s="8"/>
      <c r="F4558" s="1"/>
      <c r="J4558" s="2"/>
      <c r="K4558" s="7"/>
    </row>
    <row r="4559" spans="1:11" x14ac:dyDescent="0.35">
      <c r="A4559" s="13"/>
      <c r="E4559" s="8"/>
      <c r="F4559" s="1"/>
      <c r="J4559" s="2"/>
      <c r="K4559" s="7"/>
    </row>
    <row r="4560" spans="1:11" x14ac:dyDescent="0.35">
      <c r="A4560" s="13"/>
      <c r="E4560" s="8"/>
      <c r="F4560" s="1"/>
      <c r="J4560" s="2"/>
      <c r="K4560" s="7"/>
    </row>
    <row r="4561" spans="1:11" x14ac:dyDescent="0.35">
      <c r="A4561" s="13"/>
      <c r="E4561" s="8"/>
      <c r="F4561" s="1"/>
      <c r="J4561" s="2"/>
      <c r="K4561" s="7"/>
    </row>
    <row r="4562" spans="1:11" x14ac:dyDescent="0.35">
      <c r="A4562" s="13"/>
      <c r="E4562" s="8"/>
      <c r="F4562" s="1"/>
      <c r="J4562" s="2"/>
      <c r="K4562" s="7"/>
    </row>
    <row r="4563" spans="1:11" x14ac:dyDescent="0.35">
      <c r="A4563" s="13"/>
      <c r="E4563" s="8"/>
      <c r="F4563" s="1"/>
      <c r="J4563" s="2"/>
      <c r="K4563" s="7"/>
    </row>
    <row r="4564" spans="1:11" x14ac:dyDescent="0.35">
      <c r="A4564" s="13"/>
      <c r="E4564" s="8"/>
      <c r="F4564" s="1"/>
      <c r="J4564" s="2"/>
      <c r="K4564" s="7"/>
    </row>
    <row r="4565" spans="1:11" x14ac:dyDescent="0.35">
      <c r="A4565" s="13"/>
      <c r="E4565" s="8"/>
      <c r="F4565" s="1"/>
      <c r="J4565" s="2"/>
      <c r="K4565" s="7"/>
    </row>
    <row r="4566" spans="1:11" x14ac:dyDescent="0.35">
      <c r="A4566" s="13"/>
      <c r="E4566" s="8"/>
      <c r="F4566" s="1"/>
      <c r="J4566" s="2"/>
      <c r="K4566" s="7"/>
    </row>
    <row r="4567" spans="1:11" x14ac:dyDescent="0.35">
      <c r="A4567" s="13"/>
      <c r="E4567" s="8"/>
      <c r="F4567" s="1"/>
      <c r="J4567" s="2"/>
      <c r="K4567" s="7"/>
    </row>
    <row r="4568" spans="1:11" x14ac:dyDescent="0.35">
      <c r="A4568" s="13"/>
      <c r="E4568" s="8"/>
      <c r="F4568" s="1"/>
      <c r="J4568" s="2"/>
      <c r="K4568" s="7"/>
    </row>
    <row r="4569" spans="1:11" x14ac:dyDescent="0.35">
      <c r="A4569" s="13"/>
      <c r="E4569" s="8"/>
      <c r="F4569" s="1"/>
      <c r="J4569" s="2"/>
      <c r="K4569" s="7"/>
    </row>
    <row r="4570" spans="1:11" x14ac:dyDescent="0.35">
      <c r="A4570" s="13"/>
      <c r="E4570" s="8"/>
      <c r="F4570" s="1"/>
      <c r="J4570" s="2"/>
      <c r="K4570" s="7"/>
    </row>
    <row r="4571" spans="1:11" x14ac:dyDescent="0.35">
      <c r="A4571" s="13"/>
      <c r="E4571" s="8"/>
      <c r="F4571" s="1"/>
      <c r="J4571" s="2"/>
      <c r="K4571" s="7"/>
    </row>
    <row r="4572" spans="1:11" x14ac:dyDescent="0.35">
      <c r="A4572" s="13"/>
      <c r="E4572" s="8"/>
      <c r="F4572" s="1"/>
      <c r="J4572" s="2"/>
      <c r="K4572" s="7"/>
    </row>
    <row r="4573" spans="1:11" x14ac:dyDescent="0.35">
      <c r="A4573" s="13"/>
      <c r="E4573" s="8"/>
      <c r="F4573" s="1"/>
      <c r="J4573" s="2"/>
      <c r="K4573" s="7"/>
    </row>
    <row r="4574" spans="1:11" x14ac:dyDescent="0.35">
      <c r="A4574" s="13"/>
      <c r="E4574" s="8"/>
      <c r="F4574" s="1"/>
      <c r="J4574" s="2"/>
      <c r="K4574" s="7"/>
    </row>
    <row r="4575" spans="1:11" x14ac:dyDescent="0.35">
      <c r="A4575" s="13"/>
      <c r="E4575" s="8"/>
      <c r="F4575" s="1"/>
      <c r="J4575" s="2"/>
      <c r="K4575" s="7"/>
    </row>
    <row r="4576" spans="1:11" x14ac:dyDescent="0.35">
      <c r="A4576" s="13"/>
      <c r="E4576" s="8"/>
      <c r="F4576" s="1"/>
      <c r="J4576" s="2"/>
      <c r="K4576" s="7"/>
    </row>
    <row r="4577" spans="1:11" x14ac:dyDescent="0.35">
      <c r="A4577" s="13"/>
      <c r="E4577" s="8"/>
      <c r="F4577" s="1"/>
      <c r="J4577" s="2"/>
      <c r="K4577" s="7"/>
    </row>
    <row r="4578" spans="1:11" x14ac:dyDescent="0.35">
      <c r="A4578" s="13"/>
      <c r="E4578" s="8"/>
      <c r="F4578" s="1"/>
      <c r="J4578" s="2"/>
      <c r="K4578" s="7"/>
    </row>
    <row r="4579" spans="1:11" x14ac:dyDescent="0.35">
      <c r="A4579" s="13"/>
      <c r="E4579" s="8"/>
      <c r="F4579" s="1"/>
      <c r="J4579" s="2"/>
      <c r="K4579" s="7"/>
    </row>
    <row r="4580" spans="1:11" x14ac:dyDescent="0.35">
      <c r="A4580" s="13"/>
      <c r="E4580" s="8"/>
      <c r="F4580" s="1"/>
      <c r="J4580" s="2"/>
      <c r="K4580" s="7"/>
    </row>
    <row r="4581" spans="1:11" x14ac:dyDescent="0.35">
      <c r="A4581" s="13"/>
      <c r="E4581" s="8"/>
      <c r="F4581" s="1"/>
      <c r="J4581" s="2"/>
      <c r="K4581" s="7"/>
    </row>
    <row r="4582" spans="1:11" x14ac:dyDescent="0.35">
      <c r="A4582" s="13"/>
      <c r="E4582" s="8"/>
      <c r="F4582" s="1"/>
      <c r="J4582" s="2"/>
      <c r="K4582" s="7"/>
    </row>
    <row r="4583" spans="1:11" x14ac:dyDescent="0.35">
      <c r="A4583" s="13"/>
      <c r="E4583" s="8"/>
      <c r="F4583" s="1"/>
      <c r="J4583" s="2"/>
      <c r="K4583" s="7"/>
    </row>
    <row r="4584" spans="1:11" x14ac:dyDescent="0.35">
      <c r="A4584" s="13"/>
      <c r="E4584" s="8"/>
      <c r="F4584" s="1"/>
      <c r="J4584" s="2"/>
      <c r="K4584" s="7"/>
    </row>
    <row r="4585" spans="1:11" x14ac:dyDescent="0.35">
      <c r="A4585" s="13"/>
      <c r="E4585" s="8"/>
      <c r="F4585" s="1"/>
      <c r="J4585" s="2"/>
      <c r="K4585" s="7"/>
    </row>
    <row r="4586" spans="1:11" x14ac:dyDescent="0.35">
      <c r="A4586" s="13"/>
      <c r="E4586" s="8"/>
      <c r="F4586" s="1"/>
      <c r="J4586" s="2"/>
      <c r="K4586" s="7"/>
    </row>
    <row r="4587" spans="1:11" x14ac:dyDescent="0.35">
      <c r="A4587" s="13"/>
      <c r="E4587" s="8"/>
      <c r="F4587" s="1"/>
      <c r="J4587" s="2"/>
      <c r="K4587" s="7"/>
    </row>
    <row r="4588" spans="1:11" x14ac:dyDescent="0.35">
      <c r="A4588" s="13"/>
      <c r="E4588" s="8"/>
      <c r="F4588" s="1"/>
      <c r="J4588" s="2"/>
      <c r="K4588" s="7"/>
    </row>
    <row r="4589" spans="1:11" x14ac:dyDescent="0.35">
      <c r="A4589" s="13"/>
      <c r="E4589" s="8"/>
      <c r="F4589" s="1"/>
      <c r="J4589" s="2"/>
      <c r="K4589" s="7"/>
    </row>
    <row r="4590" spans="1:11" x14ac:dyDescent="0.35">
      <c r="A4590" s="13"/>
      <c r="E4590" s="8"/>
      <c r="F4590" s="1"/>
      <c r="J4590" s="2"/>
      <c r="K4590" s="7"/>
    </row>
    <row r="4591" spans="1:11" x14ac:dyDescent="0.35">
      <c r="A4591" s="13"/>
      <c r="E4591" s="8"/>
      <c r="F4591" s="1"/>
      <c r="J4591" s="2"/>
      <c r="K4591" s="7"/>
    </row>
    <row r="4592" spans="1:11" x14ac:dyDescent="0.35">
      <c r="A4592" s="13"/>
      <c r="E4592" s="8"/>
      <c r="F4592" s="1"/>
      <c r="J4592" s="2"/>
      <c r="K4592" s="7"/>
    </row>
    <row r="4593" spans="1:11" x14ac:dyDescent="0.35">
      <c r="A4593" s="13"/>
      <c r="E4593" s="8"/>
      <c r="F4593" s="1"/>
      <c r="J4593" s="2"/>
      <c r="K4593" s="7"/>
    </row>
    <row r="4594" spans="1:11" x14ac:dyDescent="0.35">
      <c r="A4594" s="13"/>
      <c r="E4594" s="8"/>
      <c r="F4594" s="1"/>
      <c r="J4594" s="2"/>
      <c r="K4594" s="7"/>
    </row>
    <row r="4595" spans="1:11" x14ac:dyDescent="0.35">
      <c r="A4595" s="13"/>
      <c r="E4595" s="8"/>
      <c r="F4595" s="1"/>
      <c r="J4595" s="2"/>
      <c r="K4595" s="7"/>
    </row>
    <row r="4596" spans="1:11" x14ac:dyDescent="0.35">
      <c r="A4596" s="13"/>
      <c r="E4596" s="8"/>
      <c r="F4596" s="1"/>
      <c r="J4596" s="2"/>
      <c r="K4596" s="7"/>
    </row>
    <row r="4597" spans="1:11" x14ac:dyDescent="0.35">
      <c r="A4597" s="13"/>
      <c r="E4597" s="8"/>
      <c r="F4597" s="1"/>
      <c r="J4597" s="2"/>
      <c r="K4597" s="7"/>
    </row>
    <row r="4598" spans="1:11" x14ac:dyDescent="0.35">
      <c r="A4598" s="13"/>
      <c r="E4598" s="8"/>
      <c r="F4598" s="1"/>
      <c r="J4598" s="2"/>
      <c r="K4598" s="7"/>
    </row>
    <row r="4599" spans="1:11" x14ac:dyDescent="0.35">
      <c r="A4599" s="13"/>
      <c r="E4599" s="8"/>
      <c r="F4599" s="1"/>
      <c r="J4599" s="2"/>
      <c r="K4599" s="7"/>
    </row>
    <row r="4600" spans="1:11" x14ac:dyDescent="0.35">
      <c r="A4600" s="13"/>
      <c r="E4600" s="8"/>
      <c r="F4600" s="1"/>
      <c r="J4600" s="2"/>
      <c r="K4600" s="7"/>
    </row>
    <row r="4601" spans="1:11" x14ac:dyDescent="0.35">
      <c r="A4601" s="13"/>
      <c r="E4601" s="8"/>
      <c r="F4601" s="1"/>
      <c r="J4601" s="2"/>
      <c r="K4601" s="7"/>
    </row>
    <row r="4602" spans="1:11" x14ac:dyDescent="0.35">
      <c r="A4602" s="13"/>
      <c r="E4602" s="8"/>
      <c r="F4602" s="1"/>
      <c r="J4602" s="2"/>
      <c r="K4602" s="7"/>
    </row>
    <row r="4603" spans="1:11" x14ac:dyDescent="0.35">
      <c r="A4603" s="13"/>
      <c r="E4603" s="8"/>
      <c r="F4603" s="1"/>
      <c r="J4603" s="2"/>
      <c r="K4603" s="7"/>
    </row>
    <row r="4604" spans="1:11" x14ac:dyDescent="0.35">
      <c r="A4604" s="13"/>
      <c r="E4604" s="8"/>
      <c r="F4604" s="1"/>
      <c r="J4604" s="2"/>
      <c r="K4604" s="7"/>
    </row>
    <row r="4605" spans="1:11" x14ac:dyDescent="0.35">
      <c r="A4605" s="13"/>
      <c r="E4605" s="8"/>
      <c r="F4605" s="1"/>
      <c r="J4605" s="2"/>
      <c r="K4605" s="7"/>
    </row>
    <row r="4606" spans="1:11" x14ac:dyDescent="0.35">
      <c r="A4606" s="13"/>
      <c r="E4606" s="8"/>
      <c r="F4606" s="1"/>
      <c r="J4606" s="2"/>
      <c r="K4606" s="7"/>
    </row>
    <row r="4607" spans="1:11" x14ac:dyDescent="0.35">
      <c r="A4607" s="13"/>
      <c r="E4607" s="8"/>
      <c r="F4607" s="1"/>
      <c r="J4607" s="2"/>
      <c r="K4607" s="7"/>
    </row>
    <row r="4608" spans="1:11" x14ac:dyDescent="0.35">
      <c r="A4608" s="13"/>
      <c r="E4608" s="8"/>
      <c r="F4608" s="1"/>
      <c r="J4608" s="2"/>
      <c r="K4608" s="7"/>
    </row>
    <row r="4609" spans="1:11" x14ac:dyDescent="0.35">
      <c r="A4609" s="13"/>
      <c r="E4609" s="8"/>
      <c r="F4609" s="1"/>
      <c r="J4609" s="2"/>
      <c r="K4609" s="7"/>
    </row>
    <row r="4610" spans="1:11" x14ac:dyDescent="0.35">
      <c r="A4610" s="13"/>
      <c r="E4610" s="8"/>
      <c r="F4610" s="1"/>
      <c r="J4610" s="2"/>
      <c r="K4610" s="7"/>
    </row>
    <row r="4611" spans="1:11" x14ac:dyDescent="0.35">
      <c r="A4611" s="13"/>
      <c r="E4611" s="8"/>
      <c r="F4611" s="1"/>
      <c r="J4611" s="2"/>
      <c r="K4611" s="7"/>
    </row>
    <row r="4612" spans="1:11" x14ac:dyDescent="0.35">
      <c r="A4612" s="13"/>
      <c r="E4612" s="8"/>
      <c r="F4612" s="1"/>
      <c r="J4612" s="2"/>
      <c r="K4612" s="7"/>
    </row>
    <row r="4613" spans="1:11" x14ac:dyDescent="0.35">
      <c r="A4613" s="13"/>
      <c r="E4613" s="8"/>
      <c r="F4613" s="1"/>
      <c r="J4613" s="2"/>
      <c r="K4613" s="7"/>
    </row>
    <row r="4614" spans="1:11" x14ac:dyDescent="0.35">
      <c r="A4614" s="13"/>
      <c r="E4614" s="8"/>
      <c r="F4614" s="1"/>
      <c r="J4614" s="2"/>
      <c r="K4614" s="7"/>
    </row>
    <row r="4615" spans="1:11" x14ac:dyDescent="0.35">
      <c r="A4615" s="13"/>
      <c r="E4615" s="8"/>
      <c r="F4615" s="1"/>
      <c r="J4615" s="2"/>
      <c r="K4615" s="7"/>
    </row>
    <row r="4616" spans="1:11" x14ac:dyDescent="0.35">
      <c r="A4616" s="13"/>
      <c r="E4616" s="8"/>
      <c r="F4616" s="1"/>
      <c r="J4616" s="2"/>
      <c r="K4616" s="7"/>
    </row>
    <row r="4617" spans="1:11" x14ac:dyDescent="0.35">
      <c r="A4617" s="13"/>
      <c r="E4617" s="8"/>
      <c r="F4617" s="1"/>
      <c r="J4617" s="2"/>
      <c r="K4617" s="7"/>
    </row>
    <row r="4618" spans="1:11" x14ac:dyDescent="0.35">
      <c r="A4618" s="13"/>
      <c r="E4618" s="8"/>
      <c r="F4618" s="1"/>
      <c r="J4618" s="2"/>
      <c r="K4618" s="7"/>
    </row>
    <row r="4619" spans="1:11" x14ac:dyDescent="0.35">
      <c r="A4619" s="13"/>
      <c r="E4619" s="8"/>
      <c r="F4619" s="1"/>
      <c r="J4619" s="2"/>
      <c r="K4619" s="7"/>
    </row>
    <row r="4620" spans="1:11" x14ac:dyDescent="0.35">
      <c r="A4620" s="13"/>
      <c r="E4620" s="8"/>
      <c r="F4620" s="1"/>
      <c r="J4620" s="2"/>
      <c r="K4620" s="7"/>
    </row>
    <row r="4621" spans="1:11" x14ac:dyDescent="0.35">
      <c r="A4621" s="13"/>
      <c r="E4621" s="8"/>
      <c r="F4621" s="1"/>
      <c r="J4621" s="2"/>
      <c r="K4621" s="7"/>
    </row>
    <row r="4622" spans="1:11" x14ac:dyDescent="0.35">
      <c r="A4622" s="13"/>
      <c r="E4622" s="8"/>
      <c r="F4622" s="1"/>
      <c r="J4622" s="2"/>
      <c r="K4622" s="7"/>
    </row>
    <row r="4623" spans="1:11" x14ac:dyDescent="0.35">
      <c r="A4623" s="13"/>
      <c r="E4623" s="8"/>
      <c r="F4623" s="1"/>
      <c r="J4623" s="2"/>
      <c r="K4623" s="7"/>
    </row>
    <row r="4624" spans="1:11" x14ac:dyDescent="0.35">
      <c r="A4624" s="13"/>
      <c r="E4624" s="8"/>
      <c r="F4624" s="1"/>
      <c r="J4624" s="2"/>
      <c r="K4624" s="7"/>
    </row>
    <row r="4625" spans="1:11" x14ac:dyDescent="0.35">
      <c r="A4625" s="13"/>
      <c r="E4625" s="8"/>
      <c r="F4625" s="1"/>
      <c r="J4625" s="2"/>
      <c r="K4625" s="7"/>
    </row>
    <row r="4626" spans="1:11" x14ac:dyDescent="0.35">
      <c r="A4626" s="13"/>
      <c r="E4626" s="8"/>
      <c r="F4626" s="1"/>
      <c r="J4626" s="2"/>
      <c r="K4626" s="7"/>
    </row>
    <row r="4627" spans="1:11" x14ac:dyDescent="0.35">
      <c r="A4627" s="13"/>
      <c r="E4627" s="8"/>
      <c r="F4627" s="1"/>
      <c r="J4627" s="2"/>
      <c r="K4627" s="7"/>
    </row>
    <row r="4628" spans="1:11" x14ac:dyDescent="0.35">
      <c r="A4628" s="13"/>
      <c r="E4628" s="8"/>
      <c r="F4628" s="1"/>
      <c r="J4628" s="2"/>
      <c r="K4628" s="7"/>
    </row>
    <row r="4629" spans="1:11" x14ac:dyDescent="0.35">
      <c r="A4629" s="13"/>
      <c r="E4629" s="8"/>
      <c r="F4629" s="1"/>
      <c r="J4629" s="2"/>
      <c r="K4629" s="7"/>
    </row>
    <row r="4630" spans="1:11" x14ac:dyDescent="0.35">
      <c r="A4630" s="13"/>
      <c r="E4630" s="8"/>
      <c r="F4630" s="1"/>
      <c r="J4630" s="2"/>
      <c r="K4630" s="7"/>
    </row>
    <row r="4631" spans="1:11" x14ac:dyDescent="0.35">
      <c r="A4631" s="13"/>
      <c r="E4631" s="8"/>
      <c r="F4631" s="1"/>
      <c r="J4631" s="2"/>
      <c r="K4631" s="7"/>
    </row>
    <row r="4632" spans="1:11" x14ac:dyDescent="0.35">
      <c r="A4632" s="13"/>
      <c r="E4632" s="8"/>
      <c r="F4632" s="1"/>
      <c r="J4632" s="2"/>
      <c r="K4632" s="7"/>
    </row>
    <row r="4633" spans="1:11" x14ac:dyDescent="0.35">
      <c r="A4633" s="13"/>
      <c r="E4633" s="8"/>
      <c r="F4633" s="1"/>
      <c r="J4633" s="2"/>
      <c r="K4633" s="7"/>
    </row>
    <row r="4634" spans="1:11" x14ac:dyDescent="0.35">
      <c r="A4634" s="13"/>
      <c r="E4634" s="8"/>
      <c r="F4634" s="1"/>
      <c r="J4634" s="2"/>
      <c r="K4634" s="7"/>
    </row>
    <row r="4635" spans="1:11" x14ac:dyDescent="0.35">
      <c r="A4635" s="13"/>
      <c r="E4635" s="8"/>
      <c r="F4635" s="1"/>
      <c r="J4635" s="2"/>
      <c r="K4635" s="7"/>
    </row>
    <row r="4636" spans="1:11" x14ac:dyDescent="0.35">
      <c r="A4636" s="13"/>
      <c r="E4636" s="8"/>
      <c r="F4636" s="1"/>
      <c r="J4636" s="2"/>
      <c r="K4636" s="7"/>
    </row>
    <row r="4637" spans="1:11" x14ac:dyDescent="0.35">
      <c r="A4637" s="13"/>
      <c r="E4637" s="8"/>
      <c r="F4637" s="1"/>
      <c r="J4637" s="2"/>
      <c r="K4637" s="7"/>
    </row>
    <row r="4638" spans="1:11" x14ac:dyDescent="0.35">
      <c r="A4638" s="13"/>
      <c r="E4638" s="8"/>
      <c r="F4638" s="1"/>
      <c r="J4638" s="2"/>
      <c r="K4638" s="7"/>
    </row>
    <row r="4639" spans="1:11" x14ac:dyDescent="0.35">
      <c r="A4639" s="13"/>
      <c r="E4639" s="8"/>
      <c r="F4639" s="1"/>
      <c r="J4639" s="2"/>
      <c r="K4639" s="7"/>
    </row>
    <row r="4640" spans="1:11" x14ac:dyDescent="0.35">
      <c r="A4640" s="13"/>
      <c r="E4640" s="8"/>
      <c r="F4640" s="1"/>
      <c r="J4640" s="2"/>
      <c r="K4640" s="7"/>
    </row>
    <row r="4641" spans="1:11" x14ac:dyDescent="0.35">
      <c r="A4641" s="13"/>
      <c r="E4641" s="8"/>
      <c r="F4641" s="1"/>
      <c r="J4641" s="2"/>
      <c r="K4641" s="7"/>
    </row>
    <row r="4642" spans="1:11" x14ac:dyDescent="0.35">
      <c r="A4642" s="13"/>
      <c r="E4642" s="8"/>
      <c r="F4642" s="1"/>
      <c r="J4642" s="2"/>
      <c r="K4642" s="7"/>
    </row>
    <row r="4643" spans="1:11" x14ac:dyDescent="0.35">
      <c r="A4643" s="13"/>
      <c r="E4643" s="8"/>
      <c r="F4643" s="1"/>
      <c r="J4643" s="2"/>
      <c r="K4643" s="7"/>
    </row>
    <row r="4644" spans="1:11" x14ac:dyDescent="0.35">
      <c r="A4644" s="13"/>
      <c r="E4644" s="8"/>
      <c r="F4644" s="1"/>
      <c r="J4644" s="2"/>
      <c r="K4644" s="7"/>
    </row>
    <row r="4645" spans="1:11" x14ac:dyDescent="0.35">
      <c r="A4645" s="13"/>
      <c r="E4645" s="8"/>
      <c r="F4645" s="1"/>
      <c r="J4645" s="2"/>
      <c r="K4645" s="7"/>
    </row>
    <row r="4646" spans="1:11" x14ac:dyDescent="0.35">
      <c r="A4646" s="13"/>
      <c r="E4646" s="8"/>
      <c r="F4646" s="1"/>
      <c r="J4646" s="2"/>
      <c r="K4646" s="7"/>
    </row>
    <row r="4647" spans="1:11" x14ac:dyDescent="0.35">
      <c r="A4647" s="13"/>
      <c r="E4647" s="8"/>
      <c r="F4647" s="1"/>
      <c r="J4647" s="2"/>
      <c r="K4647" s="7"/>
    </row>
    <row r="4648" spans="1:11" x14ac:dyDescent="0.35">
      <c r="A4648" s="13"/>
      <c r="E4648" s="8"/>
      <c r="F4648" s="1"/>
      <c r="J4648" s="2"/>
      <c r="K4648" s="7"/>
    </row>
    <row r="4649" spans="1:11" x14ac:dyDescent="0.35">
      <c r="A4649" s="13"/>
      <c r="E4649" s="8"/>
      <c r="F4649" s="1"/>
      <c r="J4649" s="2"/>
      <c r="K4649" s="7"/>
    </row>
    <row r="4650" spans="1:11" x14ac:dyDescent="0.35">
      <c r="A4650" s="13"/>
      <c r="E4650" s="8"/>
      <c r="F4650" s="1"/>
      <c r="J4650" s="2"/>
      <c r="K4650" s="7"/>
    </row>
    <row r="4651" spans="1:11" x14ac:dyDescent="0.35">
      <c r="A4651" s="13"/>
      <c r="E4651" s="8"/>
      <c r="F4651" s="1"/>
      <c r="J4651" s="2"/>
      <c r="K4651" s="7"/>
    </row>
    <row r="4652" spans="1:11" x14ac:dyDescent="0.35">
      <c r="A4652" s="13"/>
      <c r="E4652" s="8"/>
      <c r="F4652" s="1"/>
      <c r="J4652" s="2"/>
      <c r="K4652" s="7"/>
    </row>
    <row r="4653" spans="1:11" x14ac:dyDescent="0.35">
      <c r="A4653" s="13"/>
      <c r="E4653" s="8"/>
      <c r="F4653" s="1"/>
      <c r="J4653" s="2"/>
      <c r="K4653" s="7"/>
    </row>
    <row r="4654" spans="1:11" x14ac:dyDescent="0.35">
      <c r="A4654" s="13"/>
      <c r="E4654" s="8"/>
      <c r="F4654" s="1"/>
      <c r="J4654" s="2"/>
      <c r="K4654" s="7"/>
    </row>
    <row r="4655" spans="1:11" x14ac:dyDescent="0.35">
      <c r="A4655" s="13"/>
      <c r="E4655" s="8"/>
      <c r="F4655" s="1"/>
      <c r="J4655" s="2"/>
      <c r="K4655" s="7"/>
    </row>
    <row r="4656" spans="1:11" x14ac:dyDescent="0.35">
      <c r="A4656" s="13"/>
      <c r="E4656" s="8"/>
      <c r="F4656" s="1"/>
      <c r="J4656" s="2"/>
      <c r="K4656" s="7"/>
    </row>
    <row r="4657" spans="1:11" x14ac:dyDescent="0.35">
      <c r="A4657" s="13"/>
      <c r="E4657" s="8"/>
      <c r="F4657" s="1"/>
      <c r="J4657" s="2"/>
      <c r="K4657" s="7"/>
    </row>
    <row r="4658" spans="1:11" x14ac:dyDescent="0.35">
      <c r="A4658" s="13"/>
      <c r="E4658" s="8"/>
      <c r="F4658" s="1"/>
      <c r="J4658" s="2"/>
      <c r="K4658" s="7"/>
    </row>
    <row r="4659" spans="1:11" x14ac:dyDescent="0.35">
      <c r="A4659" s="13"/>
      <c r="E4659" s="8"/>
      <c r="F4659" s="1"/>
      <c r="J4659" s="2"/>
      <c r="K4659" s="7"/>
    </row>
    <row r="4660" spans="1:11" x14ac:dyDescent="0.35">
      <c r="A4660" s="13"/>
      <c r="E4660" s="8"/>
      <c r="F4660" s="1"/>
      <c r="J4660" s="2"/>
      <c r="K4660" s="7"/>
    </row>
    <row r="4661" spans="1:11" x14ac:dyDescent="0.35">
      <c r="A4661" s="13"/>
      <c r="E4661" s="8"/>
      <c r="F4661" s="1"/>
      <c r="J4661" s="2"/>
      <c r="K4661" s="7"/>
    </row>
    <row r="4662" spans="1:11" x14ac:dyDescent="0.35">
      <c r="A4662" s="13"/>
      <c r="E4662" s="8"/>
      <c r="F4662" s="1"/>
      <c r="J4662" s="2"/>
      <c r="K4662" s="7"/>
    </row>
    <row r="4663" spans="1:11" x14ac:dyDescent="0.35">
      <c r="A4663" s="13"/>
      <c r="E4663" s="8"/>
      <c r="F4663" s="1"/>
      <c r="J4663" s="2"/>
      <c r="K4663" s="7"/>
    </row>
    <row r="4664" spans="1:11" x14ac:dyDescent="0.35">
      <c r="A4664" s="13"/>
      <c r="E4664" s="8"/>
      <c r="F4664" s="1"/>
      <c r="J4664" s="2"/>
      <c r="K4664" s="7"/>
    </row>
    <row r="4665" spans="1:11" x14ac:dyDescent="0.35">
      <c r="A4665" s="13"/>
      <c r="E4665" s="8"/>
      <c r="F4665" s="1"/>
      <c r="J4665" s="2"/>
      <c r="K4665" s="7"/>
    </row>
    <row r="4666" spans="1:11" x14ac:dyDescent="0.35">
      <c r="A4666" s="13"/>
      <c r="E4666" s="8"/>
      <c r="F4666" s="1"/>
      <c r="J4666" s="2"/>
      <c r="K4666" s="7"/>
    </row>
    <row r="4667" spans="1:11" x14ac:dyDescent="0.35">
      <c r="A4667" s="13"/>
      <c r="E4667" s="8"/>
      <c r="F4667" s="1"/>
      <c r="J4667" s="2"/>
      <c r="K4667" s="7"/>
    </row>
    <row r="4668" spans="1:11" x14ac:dyDescent="0.35">
      <c r="A4668" s="13"/>
      <c r="E4668" s="8"/>
      <c r="F4668" s="1"/>
      <c r="J4668" s="2"/>
      <c r="K4668" s="7"/>
    </row>
    <row r="4669" spans="1:11" x14ac:dyDescent="0.35">
      <c r="A4669" s="13"/>
      <c r="E4669" s="8"/>
      <c r="F4669" s="1"/>
      <c r="J4669" s="2"/>
      <c r="K4669" s="7"/>
    </row>
    <row r="4670" spans="1:11" x14ac:dyDescent="0.35">
      <c r="A4670" s="13"/>
      <c r="E4670" s="8"/>
      <c r="F4670" s="1"/>
      <c r="J4670" s="2"/>
      <c r="K4670" s="7"/>
    </row>
    <row r="4671" spans="1:11" x14ac:dyDescent="0.35">
      <c r="A4671" s="13"/>
      <c r="E4671" s="8"/>
      <c r="F4671" s="1"/>
      <c r="J4671" s="2"/>
      <c r="K4671" s="7"/>
    </row>
    <row r="4672" spans="1:11" x14ac:dyDescent="0.35">
      <c r="A4672" s="13"/>
      <c r="E4672" s="8"/>
      <c r="F4672" s="1"/>
      <c r="J4672" s="2"/>
      <c r="K4672" s="7"/>
    </row>
    <row r="4673" spans="1:11" x14ac:dyDescent="0.35">
      <c r="A4673" s="13"/>
      <c r="E4673" s="8"/>
      <c r="F4673" s="1"/>
      <c r="J4673" s="2"/>
      <c r="K4673" s="7"/>
    </row>
    <row r="4674" spans="1:11" x14ac:dyDescent="0.35">
      <c r="A4674" s="13"/>
      <c r="E4674" s="8"/>
      <c r="F4674" s="1"/>
      <c r="J4674" s="2"/>
      <c r="K4674" s="7"/>
    </row>
    <row r="4675" spans="1:11" x14ac:dyDescent="0.35">
      <c r="A4675" s="13"/>
      <c r="E4675" s="8"/>
      <c r="F4675" s="1"/>
      <c r="J4675" s="2"/>
      <c r="K4675" s="7"/>
    </row>
    <row r="4676" spans="1:11" x14ac:dyDescent="0.35">
      <c r="A4676" s="13"/>
      <c r="E4676" s="8"/>
      <c r="F4676" s="1"/>
      <c r="J4676" s="2"/>
      <c r="K4676" s="7"/>
    </row>
    <row r="4677" spans="1:11" x14ac:dyDescent="0.35">
      <c r="A4677" s="13"/>
      <c r="E4677" s="8"/>
      <c r="F4677" s="1"/>
      <c r="J4677" s="2"/>
      <c r="K4677" s="7"/>
    </row>
    <row r="4678" spans="1:11" x14ac:dyDescent="0.35">
      <c r="A4678" s="13"/>
      <c r="E4678" s="8"/>
      <c r="F4678" s="1"/>
      <c r="J4678" s="2"/>
      <c r="K4678" s="7"/>
    </row>
    <row r="4679" spans="1:11" x14ac:dyDescent="0.35">
      <c r="A4679" s="13"/>
      <c r="E4679" s="8"/>
      <c r="F4679" s="1"/>
      <c r="J4679" s="2"/>
      <c r="K4679" s="7"/>
    </row>
    <row r="4680" spans="1:11" x14ac:dyDescent="0.35">
      <c r="A4680" s="13"/>
      <c r="E4680" s="8"/>
      <c r="F4680" s="1"/>
      <c r="J4680" s="2"/>
      <c r="K4680" s="7"/>
    </row>
    <row r="4681" spans="1:11" x14ac:dyDescent="0.35">
      <c r="A4681" s="13"/>
      <c r="E4681" s="8"/>
      <c r="F4681" s="1"/>
      <c r="J4681" s="2"/>
      <c r="K4681" s="7"/>
    </row>
    <row r="4682" spans="1:11" x14ac:dyDescent="0.35">
      <c r="A4682" s="13"/>
      <c r="E4682" s="8"/>
      <c r="F4682" s="1"/>
      <c r="J4682" s="2"/>
      <c r="K4682" s="7"/>
    </row>
    <row r="4683" spans="1:11" x14ac:dyDescent="0.35">
      <c r="A4683" s="13"/>
      <c r="E4683" s="8"/>
      <c r="F4683" s="1"/>
      <c r="J4683" s="2"/>
      <c r="K4683" s="7"/>
    </row>
    <row r="4684" spans="1:11" x14ac:dyDescent="0.35">
      <c r="A4684" s="13"/>
      <c r="E4684" s="8"/>
      <c r="F4684" s="1"/>
      <c r="J4684" s="2"/>
      <c r="K4684" s="7"/>
    </row>
    <row r="4685" spans="1:11" x14ac:dyDescent="0.35">
      <c r="A4685" s="13"/>
      <c r="E4685" s="8"/>
      <c r="F4685" s="1"/>
      <c r="J4685" s="2"/>
      <c r="K4685" s="7"/>
    </row>
    <row r="4686" spans="1:11" x14ac:dyDescent="0.35">
      <c r="A4686" s="13"/>
      <c r="E4686" s="8"/>
      <c r="F4686" s="1"/>
      <c r="J4686" s="2"/>
      <c r="K4686" s="7"/>
    </row>
    <row r="4687" spans="1:11" x14ac:dyDescent="0.35">
      <c r="A4687" s="13"/>
      <c r="E4687" s="8"/>
      <c r="F4687" s="1"/>
      <c r="J4687" s="2"/>
      <c r="K4687" s="7"/>
    </row>
    <row r="4688" spans="1:11" x14ac:dyDescent="0.35">
      <c r="A4688" s="13"/>
      <c r="E4688" s="8"/>
      <c r="F4688" s="1"/>
      <c r="J4688" s="2"/>
      <c r="K4688" s="7"/>
    </row>
    <row r="4689" spans="1:11" x14ac:dyDescent="0.35">
      <c r="A4689" s="13"/>
      <c r="E4689" s="8"/>
      <c r="F4689" s="1"/>
      <c r="J4689" s="2"/>
      <c r="K4689" s="7"/>
    </row>
    <row r="4690" spans="1:11" x14ac:dyDescent="0.35">
      <c r="A4690" s="13"/>
      <c r="E4690" s="8"/>
      <c r="F4690" s="1"/>
      <c r="J4690" s="2"/>
      <c r="K4690" s="7"/>
    </row>
    <row r="4691" spans="1:11" x14ac:dyDescent="0.35">
      <c r="A4691" s="13"/>
      <c r="E4691" s="8"/>
      <c r="F4691" s="1"/>
      <c r="J4691" s="2"/>
      <c r="K4691" s="7"/>
    </row>
    <row r="4692" spans="1:11" x14ac:dyDescent="0.35">
      <c r="A4692" s="13"/>
      <c r="E4692" s="8"/>
      <c r="F4692" s="1"/>
      <c r="J4692" s="2"/>
      <c r="K4692" s="7"/>
    </row>
    <row r="4693" spans="1:11" x14ac:dyDescent="0.35">
      <c r="A4693" s="13"/>
      <c r="E4693" s="8"/>
      <c r="F4693" s="1"/>
      <c r="J4693" s="2"/>
      <c r="K4693" s="7"/>
    </row>
    <row r="4694" spans="1:11" x14ac:dyDescent="0.35">
      <c r="A4694" s="13"/>
      <c r="E4694" s="8"/>
      <c r="F4694" s="1"/>
      <c r="J4694" s="2"/>
      <c r="K4694" s="7"/>
    </row>
    <row r="4695" spans="1:11" x14ac:dyDescent="0.35">
      <c r="A4695" s="13"/>
      <c r="E4695" s="8"/>
      <c r="F4695" s="1"/>
      <c r="J4695" s="2"/>
      <c r="K4695" s="7"/>
    </row>
    <row r="4696" spans="1:11" x14ac:dyDescent="0.35">
      <c r="A4696" s="13"/>
      <c r="E4696" s="8"/>
      <c r="F4696" s="1"/>
      <c r="J4696" s="2"/>
      <c r="K4696" s="7"/>
    </row>
    <row r="4697" spans="1:11" x14ac:dyDescent="0.35">
      <c r="A4697" s="13"/>
      <c r="E4697" s="8"/>
      <c r="F4697" s="1"/>
      <c r="J4697" s="2"/>
      <c r="K4697" s="7"/>
    </row>
    <row r="4698" spans="1:11" x14ac:dyDescent="0.35">
      <c r="A4698" s="13"/>
      <c r="E4698" s="8"/>
      <c r="F4698" s="1"/>
      <c r="J4698" s="2"/>
      <c r="K4698" s="7"/>
    </row>
    <row r="4699" spans="1:11" x14ac:dyDescent="0.35">
      <c r="A4699" s="13"/>
      <c r="E4699" s="8"/>
      <c r="F4699" s="1"/>
      <c r="J4699" s="2"/>
      <c r="K4699" s="7"/>
    </row>
    <row r="4700" spans="1:11" x14ac:dyDescent="0.35">
      <c r="A4700" s="13"/>
      <c r="E4700" s="8"/>
      <c r="F4700" s="1"/>
      <c r="J4700" s="2"/>
      <c r="K4700" s="7"/>
    </row>
    <row r="4701" spans="1:11" x14ac:dyDescent="0.35">
      <c r="A4701" s="13"/>
      <c r="E4701" s="8"/>
      <c r="F4701" s="1"/>
      <c r="J4701" s="2"/>
      <c r="K4701" s="7"/>
    </row>
    <row r="4702" spans="1:11" x14ac:dyDescent="0.35">
      <c r="A4702" s="13"/>
      <c r="E4702" s="8"/>
      <c r="F4702" s="1"/>
      <c r="J4702" s="2"/>
      <c r="K4702" s="7"/>
    </row>
    <row r="4703" spans="1:11" x14ac:dyDescent="0.35">
      <c r="A4703" s="13"/>
      <c r="E4703" s="8"/>
      <c r="F4703" s="1"/>
      <c r="J4703" s="2"/>
      <c r="K4703" s="7"/>
    </row>
    <row r="4704" spans="1:11" x14ac:dyDescent="0.35">
      <c r="A4704" s="13"/>
      <c r="E4704" s="8"/>
      <c r="F4704" s="1"/>
      <c r="J4704" s="2"/>
      <c r="K4704" s="7"/>
    </row>
    <row r="4705" spans="1:11" x14ac:dyDescent="0.35">
      <c r="A4705" s="13"/>
      <c r="E4705" s="8"/>
      <c r="F4705" s="1"/>
      <c r="J4705" s="2"/>
      <c r="K4705" s="7"/>
    </row>
    <row r="4706" spans="1:11" x14ac:dyDescent="0.35">
      <c r="A4706" s="13"/>
      <c r="E4706" s="8"/>
      <c r="F4706" s="1"/>
      <c r="J4706" s="2"/>
      <c r="K4706" s="7"/>
    </row>
    <row r="4707" spans="1:11" x14ac:dyDescent="0.35">
      <c r="A4707" s="13"/>
      <c r="E4707" s="8"/>
      <c r="F4707" s="1"/>
      <c r="J4707" s="2"/>
      <c r="K4707" s="7"/>
    </row>
    <row r="4708" spans="1:11" x14ac:dyDescent="0.35">
      <c r="A4708" s="13"/>
      <c r="E4708" s="8"/>
      <c r="F4708" s="1"/>
      <c r="J4708" s="2"/>
      <c r="K4708" s="7"/>
    </row>
    <row r="4709" spans="1:11" x14ac:dyDescent="0.35">
      <c r="A4709" s="13"/>
      <c r="E4709" s="8"/>
      <c r="F4709" s="1"/>
      <c r="J4709" s="2"/>
      <c r="K4709" s="7"/>
    </row>
    <row r="4710" spans="1:11" x14ac:dyDescent="0.35">
      <c r="A4710" s="13"/>
      <c r="E4710" s="8"/>
      <c r="F4710" s="1"/>
      <c r="J4710" s="2"/>
      <c r="K4710" s="7"/>
    </row>
    <row r="4711" spans="1:11" x14ac:dyDescent="0.35">
      <c r="A4711" s="13"/>
      <c r="E4711" s="8"/>
      <c r="F4711" s="1"/>
      <c r="J4711" s="2"/>
      <c r="K4711" s="7"/>
    </row>
    <row r="4712" spans="1:11" x14ac:dyDescent="0.35">
      <c r="A4712" s="13"/>
      <c r="E4712" s="8"/>
      <c r="F4712" s="1"/>
      <c r="J4712" s="2"/>
      <c r="K4712" s="7"/>
    </row>
    <row r="4713" spans="1:11" x14ac:dyDescent="0.35">
      <c r="A4713" s="13"/>
      <c r="E4713" s="8"/>
      <c r="F4713" s="1"/>
      <c r="J4713" s="2"/>
      <c r="K4713" s="7"/>
    </row>
    <row r="4714" spans="1:11" x14ac:dyDescent="0.35">
      <c r="A4714" s="13"/>
      <c r="E4714" s="8"/>
      <c r="F4714" s="1"/>
      <c r="J4714" s="2"/>
      <c r="K4714" s="7"/>
    </row>
    <row r="4715" spans="1:11" x14ac:dyDescent="0.35">
      <c r="A4715" s="13"/>
      <c r="E4715" s="8"/>
      <c r="F4715" s="1"/>
      <c r="J4715" s="2"/>
      <c r="K4715" s="7"/>
    </row>
    <row r="4716" spans="1:11" x14ac:dyDescent="0.35">
      <c r="A4716" s="13"/>
      <c r="E4716" s="8"/>
      <c r="F4716" s="1"/>
      <c r="J4716" s="2"/>
      <c r="K4716" s="7"/>
    </row>
    <row r="4717" spans="1:11" x14ac:dyDescent="0.35">
      <c r="A4717" s="13"/>
      <c r="E4717" s="8"/>
      <c r="F4717" s="1"/>
      <c r="J4717" s="2"/>
      <c r="K4717" s="7"/>
    </row>
    <row r="4718" spans="1:11" x14ac:dyDescent="0.35">
      <c r="A4718" s="13"/>
      <c r="E4718" s="8"/>
      <c r="F4718" s="1"/>
      <c r="J4718" s="2"/>
      <c r="K4718" s="7"/>
    </row>
    <row r="4719" spans="1:11" x14ac:dyDescent="0.35">
      <c r="A4719" s="13"/>
      <c r="E4719" s="8"/>
      <c r="F4719" s="1"/>
      <c r="J4719" s="2"/>
      <c r="K4719" s="7"/>
    </row>
    <row r="4720" spans="1:11" x14ac:dyDescent="0.35">
      <c r="A4720" s="13"/>
      <c r="E4720" s="8"/>
      <c r="F4720" s="1"/>
      <c r="J4720" s="2"/>
      <c r="K4720" s="7"/>
    </row>
    <row r="4721" spans="1:11" x14ac:dyDescent="0.35">
      <c r="A4721" s="13"/>
      <c r="E4721" s="8"/>
      <c r="F4721" s="1"/>
      <c r="J4721" s="2"/>
      <c r="K4721" s="7"/>
    </row>
    <row r="4722" spans="1:11" x14ac:dyDescent="0.35">
      <c r="A4722" s="13"/>
      <c r="E4722" s="8"/>
      <c r="F4722" s="1"/>
      <c r="J4722" s="2"/>
      <c r="K4722" s="7"/>
    </row>
    <row r="4723" spans="1:11" x14ac:dyDescent="0.35">
      <c r="A4723" s="13"/>
      <c r="E4723" s="8"/>
      <c r="F4723" s="1"/>
      <c r="J4723" s="2"/>
      <c r="K4723" s="7"/>
    </row>
    <row r="4724" spans="1:11" x14ac:dyDescent="0.35">
      <c r="A4724" s="13"/>
      <c r="E4724" s="8"/>
      <c r="F4724" s="1"/>
      <c r="J4724" s="2"/>
      <c r="K4724" s="7"/>
    </row>
    <row r="4725" spans="1:11" x14ac:dyDescent="0.35">
      <c r="A4725" s="13"/>
      <c r="E4725" s="8"/>
      <c r="F4725" s="1"/>
      <c r="J4725" s="2"/>
      <c r="K4725" s="7"/>
    </row>
    <row r="4726" spans="1:11" x14ac:dyDescent="0.35">
      <c r="A4726" s="13"/>
      <c r="E4726" s="8"/>
      <c r="F4726" s="1"/>
      <c r="J4726" s="2"/>
      <c r="K4726" s="7"/>
    </row>
    <row r="4727" spans="1:11" x14ac:dyDescent="0.35">
      <c r="A4727" s="13"/>
      <c r="E4727" s="8"/>
      <c r="F4727" s="1"/>
      <c r="J4727" s="2"/>
      <c r="K4727" s="7"/>
    </row>
    <row r="4728" spans="1:11" x14ac:dyDescent="0.35">
      <c r="A4728" s="13"/>
      <c r="E4728" s="8"/>
      <c r="F4728" s="1"/>
      <c r="J4728" s="2"/>
      <c r="K4728" s="7"/>
    </row>
    <row r="4729" spans="1:11" x14ac:dyDescent="0.35">
      <c r="A4729" s="13"/>
      <c r="E4729" s="8"/>
      <c r="F4729" s="1"/>
      <c r="J4729" s="2"/>
      <c r="K4729" s="7"/>
    </row>
    <row r="4730" spans="1:11" x14ac:dyDescent="0.35">
      <c r="A4730" s="13"/>
      <c r="E4730" s="8"/>
      <c r="F4730" s="1"/>
      <c r="J4730" s="2"/>
      <c r="K4730" s="7"/>
    </row>
    <row r="4731" spans="1:11" x14ac:dyDescent="0.35">
      <c r="A4731" s="13"/>
      <c r="E4731" s="8"/>
      <c r="F4731" s="1"/>
      <c r="J4731" s="2"/>
      <c r="K4731" s="7"/>
    </row>
    <row r="4732" spans="1:11" x14ac:dyDescent="0.35">
      <c r="A4732" s="13"/>
      <c r="E4732" s="8"/>
      <c r="F4732" s="1"/>
      <c r="J4732" s="2"/>
      <c r="K4732" s="7"/>
    </row>
    <row r="4733" spans="1:11" x14ac:dyDescent="0.35">
      <c r="A4733" s="13"/>
      <c r="E4733" s="8"/>
      <c r="F4733" s="1"/>
      <c r="J4733" s="2"/>
      <c r="K4733" s="7"/>
    </row>
    <row r="4734" spans="1:11" x14ac:dyDescent="0.35">
      <c r="A4734" s="13"/>
      <c r="E4734" s="8"/>
      <c r="F4734" s="1"/>
      <c r="J4734" s="2"/>
      <c r="K4734" s="7"/>
    </row>
    <row r="4735" spans="1:11" x14ac:dyDescent="0.35">
      <c r="A4735" s="13"/>
      <c r="E4735" s="8"/>
      <c r="F4735" s="1"/>
      <c r="J4735" s="2"/>
      <c r="K4735" s="7"/>
    </row>
    <row r="4736" spans="1:11" x14ac:dyDescent="0.35">
      <c r="A4736" s="13"/>
      <c r="E4736" s="8"/>
      <c r="F4736" s="1"/>
      <c r="J4736" s="2"/>
      <c r="K4736" s="7"/>
    </row>
    <row r="4737" spans="1:11" x14ac:dyDescent="0.35">
      <c r="A4737" s="13"/>
      <c r="E4737" s="8"/>
      <c r="F4737" s="1"/>
      <c r="J4737" s="2"/>
      <c r="K4737" s="7"/>
    </row>
    <row r="4738" spans="1:11" x14ac:dyDescent="0.35">
      <c r="A4738" s="13"/>
      <c r="E4738" s="8"/>
      <c r="F4738" s="1"/>
      <c r="J4738" s="2"/>
      <c r="K4738" s="7"/>
    </row>
    <row r="4739" spans="1:11" x14ac:dyDescent="0.35">
      <c r="A4739" s="13"/>
      <c r="E4739" s="8"/>
      <c r="F4739" s="1"/>
      <c r="J4739" s="2"/>
      <c r="K4739" s="7"/>
    </row>
    <row r="4740" spans="1:11" x14ac:dyDescent="0.35">
      <c r="A4740" s="13"/>
      <c r="E4740" s="8"/>
      <c r="F4740" s="1"/>
      <c r="J4740" s="2"/>
      <c r="K4740" s="7"/>
    </row>
    <row r="4741" spans="1:11" x14ac:dyDescent="0.35">
      <c r="A4741" s="13"/>
      <c r="E4741" s="8"/>
      <c r="F4741" s="1"/>
      <c r="J4741" s="2"/>
      <c r="K4741" s="7"/>
    </row>
    <row r="4742" spans="1:11" x14ac:dyDescent="0.35">
      <c r="A4742" s="13"/>
      <c r="E4742" s="8"/>
      <c r="F4742" s="1"/>
      <c r="J4742" s="2"/>
      <c r="K4742" s="7"/>
    </row>
    <row r="4743" spans="1:11" x14ac:dyDescent="0.35">
      <c r="A4743" s="13"/>
      <c r="E4743" s="8"/>
      <c r="F4743" s="1"/>
      <c r="J4743" s="2"/>
      <c r="K4743" s="7"/>
    </row>
    <row r="4744" spans="1:11" x14ac:dyDescent="0.35">
      <c r="A4744" s="13"/>
      <c r="E4744" s="8"/>
      <c r="F4744" s="1"/>
      <c r="J4744" s="2"/>
      <c r="K4744" s="7"/>
    </row>
    <row r="4745" spans="1:11" x14ac:dyDescent="0.35">
      <c r="A4745" s="13"/>
      <c r="E4745" s="8"/>
      <c r="F4745" s="1"/>
      <c r="J4745" s="2"/>
      <c r="K4745" s="7"/>
    </row>
    <row r="4746" spans="1:11" x14ac:dyDescent="0.35">
      <c r="A4746" s="13"/>
      <c r="E4746" s="8"/>
      <c r="F4746" s="1"/>
      <c r="J4746" s="2"/>
      <c r="K4746" s="7"/>
    </row>
    <row r="4747" spans="1:11" x14ac:dyDescent="0.35">
      <c r="A4747" s="13"/>
      <c r="E4747" s="8"/>
      <c r="F4747" s="1"/>
      <c r="J4747" s="2"/>
      <c r="K4747" s="7"/>
    </row>
    <row r="4748" spans="1:11" x14ac:dyDescent="0.35">
      <c r="A4748" s="13"/>
      <c r="E4748" s="8"/>
      <c r="F4748" s="1"/>
      <c r="J4748" s="2"/>
      <c r="K4748" s="7"/>
    </row>
    <row r="4749" spans="1:11" x14ac:dyDescent="0.35">
      <c r="A4749" s="13"/>
      <c r="E4749" s="8"/>
      <c r="F4749" s="1"/>
      <c r="J4749" s="2"/>
      <c r="K4749" s="7"/>
    </row>
    <row r="4750" spans="1:11" x14ac:dyDescent="0.35">
      <c r="A4750" s="13"/>
      <c r="E4750" s="8"/>
      <c r="F4750" s="1"/>
      <c r="J4750" s="2"/>
      <c r="K4750" s="7"/>
    </row>
    <row r="4751" spans="1:11" x14ac:dyDescent="0.35">
      <c r="A4751" s="13"/>
      <c r="E4751" s="8"/>
      <c r="F4751" s="1"/>
      <c r="J4751" s="2"/>
      <c r="K4751" s="7"/>
    </row>
    <row r="4752" spans="1:11" x14ac:dyDescent="0.35">
      <c r="A4752" s="13"/>
      <c r="E4752" s="8"/>
      <c r="F4752" s="1"/>
      <c r="J4752" s="2"/>
      <c r="K4752" s="7"/>
    </row>
    <row r="4753" spans="1:11" x14ac:dyDescent="0.35">
      <c r="A4753" s="13"/>
      <c r="E4753" s="8"/>
      <c r="F4753" s="1"/>
      <c r="J4753" s="2"/>
      <c r="K4753" s="7"/>
    </row>
    <row r="4754" spans="1:11" x14ac:dyDescent="0.35">
      <c r="A4754" s="13"/>
      <c r="E4754" s="8"/>
      <c r="F4754" s="1"/>
      <c r="J4754" s="2"/>
      <c r="K4754" s="7"/>
    </row>
    <row r="4755" spans="1:11" x14ac:dyDescent="0.35">
      <c r="A4755" s="13"/>
      <c r="E4755" s="8"/>
      <c r="F4755" s="1"/>
      <c r="J4755" s="2"/>
      <c r="K4755" s="7"/>
    </row>
    <row r="4756" spans="1:11" x14ac:dyDescent="0.35">
      <c r="A4756" s="13"/>
      <c r="E4756" s="8"/>
      <c r="F4756" s="1"/>
      <c r="J4756" s="2"/>
      <c r="K4756" s="7"/>
    </row>
    <row r="4757" spans="1:11" x14ac:dyDescent="0.35">
      <c r="A4757" s="13"/>
      <c r="E4757" s="8"/>
      <c r="F4757" s="1"/>
      <c r="J4757" s="2"/>
      <c r="K4757" s="7"/>
    </row>
    <row r="4758" spans="1:11" x14ac:dyDescent="0.35">
      <c r="A4758" s="13"/>
      <c r="E4758" s="8"/>
      <c r="F4758" s="1"/>
      <c r="J4758" s="2"/>
      <c r="K4758" s="7"/>
    </row>
    <row r="4759" spans="1:11" x14ac:dyDescent="0.35">
      <c r="A4759" s="13"/>
      <c r="E4759" s="8"/>
      <c r="F4759" s="1"/>
      <c r="J4759" s="2"/>
      <c r="K4759" s="7"/>
    </row>
    <row r="4760" spans="1:11" x14ac:dyDescent="0.35">
      <c r="A4760" s="13"/>
      <c r="E4760" s="8"/>
      <c r="F4760" s="1"/>
      <c r="J4760" s="2"/>
      <c r="K4760" s="7"/>
    </row>
    <row r="4761" spans="1:11" x14ac:dyDescent="0.35">
      <c r="A4761" s="13"/>
      <c r="E4761" s="8"/>
      <c r="F4761" s="1"/>
      <c r="J4761" s="2"/>
      <c r="K4761" s="7"/>
    </row>
    <row r="4762" spans="1:11" x14ac:dyDescent="0.35">
      <c r="A4762" s="13"/>
      <c r="E4762" s="8"/>
      <c r="F4762" s="1"/>
      <c r="J4762" s="2"/>
      <c r="K4762" s="7"/>
    </row>
    <row r="4763" spans="1:11" x14ac:dyDescent="0.35">
      <c r="A4763" s="13"/>
      <c r="E4763" s="8"/>
      <c r="F4763" s="1"/>
      <c r="J4763" s="2"/>
      <c r="K4763" s="7"/>
    </row>
    <row r="4764" spans="1:11" x14ac:dyDescent="0.35">
      <c r="A4764" s="13"/>
      <c r="E4764" s="8"/>
      <c r="F4764" s="1"/>
      <c r="J4764" s="2"/>
      <c r="K4764" s="7"/>
    </row>
    <row r="4765" spans="1:11" x14ac:dyDescent="0.35">
      <c r="A4765" s="13"/>
      <c r="E4765" s="8"/>
      <c r="F4765" s="1"/>
      <c r="J4765" s="2"/>
      <c r="K4765" s="7"/>
    </row>
    <row r="4766" spans="1:11" x14ac:dyDescent="0.35">
      <c r="A4766" s="13"/>
      <c r="E4766" s="8"/>
      <c r="F4766" s="1"/>
      <c r="J4766" s="2"/>
      <c r="K4766" s="7"/>
    </row>
    <row r="4767" spans="1:11" x14ac:dyDescent="0.35">
      <c r="A4767" s="13"/>
      <c r="E4767" s="8"/>
      <c r="F4767" s="1"/>
      <c r="J4767" s="2"/>
      <c r="K4767" s="7"/>
    </row>
    <row r="4768" spans="1:11" x14ac:dyDescent="0.35">
      <c r="A4768" s="13"/>
      <c r="E4768" s="8"/>
      <c r="F4768" s="1"/>
      <c r="J4768" s="2"/>
      <c r="K4768" s="7"/>
    </row>
    <row r="4769" spans="1:11" x14ac:dyDescent="0.35">
      <c r="A4769" s="13"/>
      <c r="E4769" s="8"/>
      <c r="F4769" s="1"/>
      <c r="J4769" s="2"/>
      <c r="K4769" s="7"/>
    </row>
    <row r="4770" spans="1:11" x14ac:dyDescent="0.35">
      <c r="A4770" s="13"/>
      <c r="E4770" s="8"/>
      <c r="F4770" s="1"/>
      <c r="J4770" s="2"/>
      <c r="K4770" s="7"/>
    </row>
    <row r="4771" spans="1:11" x14ac:dyDescent="0.35">
      <c r="A4771" s="13"/>
      <c r="E4771" s="8"/>
      <c r="F4771" s="1"/>
      <c r="J4771" s="2"/>
      <c r="K4771" s="7"/>
    </row>
    <row r="4772" spans="1:11" x14ac:dyDescent="0.35">
      <c r="A4772" s="13"/>
      <c r="E4772" s="8"/>
      <c r="F4772" s="1"/>
      <c r="J4772" s="2"/>
      <c r="K4772" s="7"/>
    </row>
    <row r="4773" spans="1:11" x14ac:dyDescent="0.35">
      <c r="A4773" s="13"/>
      <c r="E4773" s="8"/>
      <c r="F4773" s="1"/>
      <c r="J4773" s="2"/>
      <c r="K4773" s="7"/>
    </row>
    <row r="4774" spans="1:11" x14ac:dyDescent="0.35">
      <c r="A4774" s="13"/>
      <c r="E4774" s="8"/>
      <c r="F4774" s="1"/>
      <c r="J4774" s="2"/>
      <c r="K4774" s="7"/>
    </row>
    <row r="4775" spans="1:11" x14ac:dyDescent="0.35">
      <c r="A4775" s="13"/>
      <c r="E4775" s="8"/>
      <c r="F4775" s="1"/>
      <c r="J4775" s="2"/>
      <c r="K4775" s="7"/>
    </row>
    <row r="4776" spans="1:11" x14ac:dyDescent="0.35">
      <c r="A4776" s="13"/>
      <c r="E4776" s="8"/>
      <c r="F4776" s="1"/>
      <c r="J4776" s="2"/>
      <c r="K4776" s="7"/>
    </row>
    <row r="4777" spans="1:11" x14ac:dyDescent="0.35">
      <c r="A4777" s="13"/>
      <c r="E4777" s="8"/>
      <c r="F4777" s="1"/>
      <c r="J4777" s="2"/>
      <c r="K4777" s="7"/>
    </row>
    <row r="4778" spans="1:11" x14ac:dyDescent="0.35">
      <c r="A4778" s="13"/>
      <c r="E4778" s="8"/>
      <c r="F4778" s="1"/>
      <c r="J4778" s="2"/>
      <c r="K4778" s="7"/>
    </row>
    <row r="4779" spans="1:11" x14ac:dyDescent="0.35">
      <c r="A4779" s="13"/>
      <c r="E4779" s="8"/>
      <c r="F4779" s="1"/>
      <c r="J4779" s="2"/>
      <c r="K4779" s="7"/>
    </row>
    <row r="4780" spans="1:11" x14ac:dyDescent="0.35">
      <c r="A4780" s="13"/>
      <c r="E4780" s="8"/>
      <c r="F4780" s="1"/>
      <c r="J4780" s="2"/>
      <c r="K4780" s="7"/>
    </row>
    <row r="4781" spans="1:11" x14ac:dyDescent="0.35">
      <c r="A4781" s="13"/>
      <c r="E4781" s="8"/>
      <c r="F4781" s="1"/>
      <c r="J4781" s="2"/>
      <c r="K4781" s="7"/>
    </row>
    <row r="4782" spans="1:11" x14ac:dyDescent="0.35">
      <c r="A4782" s="13"/>
      <c r="E4782" s="8"/>
      <c r="F4782" s="1"/>
      <c r="J4782" s="2"/>
      <c r="K4782" s="7"/>
    </row>
    <row r="4783" spans="1:11" x14ac:dyDescent="0.35">
      <c r="A4783" s="13"/>
      <c r="E4783" s="8"/>
      <c r="F4783" s="1"/>
      <c r="J4783" s="2"/>
      <c r="K4783" s="7"/>
    </row>
    <row r="4784" spans="1:11" x14ac:dyDescent="0.35">
      <c r="A4784" s="13"/>
      <c r="E4784" s="8"/>
      <c r="F4784" s="1"/>
      <c r="J4784" s="2"/>
      <c r="K4784" s="7"/>
    </row>
    <row r="4785" spans="1:11" x14ac:dyDescent="0.35">
      <c r="A4785" s="13"/>
      <c r="E4785" s="8"/>
      <c r="F4785" s="1"/>
      <c r="J4785" s="2"/>
      <c r="K4785" s="7"/>
    </row>
    <row r="4786" spans="1:11" x14ac:dyDescent="0.35">
      <c r="A4786" s="13"/>
      <c r="E4786" s="8"/>
      <c r="F4786" s="1"/>
      <c r="J4786" s="2"/>
      <c r="K4786" s="7"/>
    </row>
    <row r="4787" spans="1:11" x14ac:dyDescent="0.35">
      <c r="A4787" s="13"/>
      <c r="E4787" s="8"/>
      <c r="F4787" s="1"/>
      <c r="J4787" s="2"/>
      <c r="K4787" s="7"/>
    </row>
    <row r="4788" spans="1:11" x14ac:dyDescent="0.35">
      <c r="A4788" s="13"/>
      <c r="E4788" s="8"/>
      <c r="F4788" s="1"/>
      <c r="J4788" s="2"/>
      <c r="K4788" s="7"/>
    </row>
    <row r="4789" spans="1:11" x14ac:dyDescent="0.35">
      <c r="A4789" s="13"/>
      <c r="E4789" s="8"/>
      <c r="F4789" s="1"/>
      <c r="J4789" s="2"/>
      <c r="K4789" s="7"/>
    </row>
    <row r="4790" spans="1:11" x14ac:dyDescent="0.35">
      <c r="A4790" s="13"/>
      <c r="E4790" s="8"/>
      <c r="F4790" s="1"/>
      <c r="J4790" s="2"/>
      <c r="K4790" s="7"/>
    </row>
    <row r="4791" spans="1:11" x14ac:dyDescent="0.35">
      <c r="A4791" s="13"/>
      <c r="E4791" s="8"/>
      <c r="F4791" s="1"/>
      <c r="J4791" s="2"/>
      <c r="K4791" s="7"/>
    </row>
    <row r="4792" spans="1:11" x14ac:dyDescent="0.35">
      <c r="A4792" s="13"/>
      <c r="E4792" s="8"/>
      <c r="F4792" s="1"/>
      <c r="J4792" s="2"/>
      <c r="K4792" s="7"/>
    </row>
    <row r="4793" spans="1:11" x14ac:dyDescent="0.35">
      <c r="A4793" s="13"/>
      <c r="E4793" s="8"/>
      <c r="F4793" s="1"/>
      <c r="J4793" s="2"/>
      <c r="K4793" s="7"/>
    </row>
    <row r="4794" spans="1:11" x14ac:dyDescent="0.35">
      <c r="A4794" s="13"/>
      <c r="E4794" s="8"/>
      <c r="F4794" s="1"/>
      <c r="J4794" s="2"/>
      <c r="K4794" s="7"/>
    </row>
    <row r="4795" spans="1:11" x14ac:dyDescent="0.35">
      <c r="A4795" s="13"/>
      <c r="E4795" s="8"/>
      <c r="F4795" s="1"/>
      <c r="J4795" s="2"/>
      <c r="K4795" s="7"/>
    </row>
    <row r="4796" spans="1:11" x14ac:dyDescent="0.35">
      <c r="A4796" s="13"/>
      <c r="E4796" s="8"/>
      <c r="F4796" s="1"/>
      <c r="J4796" s="2"/>
      <c r="K4796" s="7"/>
    </row>
    <row r="4797" spans="1:11" x14ac:dyDescent="0.35">
      <c r="A4797" s="13"/>
      <c r="E4797" s="8"/>
      <c r="F4797" s="1"/>
      <c r="J4797" s="2"/>
      <c r="K4797" s="7"/>
    </row>
    <row r="4798" spans="1:11" x14ac:dyDescent="0.35">
      <c r="A4798" s="13"/>
      <c r="E4798" s="8"/>
      <c r="F4798" s="1"/>
      <c r="J4798" s="2"/>
      <c r="K4798" s="7"/>
    </row>
    <row r="4799" spans="1:11" x14ac:dyDescent="0.35">
      <c r="A4799" s="13"/>
      <c r="E4799" s="8"/>
      <c r="F4799" s="1"/>
      <c r="J4799" s="2"/>
      <c r="K4799" s="7"/>
    </row>
    <row r="4800" spans="1:11" x14ac:dyDescent="0.35">
      <c r="A4800" s="13"/>
      <c r="E4800" s="8"/>
      <c r="F4800" s="1"/>
      <c r="J4800" s="2"/>
      <c r="K4800" s="7"/>
    </row>
    <row r="4801" spans="1:11" x14ac:dyDescent="0.35">
      <c r="A4801" s="13"/>
      <c r="E4801" s="8"/>
      <c r="F4801" s="1"/>
      <c r="J4801" s="2"/>
      <c r="K4801" s="7"/>
    </row>
    <row r="4802" spans="1:11" x14ac:dyDescent="0.35">
      <c r="A4802" s="13"/>
      <c r="E4802" s="8"/>
      <c r="F4802" s="1"/>
      <c r="J4802" s="2"/>
      <c r="K4802" s="7"/>
    </row>
    <row r="4803" spans="1:11" x14ac:dyDescent="0.35">
      <c r="A4803" s="13"/>
      <c r="E4803" s="8"/>
      <c r="F4803" s="1"/>
      <c r="J4803" s="2"/>
      <c r="K4803" s="7"/>
    </row>
    <row r="4804" spans="1:11" x14ac:dyDescent="0.35">
      <c r="A4804" s="13"/>
      <c r="E4804" s="8"/>
      <c r="F4804" s="1"/>
      <c r="J4804" s="2"/>
      <c r="K4804" s="7"/>
    </row>
    <row r="4805" spans="1:11" x14ac:dyDescent="0.35">
      <c r="A4805" s="13"/>
      <c r="E4805" s="8"/>
      <c r="F4805" s="1"/>
      <c r="J4805" s="2"/>
      <c r="K4805" s="7"/>
    </row>
    <row r="4806" spans="1:11" x14ac:dyDescent="0.35">
      <c r="A4806" s="13"/>
      <c r="E4806" s="8"/>
      <c r="F4806" s="1"/>
      <c r="J4806" s="2"/>
      <c r="K4806" s="7"/>
    </row>
    <row r="4807" spans="1:11" x14ac:dyDescent="0.35">
      <c r="A4807" s="13"/>
      <c r="E4807" s="8"/>
      <c r="F4807" s="1"/>
      <c r="J4807" s="2"/>
      <c r="K4807" s="7"/>
    </row>
    <row r="4808" spans="1:11" x14ac:dyDescent="0.35">
      <c r="A4808" s="13"/>
      <c r="E4808" s="8"/>
      <c r="F4808" s="1"/>
      <c r="J4808" s="2"/>
      <c r="K4808" s="7"/>
    </row>
    <row r="4809" spans="1:11" x14ac:dyDescent="0.35">
      <c r="A4809" s="13"/>
      <c r="E4809" s="8"/>
      <c r="F4809" s="1"/>
      <c r="J4809" s="2"/>
      <c r="K4809" s="7"/>
    </row>
    <row r="4810" spans="1:11" x14ac:dyDescent="0.35">
      <c r="A4810" s="13"/>
      <c r="E4810" s="8"/>
      <c r="F4810" s="1"/>
      <c r="J4810" s="2"/>
      <c r="K4810" s="7"/>
    </row>
    <row r="4811" spans="1:11" x14ac:dyDescent="0.35">
      <c r="A4811" s="13"/>
      <c r="E4811" s="8"/>
      <c r="F4811" s="1"/>
      <c r="J4811" s="2"/>
      <c r="K4811" s="7"/>
    </row>
    <row r="4812" spans="1:11" x14ac:dyDescent="0.35">
      <c r="A4812" s="13"/>
      <c r="E4812" s="8"/>
      <c r="F4812" s="1"/>
      <c r="J4812" s="2"/>
      <c r="K4812" s="7"/>
    </row>
    <row r="4813" spans="1:11" x14ac:dyDescent="0.35">
      <c r="A4813" s="13"/>
      <c r="E4813" s="8"/>
      <c r="F4813" s="1"/>
      <c r="J4813" s="2"/>
      <c r="K4813" s="7"/>
    </row>
    <row r="4814" spans="1:11" x14ac:dyDescent="0.35">
      <c r="A4814" s="13"/>
      <c r="E4814" s="8"/>
      <c r="F4814" s="1"/>
      <c r="J4814" s="2"/>
      <c r="K4814" s="7"/>
    </row>
    <row r="4815" spans="1:11" x14ac:dyDescent="0.35">
      <c r="A4815" s="13"/>
      <c r="E4815" s="8"/>
      <c r="F4815" s="1"/>
      <c r="J4815" s="2"/>
      <c r="K4815" s="7"/>
    </row>
    <row r="4816" spans="1:11" x14ac:dyDescent="0.35">
      <c r="A4816" s="13"/>
      <c r="E4816" s="8"/>
      <c r="F4816" s="1"/>
      <c r="J4816" s="2"/>
      <c r="K4816" s="7"/>
    </row>
    <row r="4817" spans="1:11" x14ac:dyDescent="0.35">
      <c r="A4817" s="13"/>
      <c r="E4817" s="8"/>
      <c r="F4817" s="1"/>
      <c r="J4817" s="2"/>
      <c r="K4817" s="7"/>
    </row>
    <row r="4818" spans="1:11" x14ac:dyDescent="0.35">
      <c r="A4818" s="13"/>
      <c r="E4818" s="8"/>
      <c r="F4818" s="1"/>
      <c r="J4818" s="2"/>
      <c r="K4818" s="7"/>
    </row>
    <row r="4819" spans="1:11" x14ac:dyDescent="0.35">
      <c r="A4819" s="13"/>
      <c r="E4819" s="8"/>
      <c r="F4819" s="1"/>
      <c r="J4819" s="2"/>
      <c r="K4819" s="7"/>
    </row>
    <row r="4820" spans="1:11" x14ac:dyDescent="0.35">
      <c r="A4820" s="13"/>
      <c r="E4820" s="8"/>
      <c r="F4820" s="1"/>
      <c r="J4820" s="2"/>
      <c r="K4820" s="7"/>
    </row>
    <row r="4821" spans="1:11" x14ac:dyDescent="0.35">
      <c r="A4821" s="13"/>
      <c r="E4821" s="8"/>
      <c r="F4821" s="1"/>
      <c r="J4821" s="2"/>
      <c r="K4821" s="7"/>
    </row>
    <row r="4822" spans="1:11" x14ac:dyDescent="0.35">
      <c r="A4822" s="13"/>
      <c r="E4822" s="8"/>
      <c r="F4822" s="1"/>
      <c r="J4822" s="2"/>
      <c r="K4822" s="7"/>
    </row>
    <row r="4823" spans="1:11" x14ac:dyDescent="0.35">
      <c r="A4823" s="13"/>
      <c r="E4823" s="8"/>
      <c r="F4823" s="1"/>
      <c r="J4823" s="2"/>
      <c r="K4823" s="7"/>
    </row>
    <row r="4824" spans="1:11" x14ac:dyDescent="0.35">
      <c r="A4824" s="13"/>
      <c r="E4824" s="8"/>
      <c r="F4824" s="1"/>
      <c r="J4824" s="2"/>
      <c r="K4824" s="7"/>
    </row>
    <row r="4825" spans="1:11" x14ac:dyDescent="0.35">
      <c r="A4825" s="13"/>
      <c r="E4825" s="8"/>
      <c r="F4825" s="1"/>
      <c r="J4825" s="2"/>
      <c r="K4825" s="7"/>
    </row>
    <row r="4826" spans="1:11" x14ac:dyDescent="0.35">
      <c r="A4826" s="13"/>
      <c r="E4826" s="8"/>
      <c r="F4826" s="1"/>
      <c r="J4826" s="2"/>
      <c r="K4826" s="7"/>
    </row>
    <row r="4827" spans="1:11" x14ac:dyDescent="0.35">
      <c r="A4827" s="13"/>
      <c r="E4827" s="8"/>
      <c r="F4827" s="1"/>
      <c r="J4827" s="2"/>
      <c r="K4827" s="7"/>
    </row>
    <row r="4828" spans="1:11" x14ac:dyDescent="0.35">
      <c r="A4828" s="13"/>
      <c r="E4828" s="8"/>
      <c r="F4828" s="1"/>
      <c r="J4828" s="2"/>
      <c r="K4828" s="7"/>
    </row>
    <row r="4829" spans="1:11" x14ac:dyDescent="0.35">
      <c r="A4829" s="13"/>
      <c r="E4829" s="8"/>
      <c r="F4829" s="1"/>
      <c r="J4829" s="2"/>
      <c r="K4829" s="7"/>
    </row>
    <row r="4830" spans="1:11" x14ac:dyDescent="0.35">
      <c r="A4830" s="13"/>
      <c r="E4830" s="8"/>
      <c r="F4830" s="1"/>
      <c r="J4830" s="2"/>
      <c r="K4830" s="7"/>
    </row>
    <row r="4831" spans="1:11" x14ac:dyDescent="0.35">
      <c r="A4831" s="13"/>
      <c r="E4831" s="8"/>
      <c r="F4831" s="1"/>
      <c r="J4831" s="2"/>
      <c r="K4831" s="7"/>
    </row>
    <row r="4832" spans="1:11" x14ac:dyDescent="0.35">
      <c r="A4832" s="13"/>
      <c r="E4832" s="8"/>
      <c r="F4832" s="1"/>
      <c r="J4832" s="2"/>
      <c r="K4832" s="7"/>
    </row>
    <row r="4833" spans="1:11" x14ac:dyDescent="0.35">
      <c r="A4833" s="13"/>
      <c r="E4833" s="8"/>
      <c r="F4833" s="1"/>
      <c r="J4833" s="2"/>
      <c r="K4833" s="7"/>
    </row>
    <row r="4834" spans="1:11" x14ac:dyDescent="0.35">
      <c r="A4834" s="13"/>
      <c r="E4834" s="8"/>
      <c r="F4834" s="1"/>
      <c r="J4834" s="2"/>
      <c r="K4834" s="7"/>
    </row>
    <row r="4835" spans="1:11" x14ac:dyDescent="0.35">
      <c r="A4835" s="13"/>
      <c r="E4835" s="8"/>
      <c r="F4835" s="1"/>
      <c r="J4835" s="2"/>
      <c r="K4835" s="7"/>
    </row>
    <row r="4836" spans="1:11" x14ac:dyDescent="0.35">
      <c r="A4836" s="13"/>
      <c r="E4836" s="8"/>
      <c r="F4836" s="1"/>
      <c r="J4836" s="2"/>
      <c r="K4836" s="7"/>
    </row>
    <row r="4837" spans="1:11" x14ac:dyDescent="0.35">
      <c r="A4837" s="13"/>
      <c r="E4837" s="8"/>
      <c r="F4837" s="1"/>
      <c r="J4837" s="2"/>
      <c r="K4837" s="7"/>
    </row>
    <row r="4838" spans="1:11" x14ac:dyDescent="0.35">
      <c r="A4838" s="13"/>
      <c r="E4838" s="8"/>
      <c r="F4838" s="1"/>
      <c r="J4838" s="2"/>
      <c r="K4838" s="7"/>
    </row>
    <row r="4839" spans="1:11" x14ac:dyDescent="0.35">
      <c r="A4839" s="13"/>
      <c r="E4839" s="8"/>
      <c r="F4839" s="1"/>
      <c r="J4839" s="2"/>
      <c r="K4839" s="7"/>
    </row>
    <row r="4840" spans="1:11" x14ac:dyDescent="0.35">
      <c r="A4840" s="13"/>
      <c r="E4840" s="8"/>
      <c r="F4840" s="1"/>
      <c r="J4840" s="2"/>
      <c r="K4840" s="7"/>
    </row>
    <row r="4841" spans="1:11" x14ac:dyDescent="0.35">
      <c r="A4841" s="13"/>
      <c r="E4841" s="8"/>
      <c r="F4841" s="1"/>
      <c r="J4841" s="2"/>
      <c r="K4841" s="7"/>
    </row>
    <row r="4842" spans="1:11" x14ac:dyDescent="0.35">
      <c r="A4842" s="13"/>
      <c r="E4842" s="8"/>
      <c r="F4842" s="1"/>
      <c r="J4842" s="2"/>
      <c r="K4842" s="7"/>
    </row>
    <row r="4843" spans="1:11" x14ac:dyDescent="0.35">
      <c r="A4843" s="13"/>
      <c r="E4843" s="8"/>
      <c r="F4843" s="1"/>
      <c r="J4843" s="2"/>
      <c r="K4843" s="7"/>
    </row>
    <row r="4844" spans="1:11" x14ac:dyDescent="0.35">
      <c r="A4844" s="13"/>
      <c r="E4844" s="8"/>
      <c r="F4844" s="1"/>
      <c r="J4844" s="2"/>
      <c r="K4844" s="7"/>
    </row>
    <row r="4845" spans="1:11" x14ac:dyDescent="0.35">
      <c r="A4845" s="13"/>
      <c r="E4845" s="8"/>
      <c r="F4845" s="1"/>
      <c r="J4845" s="2"/>
      <c r="K4845" s="7"/>
    </row>
    <row r="4846" spans="1:11" x14ac:dyDescent="0.35">
      <c r="A4846" s="13"/>
      <c r="E4846" s="8"/>
      <c r="F4846" s="1"/>
      <c r="J4846" s="2"/>
      <c r="K4846" s="7"/>
    </row>
    <row r="4847" spans="1:11" x14ac:dyDescent="0.35">
      <c r="A4847" s="13"/>
      <c r="E4847" s="8"/>
      <c r="F4847" s="1"/>
      <c r="J4847" s="2"/>
      <c r="K4847" s="7"/>
    </row>
    <row r="4848" spans="1:11" x14ac:dyDescent="0.35">
      <c r="A4848" s="13"/>
      <c r="E4848" s="8"/>
      <c r="F4848" s="1"/>
      <c r="J4848" s="2"/>
      <c r="K4848" s="7"/>
    </row>
    <row r="4849" spans="1:11" x14ac:dyDescent="0.35">
      <c r="A4849" s="13"/>
      <c r="E4849" s="8"/>
      <c r="F4849" s="1"/>
      <c r="J4849" s="2"/>
      <c r="K4849" s="7"/>
    </row>
    <row r="4850" spans="1:11" x14ac:dyDescent="0.35">
      <c r="A4850" s="13"/>
      <c r="E4850" s="8"/>
      <c r="F4850" s="1"/>
      <c r="J4850" s="2"/>
      <c r="K4850" s="7"/>
    </row>
    <row r="4851" spans="1:11" x14ac:dyDescent="0.35">
      <c r="A4851" s="13"/>
      <c r="E4851" s="8"/>
      <c r="F4851" s="1"/>
      <c r="J4851" s="2"/>
      <c r="K4851" s="7"/>
    </row>
    <row r="4852" spans="1:11" x14ac:dyDescent="0.35">
      <c r="A4852" s="13"/>
      <c r="E4852" s="8"/>
      <c r="F4852" s="1"/>
      <c r="J4852" s="2"/>
      <c r="K4852" s="7"/>
    </row>
    <row r="4853" spans="1:11" x14ac:dyDescent="0.35">
      <c r="A4853" s="13"/>
      <c r="E4853" s="8"/>
      <c r="F4853" s="1"/>
      <c r="J4853" s="2"/>
      <c r="K4853" s="7"/>
    </row>
    <row r="4854" spans="1:11" x14ac:dyDescent="0.35">
      <c r="A4854" s="13"/>
      <c r="E4854" s="8"/>
      <c r="F4854" s="1"/>
      <c r="J4854" s="2"/>
      <c r="K4854" s="7"/>
    </row>
    <row r="4855" spans="1:11" x14ac:dyDescent="0.35">
      <c r="A4855" s="13"/>
      <c r="E4855" s="8"/>
      <c r="F4855" s="1"/>
      <c r="J4855" s="2"/>
      <c r="K4855" s="7"/>
    </row>
    <row r="4856" spans="1:11" x14ac:dyDescent="0.35">
      <c r="A4856" s="13"/>
      <c r="E4856" s="8"/>
      <c r="F4856" s="1"/>
      <c r="J4856" s="2"/>
      <c r="K4856" s="7"/>
    </row>
    <row r="4857" spans="1:11" x14ac:dyDescent="0.35">
      <c r="A4857" s="13"/>
      <c r="E4857" s="8"/>
      <c r="F4857" s="1"/>
      <c r="J4857" s="2"/>
      <c r="K4857" s="7"/>
    </row>
    <row r="4858" spans="1:11" x14ac:dyDescent="0.35">
      <c r="A4858" s="13"/>
      <c r="E4858" s="8"/>
      <c r="F4858" s="1"/>
      <c r="J4858" s="2"/>
      <c r="K4858" s="7"/>
    </row>
    <row r="4859" spans="1:11" x14ac:dyDescent="0.35">
      <c r="A4859" s="13"/>
      <c r="E4859" s="8"/>
      <c r="F4859" s="1"/>
      <c r="J4859" s="2"/>
      <c r="K4859" s="7"/>
    </row>
    <row r="4860" spans="1:11" x14ac:dyDescent="0.35">
      <c r="A4860" s="13"/>
      <c r="E4860" s="8"/>
      <c r="F4860" s="1"/>
      <c r="J4860" s="2"/>
      <c r="K4860" s="7"/>
    </row>
    <row r="4861" spans="1:11" x14ac:dyDescent="0.35">
      <c r="A4861" s="13"/>
      <c r="E4861" s="8"/>
      <c r="F4861" s="1"/>
      <c r="J4861" s="2"/>
      <c r="K4861" s="7"/>
    </row>
    <row r="4862" spans="1:11" x14ac:dyDescent="0.35">
      <c r="A4862" s="13"/>
      <c r="E4862" s="8"/>
      <c r="F4862" s="1"/>
      <c r="J4862" s="2"/>
      <c r="K4862" s="7"/>
    </row>
    <row r="4863" spans="1:11" x14ac:dyDescent="0.35">
      <c r="A4863" s="13"/>
      <c r="E4863" s="8"/>
      <c r="F4863" s="1"/>
      <c r="J4863" s="2"/>
      <c r="K4863" s="7"/>
    </row>
    <row r="4864" spans="1:11" x14ac:dyDescent="0.35">
      <c r="A4864" s="13"/>
      <c r="E4864" s="8"/>
      <c r="F4864" s="1"/>
      <c r="J4864" s="2"/>
      <c r="K4864" s="7"/>
    </row>
    <row r="4865" spans="1:11" x14ac:dyDescent="0.35">
      <c r="A4865" s="13"/>
      <c r="E4865" s="8"/>
      <c r="F4865" s="1"/>
      <c r="J4865" s="2"/>
      <c r="K4865" s="7"/>
    </row>
    <row r="4866" spans="1:11" x14ac:dyDescent="0.35">
      <c r="A4866" s="13"/>
      <c r="E4866" s="8"/>
      <c r="F4866" s="1"/>
      <c r="J4866" s="2"/>
      <c r="K4866" s="7"/>
    </row>
    <row r="4867" spans="1:11" x14ac:dyDescent="0.35">
      <c r="A4867" s="13"/>
      <c r="E4867" s="8"/>
      <c r="F4867" s="1"/>
      <c r="J4867" s="2"/>
      <c r="K4867" s="7"/>
    </row>
    <row r="4868" spans="1:11" x14ac:dyDescent="0.35">
      <c r="A4868" s="13"/>
      <c r="E4868" s="8"/>
      <c r="F4868" s="1"/>
      <c r="J4868" s="2"/>
      <c r="K4868" s="7"/>
    </row>
    <row r="4869" spans="1:11" x14ac:dyDescent="0.35">
      <c r="A4869" s="13"/>
      <c r="E4869" s="8"/>
      <c r="F4869" s="1"/>
      <c r="J4869" s="2"/>
      <c r="K4869" s="7"/>
    </row>
    <row r="4870" spans="1:11" x14ac:dyDescent="0.35">
      <c r="A4870" s="13"/>
      <c r="E4870" s="8"/>
      <c r="F4870" s="1"/>
      <c r="J4870" s="2"/>
      <c r="K4870" s="7"/>
    </row>
    <row r="4871" spans="1:11" x14ac:dyDescent="0.35">
      <c r="A4871" s="13"/>
      <c r="E4871" s="8"/>
      <c r="F4871" s="1"/>
      <c r="J4871" s="2"/>
      <c r="K4871" s="7"/>
    </row>
    <row r="4872" spans="1:11" x14ac:dyDescent="0.35">
      <c r="A4872" s="13"/>
      <c r="E4872" s="8"/>
      <c r="F4872" s="1"/>
      <c r="J4872" s="2"/>
      <c r="K4872" s="7"/>
    </row>
    <row r="4873" spans="1:11" x14ac:dyDescent="0.35">
      <c r="A4873" s="13"/>
      <c r="E4873" s="8"/>
      <c r="F4873" s="1"/>
      <c r="J4873" s="2"/>
      <c r="K4873" s="7"/>
    </row>
    <row r="4874" spans="1:11" x14ac:dyDescent="0.35">
      <c r="A4874" s="13"/>
      <c r="E4874" s="8"/>
      <c r="F4874" s="1"/>
      <c r="J4874" s="2"/>
      <c r="K4874" s="7"/>
    </row>
    <row r="4875" spans="1:11" x14ac:dyDescent="0.35">
      <c r="A4875" s="13"/>
      <c r="E4875" s="8"/>
      <c r="F4875" s="1"/>
      <c r="J4875" s="2"/>
      <c r="K4875" s="7"/>
    </row>
    <row r="4876" spans="1:11" x14ac:dyDescent="0.35">
      <c r="A4876" s="13"/>
      <c r="E4876" s="8"/>
      <c r="F4876" s="1"/>
      <c r="J4876" s="2"/>
      <c r="K4876" s="7"/>
    </row>
    <row r="4877" spans="1:11" x14ac:dyDescent="0.35">
      <c r="A4877" s="13"/>
      <c r="E4877" s="8"/>
      <c r="F4877" s="1"/>
      <c r="J4877" s="2"/>
      <c r="K4877" s="7"/>
    </row>
    <row r="4878" spans="1:11" x14ac:dyDescent="0.35">
      <c r="A4878" s="13"/>
      <c r="E4878" s="8"/>
      <c r="F4878" s="1"/>
      <c r="J4878" s="2"/>
      <c r="K4878" s="7"/>
    </row>
    <row r="4879" spans="1:11" x14ac:dyDescent="0.35">
      <c r="A4879" s="13"/>
      <c r="E4879" s="8"/>
      <c r="F4879" s="1"/>
      <c r="J4879" s="2"/>
      <c r="K4879" s="7"/>
    </row>
    <row r="4880" spans="1:11" x14ac:dyDescent="0.35">
      <c r="A4880" s="13"/>
      <c r="E4880" s="8"/>
      <c r="F4880" s="1"/>
      <c r="J4880" s="2"/>
      <c r="K4880" s="7"/>
    </row>
    <row r="4881" spans="1:11" x14ac:dyDescent="0.35">
      <c r="A4881" s="13"/>
      <c r="E4881" s="8"/>
      <c r="F4881" s="1"/>
      <c r="J4881" s="2"/>
      <c r="K4881" s="7"/>
    </row>
    <row r="4882" spans="1:11" x14ac:dyDescent="0.35">
      <c r="A4882" s="13"/>
      <c r="E4882" s="8"/>
      <c r="F4882" s="1"/>
      <c r="J4882" s="2"/>
      <c r="K4882" s="7"/>
    </row>
    <row r="4883" spans="1:11" x14ac:dyDescent="0.35">
      <c r="A4883" s="13"/>
      <c r="E4883" s="8"/>
      <c r="F4883" s="1"/>
      <c r="J4883" s="2"/>
      <c r="K4883" s="7"/>
    </row>
    <row r="4884" spans="1:11" x14ac:dyDescent="0.35">
      <c r="A4884" s="13"/>
      <c r="E4884" s="8"/>
      <c r="F4884" s="1"/>
      <c r="J4884" s="2"/>
      <c r="K4884" s="7"/>
    </row>
    <row r="4885" spans="1:11" x14ac:dyDescent="0.35">
      <c r="A4885" s="13"/>
      <c r="E4885" s="8"/>
      <c r="F4885" s="1"/>
      <c r="J4885" s="2"/>
      <c r="K4885" s="7"/>
    </row>
    <row r="4886" spans="1:11" x14ac:dyDescent="0.35">
      <c r="A4886" s="13"/>
      <c r="E4886" s="8"/>
      <c r="F4886" s="1"/>
      <c r="J4886" s="2"/>
      <c r="K4886" s="7"/>
    </row>
    <row r="4887" spans="1:11" x14ac:dyDescent="0.35">
      <c r="A4887" s="13"/>
      <c r="E4887" s="8"/>
      <c r="F4887" s="1"/>
      <c r="J4887" s="2"/>
      <c r="K4887" s="7"/>
    </row>
    <row r="4888" spans="1:11" x14ac:dyDescent="0.35">
      <c r="A4888" s="13"/>
      <c r="E4888" s="8"/>
      <c r="F4888" s="1"/>
      <c r="J4888" s="2"/>
      <c r="K4888" s="7"/>
    </row>
    <row r="4889" spans="1:11" x14ac:dyDescent="0.35">
      <c r="A4889" s="13"/>
      <c r="E4889" s="8"/>
      <c r="F4889" s="1"/>
      <c r="J4889" s="2"/>
      <c r="K4889" s="7"/>
    </row>
    <row r="4890" spans="1:11" x14ac:dyDescent="0.35">
      <c r="A4890" s="13"/>
      <c r="E4890" s="8"/>
      <c r="F4890" s="1"/>
      <c r="J4890" s="2"/>
      <c r="K4890" s="7"/>
    </row>
    <row r="4891" spans="1:11" x14ac:dyDescent="0.35">
      <c r="A4891" s="13"/>
      <c r="E4891" s="8"/>
      <c r="F4891" s="1"/>
      <c r="J4891" s="2"/>
      <c r="K4891" s="7"/>
    </row>
    <row r="4892" spans="1:11" x14ac:dyDescent="0.35">
      <c r="A4892" s="13"/>
      <c r="E4892" s="8"/>
      <c r="F4892" s="1"/>
      <c r="J4892" s="2"/>
      <c r="K4892" s="7"/>
    </row>
    <row r="4893" spans="1:11" x14ac:dyDescent="0.35">
      <c r="A4893" s="13"/>
      <c r="E4893" s="8"/>
      <c r="F4893" s="1"/>
      <c r="J4893" s="2"/>
      <c r="K4893" s="7"/>
    </row>
    <row r="4894" spans="1:11" x14ac:dyDescent="0.35">
      <c r="A4894" s="13"/>
      <c r="E4894" s="8"/>
      <c r="F4894" s="1"/>
      <c r="J4894" s="2"/>
      <c r="K4894" s="7"/>
    </row>
    <row r="4895" spans="1:11" x14ac:dyDescent="0.35">
      <c r="A4895" s="13"/>
      <c r="E4895" s="8"/>
      <c r="F4895" s="1"/>
      <c r="J4895" s="2"/>
      <c r="K4895" s="7"/>
    </row>
    <row r="4896" spans="1:11" x14ac:dyDescent="0.35">
      <c r="A4896" s="13"/>
      <c r="E4896" s="8"/>
      <c r="F4896" s="1"/>
      <c r="J4896" s="2"/>
      <c r="K4896" s="7"/>
    </row>
    <row r="4897" spans="1:11" x14ac:dyDescent="0.35">
      <c r="A4897" s="13"/>
      <c r="E4897" s="8"/>
      <c r="F4897" s="1"/>
      <c r="J4897" s="2"/>
      <c r="K4897" s="7"/>
    </row>
    <row r="4898" spans="1:11" x14ac:dyDescent="0.35">
      <c r="A4898" s="13"/>
      <c r="E4898" s="8"/>
      <c r="F4898" s="1"/>
      <c r="J4898" s="2"/>
      <c r="K4898" s="7"/>
    </row>
    <row r="4899" spans="1:11" x14ac:dyDescent="0.35">
      <c r="A4899" s="13"/>
      <c r="E4899" s="8"/>
      <c r="F4899" s="1"/>
      <c r="J4899" s="2"/>
      <c r="K4899" s="7"/>
    </row>
    <row r="4900" spans="1:11" x14ac:dyDescent="0.35">
      <c r="A4900" s="13"/>
      <c r="E4900" s="8"/>
      <c r="F4900" s="1"/>
      <c r="J4900" s="2"/>
      <c r="K4900" s="7"/>
    </row>
    <row r="4901" spans="1:11" x14ac:dyDescent="0.35">
      <c r="A4901" s="13"/>
      <c r="E4901" s="8"/>
      <c r="F4901" s="1"/>
      <c r="J4901" s="2"/>
      <c r="K4901" s="7"/>
    </row>
    <row r="4902" spans="1:11" x14ac:dyDescent="0.35">
      <c r="A4902" s="13"/>
      <c r="E4902" s="8"/>
      <c r="F4902" s="1"/>
      <c r="J4902" s="2"/>
      <c r="K4902" s="7"/>
    </row>
    <row r="4903" spans="1:11" x14ac:dyDescent="0.35">
      <c r="A4903" s="13"/>
      <c r="E4903" s="8"/>
      <c r="F4903" s="1"/>
      <c r="J4903" s="2"/>
      <c r="K4903" s="7"/>
    </row>
    <row r="4904" spans="1:11" x14ac:dyDescent="0.35">
      <c r="A4904" s="13"/>
      <c r="E4904" s="8"/>
      <c r="F4904" s="1"/>
      <c r="J4904" s="2"/>
      <c r="K4904" s="7"/>
    </row>
    <row r="4905" spans="1:11" x14ac:dyDescent="0.35">
      <c r="A4905" s="13"/>
      <c r="E4905" s="8"/>
      <c r="F4905" s="1"/>
      <c r="J4905" s="2"/>
      <c r="K4905" s="7"/>
    </row>
    <row r="4906" spans="1:11" x14ac:dyDescent="0.35">
      <c r="A4906" s="13"/>
      <c r="E4906" s="8"/>
      <c r="F4906" s="1"/>
      <c r="J4906" s="2"/>
      <c r="K4906" s="7"/>
    </row>
    <row r="4907" spans="1:11" x14ac:dyDescent="0.35">
      <c r="A4907" s="13"/>
      <c r="E4907" s="8"/>
      <c r="F4907" s="1"/>
      <c r="J4907" s="2"/>
      <c r="K4907" s="7"/>
    </row>
    <row r="4908" spans="1:11" x14ac:dyDescent="0.35">
      <c r="A4908" s="13"/>
      <c r="E4908" s="8"/>
      <c r="F4908" s="1"/>
      <c r="J4908" s="2"/>
      <c r="K4908" s="7"/>
    </row>
    <row r="4909" spans="1:11" x14ac:dyDescent="0.35">
      <c r="A4909" s="13"/>
      <c r="E4909" s="8"/>
      <c r="F4909" s="1"/>
      <c r="J4909" s="2"/>
      <c r="K4909" s="7"/>
    </row>
    <row r="4910" spans="1:11" x14ac:dyDescent="0.35">
      <c r="A4910" s="13"/>
      <c r="E4910" s="8"/>
      <c r="F4910" s="1"/>
      <c r="J4910" s="2"/>
      <c r="K4910" s="7"/>
    </row>
    <row r="4911" spans="1:11" x14ac:dyDescent="0.35">
      <c r="A4911" s="13"/>
      <c r="E4911" s="8"/>
      <c r="F4911" s="1"/>
      <c r="J4911" s="2"/>
      <c r="K4911" s="7"/>
    </row>
    <row r="4912" spans="1:11" x14ac:dyDescent="0.35">
      <c r="A4912" s="13"/>
      <c r="E4912" s="8"/>
      <c r="F4912" s="1"/>
      <c r="J4912" s="2"/>
      <c r="K4912" s="7"/>
    </row>
    <row r="4913" spans="1:11" x14ac:dyDescent="0.35">
      <c r="A4913" s="13"/>
      <c r="E4913" s="8"/>
      <c r="F4913" s="1"/>
      <c r="J4913" s="2"/>
      <c r="K4913" s="7"/>
    </row>
    <row r="4914" spans="1:11" x14ac:dyDescent="0.35">
      <c r="A4914" s="13"/>
      <c r="E4914" s="8"/>
      <c r="F4914" s="1"/>
      <c r="J4914" s="2"/>
      <c r="K4914" s="7"/>
    </row>
    <row r="4915" spans="1:11" x14ac:dyDescent="0.35">
      <c r="A4915" s="13"/>
      <c r="E4915" s="8"/>
      <c r="F4915" s="1"/>
      <c r="J4915" s="2"/>
      <c r="K4915" s="7"/>
    </row>
    <row r="4916" spans="1:11" x14ac:dyDescent="0.35">
      <c r="A4916" s="13"/>
      <c r="E4916" s="8"/>
      <c r="F4916" s="1"/>
      <c r="J4916" s="2"/>
      <c r="K4916" s="7"/>
    </row>
    <row r="4917" spans="1:11" x14ac:dyDescent="0.35">
      <c r="A4917" s="13"/>
      <c r="E4917" s="8"/>
      <c r="F4917" s="1"/>
      <c r="J4917" s="2"/>
      <c r="K4917" s="7"/>
    </row>
    <row r="4918" spans="1:11" x14ac:dyDescent="0.35">
      <c r="A4918" s="13"/>
      <c r="E4918" s="8"/>
      <c r="F4918" s="1"/>
      <c r="J4918" s="2"/>
      <c r="K4918" s="7"/>
    </row>
    <row r="4919" spans="1:11" x14ac:dyDescent="0.35">
      <c r="A4919" s="13"/>
      <c r="E4919" s="8"/>
      <c r="F4919" s="1"/>
      <c r="J4919" s="2"/>
      <c r="K4919" s="7"/>
    </row>
    <row r="4920" spans="1:11" x14ac:dyDescent="0.35">
      <c r="A4920" s="13"/>
      <c r="E4920" s="8"/>
      <c r="F4920" s="1"/>
      <c r="J4920" s="2"/>
      <c r="K4920" s="7"/>
    </row>
    <row r="4921" spans="1:11" x14ac:dyDescent="0.35">
      <c r="A4921" s="13"/>
      <c r="E4921" s="8"/>
      <c r="F4921" s="1"/>
      <c r="J4921" s="2"/>
      <c r="K4921" s="7"/>
    </row>
    <row r="4922" spans="1:11" x14ac:dyDescent="0.35">
      <c r="A4922" s="13"/>
      <c r="E4922" s="8"/>
      <c r="F4922" s="1"/>
      <c r="J4922" s="2"/>
      <c r="K4922" s="7"/>
    </row>
    <row r="4923" spans="1:11" x14ac:dyDescent="0.35">
      <c r="A4923" s="13"/>
      <c r="E4923" s="8"/>
      <c r="F4923" s="1"/>
      <c r="J4923" s="2"/>
      <c r="K4923" s="7"/>
    </row>
    <row r="4924" spans="1:11" x14ac:dyDescent="0.35">
      <c r="A4924" s="13"/>
      <c r="E4924" s="8"/>
      <c r="F4924" s="1"/>
      <c r="J4924" s="2"/>
      <c r="K4924" s="7"/>
    </row>
    <row r="4925" spans="1:11" x14ac:dyDescent="0.35">
      <c r="A4925" s="13"/>
      <c r="E4925" s="8"/>
      <c r="F4925" s="1"/>
      <c r="J4925" s="2"/>
      <c r="K4925" s="7"/>
    </row>
    <row r="4926" spans="1:11" x14ac:dyDescent="0.35">
      <c r="A4926" s="13"/>
      <c r="E4926" s="8"/>
      <c r="F4926" s="1"/>
      <c r="J4926" s="2"/>
      <c r="K4926" s="7"/>
    </row>
    <row r="4927" spans="1:11" x14ac:dyDescent="0.35">
      <c r="A4927" s="13"/>
      <c r="E4927" s="8"/>
      <c r="F4927" s="1"/>
      <c r="J4927" s="2"/>
      <c r="K4927" s="7"/>
    </row>
    <row r="4928" spans="1:11" x14ac:dyDescent="0.35">
      <c r="A4928" s="13"/>
      <c r="E4928" s="8"/>
      <c r="F4928" s="1"/>
      <c r="J4928" s="2"/>
      <c r="K4928" s="7"/>
    </row>
    <row r="4929" spans="1:11" x14ac:dyDescent="0.35">
      <c r="A4929" s="13"/>
      <c r="E4929" s="8"/>
      <c r="F4929" s="1"/>
      <c r="J4929" s="2"/>
      <c r="K4929" s="7"/>
    </row>
    <row r="4930" spans="1:11" x14ac:dyDescent="0.35">
      <c r="A4930" s="13"/>
      <c r="E4930" s="8"/>
      <c r="F4930" s="1"/>
      <c r="J4930" s="2"/>
      <c r="K4930" s="7"/>
    </row>
    <row r="4931" spans="1:11" x14ac:dyDescent="0.35">
      <c r="A4931" s="13"/>
      <c r="E4931" s="8"/>
      <c r="F4931" s="1"/>
      <c r="J4931" s="2"/>
      <c r="K4931" s="7"/>
    </row>
    <row r="4932" spans="1:11" x14ac:dyDescent="0.35">
      <c r="A4932" s="13"/>
      <c r="E4932" s="8"/>
      <c r="F4932" s="1"/>
      <c r="J4932" s="2"/>
      <c r="K4932" s="7"/>
    </row>
    <row r="4933" spans="1:11" x14ac:dyDescent="0.35">
      <c r="A4933" s="13"/>
      <c r="E4933" s="8"/>
      <c r="F4933" s="1"/>
      <c r="J4933" s="2"/>
      <c r="K4933" s="7"/>
    </row>
    <row r="4934" spans="1:11" x14ac:dyDescent="0.35">
      <c r="A4934" s="13"/>
      <c r="E4934" s="8"/>
      <c r="F4934" s="1"/>
      <c r="J4934" s="2"/>
      <c r="K4934" s="7"/>
    </row>
    <row r="4935" spans="1:11" x14ac:dyDescent="0.35">
      <c r="A4935" s="13"/>
      <c r="E4935" s="8"/>
      <c r="F4935" s="1"/>
      <c r="J4935" s="2"/>
      <c r="K4935" s="7"/>
    </row>
    <row r="4936" spans="1:11" x14ac:dyDescent="0.35">
      <c r="A4936" s="13"/>
      <c r="E4936" s="8"/>
      <c r="F4936" s="1"/>
      <c r="J4936" s="2"/>
      <c r="K4936" s="7"/>
    </row>
    <row r="4937" spans="1:11" x14ac:dyDescent="0.35">
      <c r="A4937" s="13"/>
      <c r="E4937" s="8"/>
      <c r="F4937" s="1"/>
      <c r="J4937" s="2"/>
      <c r="K4937" s="7"/>
    </row>
    <row r="4938" spans="1:11" x14ac:dyDescent="0.35">
      <c r="A4938" s="13"/>
      <c r="E4938" s="8"/>
      <c r="F4938" s="1"/>
      <c r="J4938" s="2"/>
      <c r="K4938" s="7"/>
    </row>
    <row r="4939" spans="1:11" x14ac:dyDescent="0.35">
      <c r="A4939" s="13"/>
      <c r="E4939" s="8"/>
      <c r="F4939" s="1"/>
      <c r="J4939" s="2"/>
      <c r="K4939" s="7"/>
    </row>
    <row r="4940" spans="1:11" x14ac:dyDescent="0.35">
      <c r="A4940" s="13"/>
      <c r="E4940" s="8"/>
      <c r="F4940" s="1"/>
      <c r="J4940" s="2"/>
      <c r="K4940" s="7"/>
    </row>
    <row r="4941" spans="1:11" x14ac:dyDescent="0.35">
      <c r="A4941" s="13"/>
      <c r="E4941" s="8"/>
      <c r="F4941" s="1"/>
      <c r="J4941" s="2"/>
      <c r="K4941" s="7"/>
    </row>
    <row r="4942" spans="1:11" x14ac:dyDescent="0.35">
      <c r="A4942" s="13"/>
      <c r="E4942" s="8"/>
      <c r="F4942" s="1"/>
      <c r="J4942" s="2"/>
      <c r="K4942" s="7"/>
    </row>
    <row r="4943" spans="1:11" x14ac:dyDescent="0.35">
      <c r="A4943" s="13"/>
      <c r="E4943" s="8"/>
      <c r="F4943" s="1"/>
      <c r="J4943" s="2"/>
      <c r="K4943" s="7"/>
    </row>
    <row r="4944" spans="1:11" x14ac:dyDescent="0.35">
      <c r="A4944" s="13"/>
      <c r="E4944" s="8"/>
      <c r="F4944" s="1"/>
      <c r="J4944" s="2"/>
      <c r="K4944" s="7"/>
    </row>
    <row r="4945" spans="1:11" x14ac:dyDescent="0.35">
      <c r="A4945" s="13"/>
      <c r="E4945" s="8"/>
      <c r="F4945" s="1"/>
      <c r="J4945" s="2"/>
      <c r="K4945" s="7"/>
    </row>
    <row r="4946" spans="1:11" x14ac:dyDescent="0.35">
      <c r="A4946" s="13"/>
      <c r="E4946" s="8"/>
      <c r="F4946" s="1"/>
      <c r="J4946" s="2"/>
      <c r="K4946" s="7"/>
    </row>
    <row r="4947" spans="1:11" x14ac:dyDescent="0.35">
      <c r="A4947" s="13"/>
      <c r="E4947" s="8"/>
      <c r="F4947" s="1"/>
      <c r="J4947" s="2"/>
      <c r="K4947" s="7"/>
    </row>
    <row r="4948" spans="1:11" x14ac:dyDescent="0.35">
      <c r="A4948" s="13"/>
      <c r="E4948" s="8"/>
      <c r="F4948" s="1"/>
      <c r="J4948" s="2"/>
      <c r="K4948" s="7"/>
    </row>
    <row r="4949" spans="1:11" x14ac:dyDescent="0.35">
      <c r="A4949" s="13"/>
      <c r="E4949" s="8"/>
      <c r="F4949" s="1"/>
      <c r="J4949" s="2"/>
      <c r="K4949" s="7"/>
    </row>
    <row r="4950" spans="1:11" x14ac:dyDescent="0.35">
      <c r="A4950" s="13"/>
      <c r="E4950" s="8"/>
      <c r="F4950" s="1"/>
      <c r="J4950" s="2"/>
      <c r="K4950" s="7"/>
    </row>
    <row r="4951" spans="1:11" x14ac:dyDescent="0.35">
      <c r="A4951" s="13"/>
      <c r="E4951" s="8"/>
      <c r="F4951" s="1"/>
      <c r="J4951" s="2"/>
      <c r="K4951" s="7"/>
    </row>
    <row r="4952" spans="1:11" x14ac:dyDescent="0.35">
      <c r="A4952" s="13"/>
      <c r="E4952" s="8"/>
      <c r="F4952" s="1"/>
      <c r="J4952" s="2"/>
      <c r="K4952" s="7"/>
    </row>
    <row r="4953" spans="1:11" x14ac:dyDescent="0.35">
      <c r="A4953" s="13"/>
      <c r="E4953" s="8"/>
      <c r="F4953" s="1"/>
      <c r="J4953" s="2"/>
      <c r="K4953" s="7"/>
    </row>
    <row r="4954" spans="1:11" x14ac:dyDescent="0.35">
      <c r="A4954" s="13"/>
      <c r="E4954" s="8"/>
      <c r="F4954" s="1"/>
      <c r="J4954" s="2"/>
      <c r="K4954" s="7"/>
    </row>
    <row r="4955" spans="1:11" x14ac:dyDescent="0.35">
      <c r="A4955" s="13"/>
      <c r="E4955" s="8"/>
      <c r="F4955" s="1"/>
      <c r="J4955" s="2"/>
      <c r="K4955" s="7"/>
    </row>
    <row r="4956" spans="1:11" x14ac:dyDescent="0.35">
      <c r="A4956" s="13"/>
      <c r="E4956" s="8"/>
      <c r="F4956" s="1"/>
      <c r="J4956" s="2"/>
      <c r="K4956" s="7"/>
    </row>
    <row r="4957" spans="1:11" x14ac:dyDescent="0.35">
      <c r="A4957" s="13"/>
      <c r="E4957" s="8"/>
      <c r="F4957" s="1"/>
      <c r="J4957" s="2"/>
      <c r="K4957" s="7"/>
    </row>
    <row r="4958" spans="1:11" x14ac:dyDescent="0.35">
      <c r="A4958" s="13"/>
      <c r="E4958" s="8"/>
      <c r="F4958" s="1"/>
      <c r="J4958" s="2"/>
      <c r="K4958" s="7"/>
    </row>
    <row r="4959" spans="1:11" x14ac:dyDescent="0.35">
      <c r="A4959" s="13"/>
      <c r="E4959" s="8"/>
      <c r="F4959" s="1"/>
      <c r="J4959" s="2"/>
      <c r="K4959" s="7"/>
    </row>
    <row r="4960" spans="1:11" x14ac:dyDescent="0.35">
      <c r="A4960" s="13"/>
      <c r="E4960" s="8"/>
      <c r="F4960" s="1"/>
      <c r="J4960" s="2"/>
      <c r="K4960" s="7"/>
    </row>
    <row r="4961" spans="1:11" x14ac:dyDescent="0.35">
      <c r="A4961" s="13"/>
      <c r="E4961" s="8"/>
      <c r="F4961" s="1"/>
      <c r="J4961" s="2"/>
      <c r="K4961" s="7"/>
    </row>
    <row r="4962" spans="1:11" x14ac:dyDescent="0.35">
      <c r="A4962" s="13"/>
      <c r="E4962" s="8"/>
      <c r="F4962" s="1"/>
      <c r="J4962" s="2"/>
      <c r="K4962" s="7"/>
    </row>
    <row r="4963" spans="1:11" x14ac:dyDescent="0.35">
      <c r="A4963" s="13"/>
      <c r="E4963" s="8"/>
      <c r="F4963" s="1"/>
      <c r="J4963" s="2"/>
      <c r="K4963" s="7"/>
    </row>
    <row r="4964" spans="1:11" x14ac:dyDescent="0.35">
      <c r="A4964" s="13"/>
      <c r="E4964" s="8"/>
      <c r="F4964" s="1"/>
      <c r="J4964" s="2"/>
      <c r="K4964" s="7"/>
    </row>
    <row r="4965" spans="1:11" x14ac:dyDescent="0.35">
      <c r="A4965" s="13"/>
      <c r="E4965" s="8"/>
      <c r="F4965" s="1"/>
      <c r="J4965" s="2"/>
      <c r="K4965" s="7"/>
    </row>
    <row r="4966" spans="1:11" x14ac:dyDescent="0.35">
      <c r="A4966" s="13"/>
      <c r="E4966" s="8"/>
      <c r="F4966" s="1"/>
      <c r="J4966" s="2"/>
      <c r="K4966" s="7"/>
    </row>
    <row r="4967" spans="1:11" x14ac:dyDescent="0.35">
      <c r="A4967" s="13"/>
      <c r="E4967" s="8"/>
      <c r="F4967" s="1"/>
      <c r="J4967" s="2"/>
      <c r="K4967" s="7"/>
    </row>
    <row r="4968" spans="1:11" x14ac:dyDescent="0.35">
      <c r="A4968" s="13"/>
      <c r="E4968" s="8"/>
      <c r="F4968" s="1"/>
      <c r="J4968" s="2"/>
      <c r="K4968" s="7"/>
    </row>
    <row r="4969" spans="1:11" x14ac:dyDescent="0.35">
      <c r="A4969" s="13"/>
      <c r="E4969" s="8"/>
      <c r="F4969" s="1"/>
      <c r="J4969" s="2"/>
      <c r="K4969" s="7"/>
    </row>
    <row r="4970" spans="1:11" x14ac:dyDescent="0.35">
      <c r="A4970" s="13"/>
      <c r="E4970" s="8"/>
      <c r="F4970" s="1"/>
      <c r="J4970" s="2"/>
      <c r="K4970" s="7"/>
    </row>
    <row r="4971" spans="1:11" x14ac:dyDescent="0.35">
      <c r="A4971" s="13"/>
      <c r="E4971" s="8"/>
      <c r="F4971" s="1"/>
      <c r="J4971" s="2"/>
      <c r="K4971" s="7"/>
    </row>
    <row r="4972" spans="1:11" x14ac:dyDescent="0.35">
      <c r="A4972" s="13"/>
      <c r="E4972" s="8"/>
      <c r="F4972" s="1"/>
      <c r="J4972" s="2"/>
      <c r="K4972" s="7"/>
    </row>
    <row r="4973" spans="1:11" x14ac:dyDescent="0.35">
      <c r="A4973" s="13"/>
      <c r="E4973" s="8"/>
      <c r="F4973" s="1"/>
      <c r="J4973" s="2"/>
      <c r="K4973" s="7"/>
    </row>
    <row r="4974" spans="1:11" x14ac:dyDescent="0.35">
      <c r="A4974" s="13"/>
      <c r="E4974" s="8"/>
      <c r="F4974" s="1"/>
      <c r="J4974" s="2"/>
      <c r="K4974" s="7"/>
    </row>
    <row r="4975" spans="1:11" x14ac:dyDescent="0.35">
      <c r="A4975" s="13"/>
      <c r="E4975" s="8"/>
      <c r="F4975" s="1"/>
      <c r="J4975" s="2"/>
      <c r="K4975" s="7"/>
    </row>
    <row r="4976" spans="1:11" x14ac:dyDescent="0.35">
      <c r="A4976" s="13"/>
      <c r="E4976" s="8"/>
      <c r="F4976" s="1"/>
      <c r="J4976" s="2"/>
      <c r="K4976" s="7"/>
    </row>
    <row r="4977" spans="1:11" x14ac:dyDescent="0.35">
      <c r="A4977" s="13"/>
      <c r="E4977" s="8"/>
      <c r="F4977" s="1"/>
      <c r="J4977" s="2"/>
      <c r="K4977" s="7"/>
    </row>
    <row r="4978" spans="1:11" x14ac:dyDescent="0.35">
      <c r="A4978" s="13"/>
      <c r="E4978" s="8"/>
      <c r="F4978" s="1"/>
      <c r="J4978" s="2"/>
      <c r="K4978" s="7"/>
    </row>
    <row r="4979" spans="1:11" x14ac:dyDescent="0.35">
      <c r="A4979" s="13"/>
      <c r="E4979" s="8"/>
      <c r="F4979" s="1"/>
      <c r="J4979" s="2"/>
      <c r="K4979" s="7"/>
    </row>
    <row r="4980" spans="1:11" x14ac:dyDescent="0.35">
      <c r="A4980" s="13"/>
      <c r="E4980" s="8"/>
      <c r="F4980" s="1"/>
      <c r="J4980" s="2"/>
      <c r="K4980" s="7"/>
    </row>
    <row r="4981" spans="1:11" x14ac:dyDescent="0.35">
      <c r="A4981" s="13"/>
      <c r="E4981" s="8"/>
      <c r="F4981" s="1"/>
      <c r="J4981" s="2"/>
      <c r="K4981" s="7"/>
    </row>
    <row r="4982" spans="1:11" x14ac:dyDescent="0.35">
      <c r="A4982" s="13"/>
      <c r="E4982" s="8"/>
      <c r="F4982" s="1"/>
      <c r="J4982" s="2"/>
      <c r="K4982" s="7"/>
    </row>
    <row r="4983" spans="1:11" x14ac:dyDescent="0.35">
      <c r="A4983" s="13"/>
      <c r="E4983" s="8"/>
      <c r="F4983" s="1"/>
      <c r="J4983" s="2"/>
      <c r="K4983" s="7"/>
    </row>
    <row r="4984" spans="1:11" x14ac:dyDescent="0.35">
      <c r="A4984" s="13"/>
      <c r="E4984" s="8"/>
      <c r="F4984" s="1"/>
      <c r="J4984" s="2"/>
      <c r="K4984" s="7"/>
    </row>
    <row r="4985" spans="1:11" x14ac:dyDescent="0.35">
      <c r="A4985" s="13"/>
      <c r="E4985" s="8"/>
      <c r="F4985" s="1"/>
      <c r="J4985" s="2"/>
      <c r="K4985" s="7"/>
    </row>
    <row r="4986" spans="1:11" x14ac:dyDescent="0.35">
      <c r="A4986" s="13"/>
      <c r="E4986" s="8"/>
      <c r="F4986" s="1"/>
      <c r="J4986" s="2"/>
      <c r="K4986" s="7"/>
    </row>
    <row r="4987" spans="1:11" x14ac:dyDescent="0.35">
      <c r="A4987" s="13"/>
      <c r="E4987" s="8"/>
      <c r="F4987" s="1"/>
      <c r="J4987" s="2"/>
      <c r="K4987" s="7"/>
    </row>
    <row r="4988" spans="1:11" x14ac:dyDescent="0.35">
      <c r="A4988" s="13"/>
      <c r="E4988" s="8"/>
      <c r="F4988" s="1"/>
      <c r="J4988" s="2"/>
      <c r="K4988" s="7"/>
    </row>
    <row r="4989" spans="1:11" x14ac:dyDescent="0.35">
      <c r="A4989" s="13"/>
      <c r="E4989" s="8"/>
      <c r="F4989" s="1"/>
      <c r="J4989" s="2"/>
      <c r="K4989" s="7"/>
    </row>
    <row r="4990" spans="1:11" x14ac:dyDescent="0.35">
      <c r="A4990" s="13"/>
      <c r="E4990" s="8"/>
      <c r="F4990" s="1"/>
      <c r="J4990" s="2"/>
      <c r="K4990" s="7"/>
    </row>
    <row r="4991" spans="1:11" x14ac:dyDescent="0.35">
      <c r="A4991" s="13"/>
      <c r="E4991" s="8"/>
      <c r="F4991" s="1"/>
      <c r="J4991" s="2"/>
      <c r="K4991" s="7"/>
    </row>
    <row r="4992" spans="1:11" x14ac:dyDescent="0.35">
      <c r="A4992" s="13"/>
      <c r="E4992" s="8"/>
      <c r="F4992" s="1"/>
      <c r="J4992" s="2"/>
      <c r="K4992" s="7"/>
    </row>
    <row r="4993" spans="1:11" x14ac:dyDescent="0.35">
      <c r="A4993" s="13"/>
      <c r="E4993" s="8"/>
      <c r="F4993" s="1"/>
      <c r="J4993" s="2"/>
      <c r="K4993" s="7"/>
    </row>
    <row r="4994" spans="1:11" x14ac:dyDescent="0.35">
      <c r="A4994" s="13"/>
      <c r="E4994" s="8"/>
      <c r="F4994" s="1"/>
      <c r="J4994" s="2"/>
      <c r="K4994" s="7"/>
    </row>
    <row r="4995" spans="1:11" x14ac:dyDescent="0.35">
      <c r="A4995" s="13"/>
      <c r="E4995" s="8"/>
      <c r="F4995" s="1"/>
      <c r="J4995" s="2"/>
      <c r="K4995" s="7"/>
    </row>
    <row r="4996" spans="1:11" x14ac:dyDescent="0.35">
      <c r="A4996" s="13"/>
      <c r="E4996" s="8"/>
      <c r="F4996" s="1"/>
      <c r="J4996" s="2"/>
      <c r="K4996" s="7"/>
    </row>
    <row r="4997" spans="1:11" x14ac:dyDescent="0.35">
      <c r="A4997" s="13"/>
      <c r="E4997" s="8"/>
      <c r="F4997" s="1"/>
      <c r="J4997" s="2"/>
      <c r="K4997" s="7"/>
    </row>
    <row r="4998" spans="1:11" x14ac:dyDescent="0.35">
      <c r="A4998" s="13"/>
      <c r="E4998" s="8"/>
      <c r="F4998" s="1"/>
      <c r="J4998" s="2"/>
      <c r="K4998" s="7"/>
    </row>
    <row r="4999" spans="1:11" x14ac:dyDescent="0.35">
      <c r="A4999" s="13"/>
      <c r="E4999" s="8"/>
      <c r="F4999" s="1"/>
      <c r="J4999" s="2"/>
      <c r="K4999" s="7"/>
    </row>
    <row r="5000" spans="1:11" x14ac:dyDescent="0.35">
      <c r="A5000" s="13"/>
      <c r="E5000" s="8"/>
      <c r="F5000" s="1"/>
      <c r="J5000" s="2"/>
      <c r="K5000" s="7"/>
    </row>
    <row r="5001" spans="1:11" x14ac:dyDescent="0.35">
      <c r="A5001" s="13"/>
      <c r="E5001" s="8"/>
      <c r="F5001" s="1"/>
      <c r="J5001" s="2"/>
      <c r="K5001" s="7"/>
    </row>
    <row r="5002" spans="1:11" x14ac:dyDescent="0.35">
      <c r="A5002" s="13"/>
      <c r="E5002" s="8"/>
      <c r="F5002" s="1"/>
      <c r="J5002" s="2"/>
      <c r="K5002" s="7"/>
    </row>
    <row r="5003" spans="1:11" x14ac:dyDescent="0.35">
      <c r="A5003" s="13"/>
      <c r="E5003" s="8"/>
      <c r="F5003" s="1"/>
      <c r="J5003" s="2"/>
      <c r="K5003" s="7"/>
    </row>
    <row r="5004" spans="1:11" x14ac:dyDescent="0.35">
      <c r="A5004" s="13"/>
      <c r="E5004" s="8"/>
      <c r="F5004" s="1"/>
      <c r="J5004" s="2"/>
      <c r="K5004" s="7"/>
    </row>
    <row r="5005" spans="1:11" x14ac:dyDescent="0.35">
      <c r="A5005" s="13"/>
      <c r="E5005" s="8"/>
      <c r="F5005" s="1"/>
      <c r="J5005" s="2"/>
      <c r="K5005" s="7"/>
    </row>
    <row r="5006" spans="1:11" x14ac:dyDescent="0.35">
      <c r="A5006" s="13"/>
      <c r="E5006" s="8"/>
      <c r="F5006" s="1"/>
      <c r="J5006" s="2"/>
      <c r="K5006" s="7"/>
    </row>
    <row r="5007" spans="1:11" x14ac:dyDescent="0.35">
      <c r="A5007" s="13"/>
      <c r="E5007" s="8"/>
      <c r="F5007" s="1"/>
      <c r="J5007" s="2"/>
      <c r="K5007" s="7"/>
    </row>
    <row r="5008" spans="1:11" x14ac:dyDescent="0.35">
      <c r="A5008" s="13"/>
      <c r="E5008" s="8"/>
      <c r="F5008" s="1"/>
      <c r="J5008" s="2"/>
      <c r="K5008" s="7"/>
    </row>
    <row r="5009" spans="1:11" x14ac:dyDescent="0.35">
      <c r="A5009" s="13"/>
      <c r="E5009" s="8"/>
      <c r="F5009" s="1"/>
      <c r="J5009" s="2"/>
      <c r="K5009" s="7"/>
    </row>
    <row r="5010" spans="1:11" x14ac:dyDescent="0.35">
      <c r="A5010" s="13"/>
      <c r="E5010" s="8"/>
      <c r="F5010" s="1"/>
      <c r="J5010" s="2"/>
      <c r="K5010" s="7"/>
    </row>
    <row r="5011" spans="1:11" x14ac:dyDescent="0.35">
      <c r="A5011" s="13"/>
      <c r="E5011" s="8"/>
      <c r="F5011" s="1"/>
      <c r="J5011" s="2"/>
      <c r="K5011" s="7"/>
    </row>
    <row r="5012" spans="1:11" x14ac:dyDescent="0.35">
      <c r="A5012" s="13"/>
      <c r="E5012" s="8"/>
      <c r="F5012" s="1"/>
      <c r="J5012" s="2"/>
      <c r="K5012" s="7"/>
    </row>
    <row r="5013" spans="1:11" x14ac:dyDescent="0.35">
      <c r="A5013" s="13"/>
      <c r="E5013" s="8"/>
      <c r="F5013" s="1"/>
      <c r="J5013" s="2"/>
      <c r="K5013" s="7"/>
    </row>
    <row r="5014" spans="1:11" x14ac:dyDescent="0.35">
      <c r="A5014" s="13"/>
      <c r="E5014" s="8"/>
      <c r="F5014" s="1"/>
      <c r="J5014" s="2"/>
      <c r="K5014" s="7"/>
    </row>
    <row r="5015" spans="1:11" x14ac:dyDescent="0.35">
      <c r="A5015" s="13"/>
      <c r="E5015" s="8"/>
      <c r="F5015" s="1"/>
      <c r="J5015" s="2"/>
      <c r="K5015" s="7"/>
    </row>
    <row r="5016" spans="1:11" x14ac:dyDescent="0.35">
      <c r="A5016" s="13"/>
      <c r="E5016" s="8"/>
      <c r="F5016" s="1"/>
      <c r="J5016" s="2"/>
      <c r="K5016" s="7"/>
    </row>
    <row r="5017" spans="1:11" x14ac:dyDescent="0.35">
      <c r="A5017" s="13"/>
      <c r="E5017" s="8"/>
      <c r="F5017" s="1"/>
      <c r="J5017" s="2"/>
      <c r="K5017" s="7"/>
    </row>
    <row r="5018" spans="1:11" x14ac:dyDescent="0.35">
      <c r="A5018" s="13"/>
      <c r="E5018" s="8"/>
      <c r="F5018" s="1"/>
      <c r="J5018" s="2"/>
      <c r="K5018" s="7"/>
    </row>
    <row r="5019" spans="1:11" x14ac:dyDescent="0.35">
      <c r="A5019" s="13"/>
      <c r="E5019" s="8"/>
      <c r="F5019" s="1"/>
      <c r="J5019" s="2"/>
      <c r="K5019" s="7"/>
    </row>
    <row r="5020" spans="1:11" x14ac:dyDescent="0.35">
      <c r="A5020" s="13"/>
      <c r="E5020" s="8"/>
      <c r="F5020" s="1"/>
      <c r="J5020" s="2"/>
      <c r="K5020" s="7"/>
    </row>
    <row r="5021" spans="1:11" x14ac:dyDescent="0.35">
      <c r="A5021" s="13"/>
      <c r="E5021" s="8"/>
      <c r="F5021" s="1"/>
      <c r="J5021" s="2"/>
      <c r="K5021" s="7"/>
    </row>
    <row r="5022" spans="1:11" x14ac:dyDescent="0.35">
      <c r="A5022" s="13"/>
      <c r="E5022" s="8"/>
      <c r="F5022" s="1"/>
      <c r="J5022" s="2"/>
      <c r="K5022" s="7"/>
    </row>
    <row r="5023" spans="1:11" x14ac:dyDescent="0.35">
      <c r="A5023" s="13"/>
      <c r="E5023" s="8"/>
      <c r="F5023" s="1"/>
      <c r="J5023" s="2"/>
      <c r="K5023" s="7"/>
    </row>
    <row r="5024" spans="1:11" x14ac:dyDescent="0.35">
      <c r="A5024" s="13"/>
      <c r="E5024" s="8"/>
      <c r="F5024" s="1"/>
      <c r="J5024" s="2"/>
      <c r="K5024" s="7"/>
    </row>
    <row r="5025" spans="1:11" x14ac:dyDescent="0.35">
      <c r="A5025" s="13"/>
      <c r="E5025" s="8"/>
      <c r="F5025" s="1"/>
      <c r="J5025" s="2"/>
      <c r="K5025" s="7"/>
    </row>
    <row r="5026" spans="1:11" x14ac:dyDescent="0.35">
      <c r="A5026" s="13"/>
      <c r="E5026" s="8"/>
      <c r="F5026" s="1"/>
      <c r="J5026" s="2"/>
      <c r="K5026" s="7"/>
    </row>
    <row r="5027" spans="1:11" x14ac:dyDescent="0.35">
      <c r="A5027" s="13"/>
      <c r="E5027" s="8"/>
      <c r="F5027" s="1"/>
      <c r="J5027" s="2"/>
      <c r="K5027" s="7"/>
    </row>
    <row r="5028" spans="1:11" x14ac:dyDescent="0.35">
      <c r="A5028" s="13"/>
      <c r="E5028" s="8"/>
      <c r="F5028" s="1"/>
      <c r="J5028" s="2"/>
      <c r="K5028" s="7"/>
    </row>
    <row r="5029" spans="1:11" x14ac:dyDescent="0.35">
      <c r="A5029" s="13"/>
      <c r="E5029" s="8"/>
      <c r="F5029" s="1"/>
      <c r="J5029" s="2"/>
      <c r="K5029" s="7"/>
    </row>
    <row r="5030" spans="1:11" x14ac:dyDescent="0.35">
      <c r="A5030" s="13"/>
      <c r="E5030" s="8"/>
      <c r="F5030" s="1"/>
      <c r="J5030" s="2"/>
      <c r="K5030" s="7"/>
    </row>
    <row r="5031" spans="1:11" x14ac:dyDescent="0.35">
      <c r="A5031" s="13"/>
      <c r="E5031" s="8"/>
      <c r="F5031" s="1"/>
      <c r="J5031" s="2"/>
      <c r="K5031" s="7"/>
    </row>
    <row r="5032" spans="1:11" x14ac:dyDescent="0.35">
      <c r="A5032" s="13"/>
      <c r="E5032" s="8"/>
      <c r="F5032" s="1"/>
      <c r="J5032" s="2"/>
      <c r="K5032" s="7"/>
    </row>
    <row r="5033" spans="1:11" x14ac:dyDescent="0.35">
      <c r="A5033" s="13"/>
      <c r="E5033" s="8"/>
      <c r="F5033" s="1"/>
      <c r="J5033" s="2"/>
      <c r="K5033" s="7"/>
    </row>
    <row r="5034" spans="1:11" x14ac:dyDescent="0.35">
      <c r="A5034" s="13"/>
      <c r="E5034" s="8"/>
      <c r="F5034" s="1"/>
      <c r="J5034" s="2"/>
      <c r="K5034" s="7"/>
    </row>
    <row r="5035" spans="1:11" x14ac:dyDescent="0.35">
      <c r="A5035" s="13"/>
      <c r="E5035" s="8"/>
      <c r="F5035" s="1"/>
      <c r="J5035" s="2"/>
      <c r="K5035" s="7"/>
    </row>
    <row r="5036" spans="1:11" x14ac:dyDescent="0.35">
      <c r="A5036" s="13"/>
      <c r="E5036" s="8"/>
      <c r="F5036" s="1"/>
      <c r="J5036" s="2"/>
      <c r="K5036" s="7"/>
    </row>
    <row r="5037" spans="1:11" x14ac:dyDescent="0.35">
      <c r="A5037" s="13"/>
      <c r="E5037" s="8"/>
      <c r="F5037" s="1"/>
      <c r="J5037" s="2"/>
      <c r="K5037" s="7"/>
    </row>
    <row r="5038" spans="1:11" x14ac:dyDescent="0.35">
      <c r="A5038" s="13"/>
      <c r="E5038" s="8"/>
      <c r="F5038" s="1"/>
      <c r="J5038" s="2"/>
      <c r="K5038" s="7"/>
    </row>
    <row r="5039" spans="1:11" x14ac:dyDescent="0.35">
      <c r="A5039" s="13"/>
      <c r="E5039" s="8"/>
      <c r="F5039" s="1"/>
      <c r="J5039" s="2"/>
      <c r="K5039" s="7"/>
    </row>
    <row r="5040" spans="1:11" x14ac:dyDescent="0.35">
      <c r="A5040" s="13"/>
      <c r="E5040" s="8"/>
      <c r="F5040" s="1"/>
      <c r="J5040" s="2"/>
      <c r="K5040" s="7"/>
    </row>
    <row r="5041" spans="1:11" x14ac:dyDescent="0.35">
      <c r="A5041" s="13"/>
      <c r="E5041" s="8"/>
      <c r="F5041" s="1"/>
      <c r="J5041" s="2"/>
      <c r="K5041" s="7"/>
    </row>
    <row r="5042" spans="1:11" x14ac:dyDescent="0.35">
      <c r="A5042" s="13"/>
      <c r="E5042" s="8"/>
      <c r="F5042" s="1"/>
      <c r="J5042" s="2"/>
      <c r="K5042" s="7"/>
    </row>
    <row r="5043" spans="1:11" x14ac:dyDescent="0.35">
      <c r="A5043" s="13"/>
      <c r="E5043" s="8"/>
      <c r="F5043" s="1"/>
      <c r="J5043" s="2"/>
      <c r="K5043" s="7"/>
    </row>
    <row r="5044" spans="1:11" x14ac:dyDescent="0.35">
      <c r="A5044" s="13"/>
      <c r="E5044" s="8"/>
      <c r="F5044" s="1"/>
      <c r="J5044" s="2"/>
      <c r="K5044" s="7"/>
    </row>
    <row r="5045" spans="1:11" x14ac:dyDescent="0.35">
      <c r="A5045" s="13"/>
      <c r="E5045" s="8"/>
      <c r="F5045" s="1"/>
      <c r="J5045" s="2"/>
      <c r="K5045" s="7"/>
    </row>
    <row r="5046" spans="1:11" x14ac:dyDescent="0.35">
      <c r="A5046" s="13"/>
      <c r="E5046" s="8"/>
      <c r="F5046" s="1"/>
      <c r="J5046" s="2"/>
      <c r="K5046" s="7"/>
    </row>
    <row r="5047" spans="1:11" x14ac:dyDescent="0.35">
      <c r="A5047" s="13"/>
      <c r="E5047" s="8"/>
      <c r="F5047" s="1"/>
      <c r="J5047" s="2"/>
      <c r="K5047" s="7"/>
    </row>
    <row r="5048" spans="1:11" x14ac:dyDescent="0.35">
      <c r="A5048" s="13"/>
      <c r="E5048" s="8"/>
      <c r="F5048" s="1"/>
      <c r="J5048" s="2"/>
      <c r="K5048" s="7"/>
    </row>
    <row r="5049" spans="1:11" x14ac:dyDescent="0.35">
      <c r="A5049" s="13"/>
      <c r="E5049" s="8"/>
      <c r="F5049" s="1"/>
      <c r="J5049" s="2"/>
      <c r="K5049" s="7"/>
    </row>
    <row r="5050" spans="1:11" x14ac:dyDescent="0.35">
      <c r="A5050" s="13"/>
      <c r="E5050" s="8"/>
      <c r="F5050" s="1"/>
      <c r="J5050" s="2"/>
      <c r="K5050" s="7"/>
    </row>
    <row r="5051" spans="1:11" x14ac:dyDescent="0.35">
      <c r="A5051" s="13"/>
      <c r="E5051" s="8"/>
      <c r="F5051" s="1"/>
      <c r="J5051" s="2"/>
      <c r="K5051" s="7"/>
    </row>
    <row r="5052" spans="1:11" x14ac:dyDescent="0.35">
      <c r="A5052" s="13"/>
      <c r="E5052" s="8"/>
      <c r="F5052" s="1"/>
      <c r="J5052" s="2"/>
      <c r="K5052" s="7"/>
    </row>
    <row r="5053" spans="1:11" x14ac:dyDescent="0.35">
      <c r="A5053" s="13"/>
      <c r="E5053" s="8"/>
      <c r="F5053" s="1"/>
      <c r="J5053" s="2"/>
      <c r="K5053" s="7"/>
    </row>
    <row r="5054" spans="1:11" x14ac:dyDescent="0.35">
      <c r="A5054" s="13"/>
      <c r="E5054" s="8"/>
      <c r="F5054" s="1"/>
      <c r="J5054" s="2"/>
      <c r="K5054" s="7"/>
    </row>
    <row r="5055" spans="1:11" x14ac:dyDescent="0.35">
      <c r="A5055" s="13"/>
      <c r="E5055" s="8"/>
      <c r="F5055" s="1"/>
      <c r="J5055" s="2"/>
      <c r="K5055" s="7"/>
    </row>
    <row r="5056" spans="1:11" x14ac:dyDescent="0.35">
      <c r="A5056" s="13"/>
      <c r="E5056" s="8"/>
      <c r="F5056" s="1"/>
      <c r="J5056" s="2"/>
      <c r="K5056" s="7"/>
    </row>
    <row r="5057" spans="1:11" x14ac:dyDescent="0.35">
      <c r="A5057" s="13"/>
      <c r="E5057" s="8"/>
      <c r="F5057" s="1"/>
      <c r="J5057" s="2"/>
      <c r="K5057" s="7"/>
    </row>
    <row r="5058" spans="1:11" x14ac:dyDescent="0.35">
      <c r="A5058" s="13"/>
      <c r="E5058" s="8"/>
      <c r="F5058" s="1"/>
      <c r="J5058" s="2"/>
      <c r="K5058" s="7"/>
    </row>
    <row r="5059" spans="1:11" x14ac:dyDescent="0.35">
      <c r="A5059" s="13"/>
      <c r="E5059" s="8"/>
      <c r="F5059" s="1"/>
      <c r="J5059" s="2"/>
      <c r="K5059" s="7"/>
    </row>
    <row r="5060" spans="1:11" x14ac:dyDescent="0.35">
      <c r="A5060" s="13"/>
      <c r="E5060" s="8"/>
      <c r="F5060" s="1"/>
      <c r="J5060" s="2"/>
      <c r="K5060" s="7"/>
    </row>
    <row r="5061" spans="1:11" x14ac:dyDescent="0.35">
      <c r="A5061" s="13"/>
      <c r="E5061" s="8"/>
      <c r="F5061" s="1"/>
      <c r="J5061" s="2"/>
      <c r="K5061" s="7"/>
    </row>
    <row r="5062" spans="1:11" x14ac:dyDescent="0.35">
      <c r="A5062" s="13"/>
      <c r="E5062" s="8"/>
      <c r="F5062" s="1"/>
      <c r="J5062" s="2"/>
      <c r="K5062" s="7"/>
    </row>
    <row r="5063" spans="1:11" x14ac:dyDescent="0.35">
      <c r="A5063" s="13"/>
      <c r="E5063" s="8"/>
      <c r="F5063" s="1"/>
      <c r="J5063" s="2"/>
      <c r="K5063" s="7"/>
    </row>
    <row r="5064" spans="1:11" x14ac:dyDescent="0.35">
      <c r="A5064" s="13"/>
      <c r="E5064" s="8"/>
      <c r="F5064" s="1"/>
      <c r="J5064" s="2"/>
      <c r="K5064" s="7"/>
    </row>
    <row r="5065" spans="1:11" x14ac:dyDescent="0.35">
      <c r="A5065" s="13"/>
      <c r="E5065" s="8"/>
      <c r="F5065" s="1"/>
      <c r="J5065" s="2"/>
      <c r="K5065" s="7"/>
    </row>
    <row r="5066" spans="1:11" x14ac:dyDescent="0.35">
      <c r="A5066" s="13"/>
      <c r="E5066" s="8"/>
      <c r="F5066" s="1"/>
      <c r="J5066" s="2"/>
      <c r="K5066" s="7"/>
    </row>
    <row r="5067" spans="1:11" x14ac:dyDescent="0.35">
      <c r="A5067" s="13"/>
      <c r="E5067" s="8"/>
      <c r="F5067" s="1"/>
      <c r="J5067" s="2"/>
      <c r="K5067" s="7"/>
    </row>
    <row r="5068" spans="1:11" x14ac:dyDescent="0.35">
      <c r="A5068" s="13"/>
      <c r="E5068" s="8"/>
      <c r="F5068" s="1"/>
      <c r="J5068" s="2"/>
      <c r="K5068" s="7"/>
    </row>
    <row r="5069" spans="1:11" x14ac:dyDescent="0.35">
      <c r="A5069" s="13"/>
      <c r="E5069" s="8"/>
      <c r="F5069" s="1"/>
      <c r="J5069" s="2"/>
      <c r="K5069" s="7"/>
    </row>
    <row r="5070" spans="1:11" x14ac:dyDescent="0.35">
      <c r="A5070" s="13"/>
      <c r="E5070" s="8"/>
      <c r="F5070" s="1"/>
      <c r="J5070" s="2"/>
      <c r="K5070" s="7"/>
    </row>
    <row r="5071" spans="1:11" x14ac:dyDescent="0.35">
      <c r="A5071" s="13"/>
      <c r="E5071" s="8"/>
      <c r="F5071" s="1"/>
      <c r="J5071" s="2"/>
      <c r="K5071" s="7"/>
    </row>
    <row r="5072" spans="1:11" x14ac:dyDescent="0.35">
      <c r="A5072" s="13"/>
      <c r="E5072" s="8"/>
      <c r="F5072" s="1"/>
      <c r="J5072" s="2"/>
      <c r="K5072" s="7"/>
    </row>
    <row r="5073" spans="1:11" x14ac:dyDescent="0.35">
      <c r="A5073" s="13"/>
      <c r="E5073" s="8"/>
      <c r="F5073" s="1"/>
      <c r="J5073" s="2"/>
      <c r="K5073" s="7"/>
    </row>
    <row r="5074" spans="1:11" x14ac:dyDescent="0.35">
      <c r="A5074" s="13"/>
      <c r="E5074" s="8"/>
      <c r="F5074" s="1"/>
      <c r="J5074" s="2"/>
      <c r="K5074" s="7"/>
    </row>
    <row r="5075" spans="1:11" x14ac:dyDescent="0.35">
      <c r="A5075" s="13"/>
      <c r="E5075" s="8"/>
      <c r="F5075" s="1"/>
      <c r="J5075" s="2"/>
      <c r="K5075" s="7"/>
    </row>
    <row r="5076" spans="1:11" x14ac:dyDescent="0.35">
      <c r="A5076" s="13"/>
      <c r="E5076" s="8"/>
      <c r="F5076" s="1"/>
      <c r="J5076" s="2"/>
      <c r="K5076" s="7"/>
    </row>
    <row r="5077" spans="1:11" x14ac:dyDescent="0.35">
      <c r="A5077" s="13"/>
      <c r="E5077" s="8"/>
      <c r="F5077" s="1"/>
      <c r="J5077" s="2"/>
      <c r="K5077" s="7"/>
    </row>
    <row r="5078" spans="1:11" x14ac:dyDescent="0.35">
      <c r="A5078" s="13"/>
      <c r="E5078" s="8"/>
      <c r="F5078" s="1"/>
      <c r="J5078" s="2"/>
      <c r="K5078" s="7"/>
    </row>
    <row r="5079" spans="1:11" x14ac:dyDescent="0.35">
      <c r="A5079" s="13"/>
      <c r="E5079" s="8"/>
      <c r="F5079" s="1"/>
      <c r="J5079" s="2"/>
      <c r="K5079" s="7"/>
    </row>
    <row r="5080" spans="1:11" x14ac:dyDescent="0.35">
      <c r="A5080" s="13"/>
      <c r="E5080" s="8"/>
      <c r="F5080" s="1"/>
      <c r="J5080" s="2"/>
      <c r="K5080" s="7"/>
    </row>
    <row r="5081" spans="1:11" x14ac:dyDescent="0.35">
      <c r="A5081" s="13"/>
      <c r="E5081" s="8"/>
      <c r="F5081" s="1"/>
      <c r="J5081" s="2"/>
      <c r="K5081" s="7"/>
    </row>
    <row r="5082" spans="1:11" x14ac:dyDescent="0.35">
      <c r="A5082" s="13"/>
      <c r="E5082" s="8"/>
      <c r="F5082" s="1"/>
      <c r="J5082" s="2"/>
      <c r="K5082" s="7"/>
    </row>
    <row r="5083" spans="1:11" x14ac:dyDescent="0.35">
      <c r="A5083" s="13"/>
      <c r="E5083" s="8"/>
      <c r="F5083" s="1"/>
      <c r="J5083" s="2"/>
      <c r="K5083" s="7"/>
    </row>
    <row r="5084" spans="1:11" x14ac:dyDescent="0.35">
      <c r="A5084" s="13"/>
      <c r="E5084" s="8"/>
      <c r="F5084" s="1"/>
      <c r="J5084" s="2"/>
      <c r="K5084" s="7"/>
    </row>
    <row r="5085" spans="1:11" x14ac:dyDescent="0.35">
      <c r="A5085" s="13"/>
      <c r="E5085" s="8"/>
      <c r="F5085" s="1"/>
      <c r="J5085" s="2"/>
      <c r="K5085" s="7"/>
    </row>
    <row r="5086" spans="1:11" x14ac:dyDescent="0.35">
      <c r="A5086" s="13"/>
      <c r="E5086" s="8"/>
      <c r="F5086" s="1"/>
      <c r="J5086" s="2"/>
      <c r="K5086" s="7"/>
    </row>
    <row r="5087" spans="1:11" x14ac:dyDescent="0.35">
      <c r="A5087" s="13"/>
      <c r="E5087" s="8"/>
      <c r="F5087" s="1"/>
      <c r="J5087" s="2"/>
      <c r="K5087" s="7"/>
    </row>
    <row r="5088" spans="1:11" x14ac:dyDescent="0.35">
      <c r="A5088" s="13"/>
      <c r="E5088" s="8"/>
      <c r="F5088" s="1"/>
      <c r="J5088" s="2"/>
      <c r="K5088" s="7"/>
    </row>
    <row r="5089" spans="1:11" x14ac:dyDescent="0.35">
      <c r="A5089" s="13"/>
      <c r="E5089" s="8"/>
      <c r="F5089" s="1"/>
      <c r="J5089" s="2"/>
      <c r="K5089" s="7"/>
    </row>
    <row r="5090" spans="1:11" x14ac:dyDescent="0.35">
      <c r="A5090" s="13"/>
      <c r="E5090" s="8"/>
      <c r="F5090" s="1"/>
      <c r="J5090" s="2"/>
      <c r="K5090" s="7"/>
    </row>
    <row r="5091" spans="1:11" x14ac:dyDescent="0.35">
      <c r="A5091" s="13"/>
      <c r="E5091" s="8"/>
      <c r="F5091" s="1"/>
      <c r="J5091" s="2"/>
      <c r="K5091" s="7"/>
    </row>
    <row r="5092" spans="1:11" x14ac:dyDescent="0.35">
      <c r="A5092" s="13"/>
      <c r="E5092" s="8"/>
      <c r="F5092" s="1"/>
      <c r="J5092" s="2"/>
      <c r="K5092" s="7"/>
    </row>
    <row r="5093" spans="1:11" x14ac:dyDescent="0.35">
      <c r="A5093" s="13"/>
      <c r="E5093" s="8"/>
      <c r="F5093" s="1"/>
      <c r="J5093" s="2"/>
      <c r="K5093" s="7"/>
    </row>
    <row r="5094" spans="1:11" x14ac:dyDescent="0.35">
      <c r="A5094" s="13"/>
      <c r="E5094" s="8"/>
      <c r="F5094" s="1"/>
      <c r="J5094" s="2"/>
      <c r="K5094" s="7"/>
    </row>
    <row r="5095" spans="1:11" x14ac:dyDescent="0.35">
      <c r="A5095" s="13"/>
      <c r="E5095" s="8"/>
      <c r="F5095" s="1"/>
      <c r="J5095" s="2"/>
      <c r="K5095" s="7"/>
    </row>
    <row r="5096" spans="1:11" x14ac:dyDescent="0.35">
      <c r="A5096" s="13"/>
      <c r="E5096" s="8"/>
      <c r="F5096" s="1"/>
      <c r="J5096" s="2"/>
      <c r="K5096" s="7"/>
    </row>
    <row r="5097" spans="1:11" x14ac:dyDescent="0.35">
      <c r="A5097" s="13"/>
      <c r="E5097" s="8"/>
      <c r="F5097" s="1"/>
      <c r="J5097" s="2"/>
      <c r="K5097" s="7"/>
    </row>
    <row r="5098" spans="1:11" x14ac:dyDescent="0.35">
      <c r="A5098" s="13"/>
      <c r="E5098" s="8"/>
      <c r="F5098" s="1"/>
      <c r="J5098" s="2"/>
      <c r="K5098" s="7"/>
    </row>
    <row r="5099" spans="1:11" x14ac:dyDescent="0.35">
      <c r="A5099" s="13"/>
      <c r="E5099" s="8"/>
      <c r="F5099" s="1"/>
      <c r="J5099" s="2"/>
      <c r="K5099" s="7"/>
    </row>
    <row r="5100" spans="1:11" x14ac:dyDescent="0.35">
      <c r="A5100" s="13"/>
      <c r="E5100" s="8"/>
      <c r="F5100" s="1"/>
      <c r="J5100" s="2"/>
      <c r="K5100" s="7"/>
    </row>
    <row r="5101" spans="1:11" x14ac:dyDescent="0.35">
      <c r="A5101" s="13"/>
      <c r="E5101" s="8"/>
      <c r="F5101" s="1"/>
      <c r="J5101" s="2"/>
      <c r="K5101" s="7"/>
    </row>
    <row r="5102" spans="1:11" x14ac:dyDescent="0.35">
      <c r="A5102" s="13"/>
      <c r="E5102" s="8"/>
      <c r="F5102" s="1"/>
      <c r="J5102" s="2"/>
      <c r="K5102" s="7"/>
    </row>
    <row r="5103" spans="1:11" x14ac:dyDescent="0.35">
      <c r="A5103" s="13"/>
      <c r="E5103" s="8"/>
      <c r="F5103" s="1"/>
      <c r="J5103" s="2"/>
      <c r="K5103" s="7"/>
    </row>
    <row r="5104" spans="1:11" x14ac:dyDescent="0.35">
      <c r="A5104" s="13"/>
      <c r="E5104" s="8"/>
      <c r="F5104" s="1"/>
      <c r="J5104" s="2"/>
      <c r="K5104" s="7"/>
    </row>
    <row r="5105" spans="1:11" x14ac:dyDescent="0.35">
      <c r="A5105" s="13"/>
      <c r="E5105" s="8"/>
      <c r="F5105" s="1"/>
      <c r="J5105" s="2"/>
      <c r="K5105" s="7"/>
    </row>
    <row r="5106" spans="1:11" x14ac:dyDescent="0.35">
      <c r="A5106" s="13"/>
      <c r="E5106" s="8"/>
      <c r="F5106" s="1"/>
      <c r="J5106" s="2"/>
      <c r="K5106" s="7"/>
    </row>
    <row r="5107" spans="1:11" x14ac:dyDescent="0.35">
      <c r="A5107" s="13"/>
      <c r="E5107" s="8"/>
      <c r="F5107" s="1"/>
      <c r="J5107" s="2"/>
      <c r="K5107" s="7"/>
    </row>
    <row r="5108" spans="1:11" x14ac:dyDescent="0.35">
      <c r="A5108" s="13"/>
      <c r="E5108" s="8"/>
      <c r="F5108" s="1"/>
      <c r="J5108" s="2"/>
      <c r="K5108" s="7"/>
    </row>
    <row r="5109" spans="1:11" x14ac:dyDescent="0.35">
      <c r="A5109" s="13"/>
      <c r="E5109" s="8"/>
      <c r="F5109" s="1"/>
      <c r="J5109" s="2"/>
      <c r="K5109" s="7"/>
    </row>
    <row r="5110" spans="1:11" x14ac:dyDescent="0.35">
      <c r="A5110" s="13"/>
      <c r="E5110" s="8"/>
      <c r="F5110" s="1"/>
      <c r="J5110" s="2"/>
      <c r="K5110" s="7"/>
    </row>
    <row r="5111" spans="1:11" x14ac:dyDescent="0.35">
      <c r="A5111" s="13"/>
      <c r="E5111" s="8"/>
      <c r="F5111" s="1"/>
      <c r="J5111" s="2"/>
      <c r="K5111" s="7"/>
    </row>
    <row r="5112" spans="1:11" x14ac:dyDescent="0.35">
      <c r="A5112" s="13"/>
      <c r="E5112" s="8"/>
      <c r="F5112" s="1"/>
      <c r="J5112" s="2"/>
      <c r="K5112" s="7"/>
    </row>
    <row r="5113" spans="1:11" x14ac:dyDescent="0.35">
      <c r="A5113" s="13"/>
      <c r="E5113" s="8"/>
      <c r="F5113" s="1"/>
      <c r="J5113" s="2"/>
      <c r="K5113" s="7"/>
    </row>
    <row r="5114" spans="1:11" x14ac:dyDescent="0.35">
      <c r="A5114" s="13"/>
      <c r="E5114" s="8"/>
      <c r="F5114" s="1"/>
      <c r="J5114" s="2"/>
      <c r="K5114" s="7"/>
    </row>
    <row r="5115" spans="1:11" x14ac:dyDescent="0.35">
      <c r="A5115" s="13"/>
      <c r="E5115" s="8"/>
      <c r="F5115" s="1"/>
      <c r="J5115" s="2"/>
      <c r="K5115" s="7"/>
    </row>
    <row r="5116" spans="1:11" x14ac:dyDescent="0.35">
      <c r="A5116" s="13"/>
      <c r="E5116" s="8"/>
      <c r="F5116" s="1"/>
      <c r="J5116" s="2"/>
      <c r="K5116" s="7"/>
    </row>
    <row r="5117" spans="1:11" x14ac:dyDescent="0.35">
      <c r="A5117" s="13"/>
      <c r="E5117" s="8"/>
      <c r="F5117" s="1"/>
      <c r="J5117" s="2"/>
      <c r="K5117" s="7"/>
    </row>
    <row r="5118" spans="1:11" x14ac:dyDescent="0.35">
      <c r="A5118" s="13"/>
      <c r="E5118" s="8"/>
      <c r="F5118" s="1"/>
      <c r="J5118" s="2"/>
      <c r="K5118" s="7"/>
    </row>
    <row r="5119" spans="1:11" x14ac:dyDescent="0.35">
      <c r="A5119" s="13"/>
      <c r="E5119" s="8"/>
      <c r="F5119" s="1"/>
      <c r="J5119" s="2"/>
      <c r="K5119" s="7"/>
    </row>
    <row r="5120" spans="1:11" x14ac:dyDescent="0.35">
      <c r="A5120" s="13"/>
      <c r="E5120" s="8"/>
      <c r="F5120" s="1"/>
      <c r="J5120" s="2"/>
      <c r="K5120" s="7"/>
    </row>
    <row r="5121" spans="1:11" x14ac:dyDescent="0.35">
      <c r="A5121" s="13"/>
      <c r="E5121" s="8"/>
      <c r="F5121" s="1"/>
      <c r="J5121" s="2"/>
      <c r="K5121" s="7"/>
    </row>
    <row r="5122" spans="1:11" x14ac:dyDescent="0.35">
      <c r="A5122" s="13"/>
      <c r="E5122" s="8"/>
      <c r="F5122" s="1"/>
      <c r="J5122" s="2"/>
      <c r="K5122" s="7"/>
    </row>
    <row r="5123" spans="1:11" x14ac:dyDescent="0.35">
      <c r="A5123" s="13"/>
      <c r="E5123" s="8"/>
      <c r="F5123" s="1"/>
      <c r="J5123" s="2"/>
      <c r="K5123" s="7"/>
    </row>
    <row r="5124" spans="1:11" x14ac:dyDescent="0.35">
      <c r="A5124" s="13"/>
      <c r="E5124" s="8"/>
      <c r="F5124" s="1"/>
      <c r="J5124" s="2"/>
      <c r="K5124" s="7"/>
    </row>
    <row r="5125" spans="1:11" x14ac:dyDescent="0.35">
      <c r="A5125" s="13"/>
      <c r="E5125" s="8"/>
      <c r="F5125" s="1"/>
      <c r="J5125" s="2"/>
      <c r="K5125" s="7"/>
    </row>
    <row r="5126" spans="1:11" x14ac:dyDescent="0.35">
      <c r="A5126" s="13"/>
      <c r="E5126" s="8"/>
      <c r="F5126" s="1"/>
      <c r="J5126" s="2"/>
      <c r="K5126" s="7"/>
    </row>
    <row r="5127" spans="1:11" x14ac:dyDescent="0.35">
      <c r="A5127" s="13"/>
      <c r="E5127" s="8"/>
      <c r="F5127" s="1"/>
      <c r="J5127" s="2"/>
      <c r="K5127" s="7"/>
    </row>
    <row r="5128" spans="1:11" x14ac:dyDescent="0.35">
      <c r="A5128" s="13"/>
      <c r="E5128" s="8"/>
      <c r="F5128" s="1"/>
      <c r="J5128" s="2"/>
      <c r="K5128" s="7"/>
    </row>
    <row r="5129" spans="1:11" x14ac:dyDescent="0.35">
      <c r="A5129" s="13"/>
      <c r="E5129" s="8"/>
      <c r="F5129" s="1"/>
      <c r="J5129" s="2"/>
      <c r="K5129" s="7"/>
    </row>
    <row r="5130" spans="1:11" x14ac:dyDescent="0.35">
      <c r="A5130" s="13"/>
      <c r="E5130" s="8"/>
      <c r="F5130" s="1"/>
      <c r="J5130" s="2"/>
      <c r="K5130" s="7"/>
    </row>
    <row r="5131" spans="1:11" x14ac:dyDescent="0.35">
      <c r="A5131" s="13"/>
      <c r="E5131" s="8"/>
      <c r="F5131" s="1"/>
      <c r="J5131" s="2"/>
      <c r="K5131" s="7"/>
    </row>
    <row r="5132" spans="1:11" x14ac:dyDescent="0.35">
      <c r="A5132" s="13"/>
      <c r="E5132" s="8"/>
      <c r="F5132" s="1"/>
      <c r="J5132" s="2"/>
      <c r="K5132" s="7"/>
    </row>
    <row r="5133" spans="1:11" x14ac:dyDescent="0.35">
      <c r="A5133" s="13"/>
      <c r="E5133" s="8"/>
      <c r="F5133" s="1"/>
      <c r="J5133" s="2"/>
      <c r="K5133" s="7"/>
    </row>
    <row r="5134" spans="1:11" x14ac:dyDescent="0.35">
      <c r="A5134" s="13"/>
      <c r="E5134" s="8"/>
      <c r="F5134" s="1"/>
      <c r="J5134" s="2"/>
      <c r="K5134" s="7"/>
    </row>
    <row r="5135" spans="1:11" x14ac:dyDescent="0.35">
      <c r="A5135" s="13"/>
      <c r="E5135" s="8"/>
      <c r="F5135" s="1"/>
      <c r="J5135" s="2"/>
      <c r="K5135" s="7"/>
    </row>
    <row r="5136" spans="1:11" x14ac:dyDescent="0.35">
      <c r="A5136" s="13"/>
      <c r="E5136" s="8"/>
      <c r="F5136" s="1"/>
      <c r="J5136" s="2"/>
      <c r="K5136" s="7"/>
    </row>
    <row r="5137" spans="1:11" x14ac:dyDescent="0.35">
      <c r="A5137" s="13"/>
      <c r="E5137" s="8"/>
      <c r="F5137" s="1"/>
      <c r="J5137" s="2"/>
      <c r="K5137" s="7"/>
    </row>
    <row r="5138" spans="1:11" x14ac:dyDescent="0.35">
      <c r="A5138" s="13"/>
      <c r="E5138" s="8"/>
      <c r="F5138" s="1"/>
      <c r="J5138" s="2"/>
      <c r="K5138" s="7"/>
    </row>
    <row r="5139" spans="1:11" x14ac:dyDescent="0.35">
      <c r="A5139" s="13"/>
      <c r="E5139" s="8"/>
      <c r="F5139" s="1"/>
      <c r="J5139" s="2"/>
      <c r="K5139" s="7"/>
    </row>
    <row r="5140" spans="1:11" x14ac:dyDescent="0.35">
      <c r="A5140" s="13"/>
      <c r="E5140" s="8"/>
      <c r="F5140" s="1"/>
      <c r="J5140" s="2"/>
      <c r="K5140" s="7"/>
    </row>
    <row r="5141" spans="1:11" x14ac:dyDescent="0.35">
      <c r="A5141" s="13"/>
      <c r="E5141" s="8"/>
      <c r="F5141" s="1"/>
      <c r="J5141" s="2"/>
      <c r="K5141" s="7"/>
    </row>
    <row r="5142" spans="1:11" x14ac:dyDescent="0.35">
      <c r="A5142" s="13"/>
      <c r="E5142" s="8"/>
      <c r="F5142" s="1"/>
      <c r="J5142" s="2"/>
      <c r="K5142" s="7"/>
    </row>
    <row r="5143" spans="1:11" x14ac:dyDescent="0.35">
      <c r="A5143" s="13"/>
      <c r="E5143" s="8"/>
      <c r="F5143" s="1"/>
      <c r="J5143" s="2"/>
      <c r="K5143" s="7"/>
    </row>
    <row r="5144" spans="1:11" x14ac:dyDescent="0.35">
      <c r="A5144" s="13"/>
      <c r="E5144" s="8"/>
      <c r="F5144" s="1"/>
      <c r="J5144" s="2"/>
      <c r="K5144" s="7"/>
    </row>
    <row r="5145" spans="1:11" x14ac:dyDescent="0.35">
      <c r="A5145" s="13"/>
      <c r="E5145" s="8"/>
      <c r="F5145" s="1"/>
      <c r="J5145" s="2"/>
      <c r="K5145" s="7"/>
    </row>
    <row r="5146" spans="1:11" x14ac:dyDescent="0.35">
      <c r="A5146" s="13"/>
      <c r="E5146" s="8"/>
      <c r="F5146" s="1"/>
      <c r="J5146" s="2"/>
      <c r="K5146" s="7"/>
    </row>
    <row r="5147" spans="1:11" x14ac:dyDescent="0.35">
      <c r="A5147" s="13"/>
      <c r="E5147" s="8"/>
      <c r="F5147" s="1"/>
      <c r="J5147" s="2"/>
      <c r="K5147" s="7"/>
    </row>
    <row r="5148" spans="1:11" x14ac:dyDescent="0.35">
      <c r="A5148" s="13"/>
      <c r="E5148" s="8"/>
      <c r="F5148" s="1"/>
      <c r="J5148" s="2"/>
      <c r="K5148" s="7"/>
    </row>
    <row r="5149" spans="1:11" x14ac:dyDescent="0.35">
      <c r="A5149" s="13"/>
      <c r="E5149" s="8"/>
      <c r="F5149" s="1"/>
      <c r="J5149" s="2"/>
      <c r="K5149" s="7"/>
    </row>
    <row r="5150" spans="1:11" x14ac:dyDescent="0.35">
      <c r="A5150" s="13"/>
      <c r="E5150" s="8"/>
      <c r="F5150" s="1"/>
      <c r="J5150" s="2"/>
      <c r="K5150" s="7"/>
    </row>
    <row r="5151" spans="1:11" x14ac:dyDescent="0.35">
      <c r="A5151" s="13"/>
      <c r="E5151" s="8"/>
      <c r="F5151" s="1"/>
      <c r="J5151" s="2"/>
      <c r="K5151" s="7"/>
    </row>
    <row r="5152" spans="1:11" x14ac:dyDescent="0.35">
      <c r="A5152" s="13"/>
      <c r="E5152" s="8"/>
      <c r="F5152" s="1"/>
      <c r="J5152" s="2"/>
      <c r="K5152" s="7"/>
    </row>
    <row r="5153" spans="1:11" x14ac:dyDescent="0.35">
      <c r="A5153" s="13"/>
      <c r="E5153" s="8"/>
      <c r="F5153" s="1"/>
      <c r="J5153" s="2"/>
      <c r="K5153" s="7"/>
    </row>
    <row r="5154" spans="1:11" x14ac:dyDescent="0.35">
      <c r="A5154" s="13"/>
      <c r="E5154" s="8"/>
      <c r="F5154" s="1"/>
      <c r="J5154" s="2"/>
      <c r="K5154" s="7"/>
    </row>
    <row r="5155" spans="1:11" x14ac:dyDescent="0.35">
      <c r="A5155" s="13"/>
      <c r="E5155" s="8"/>
      <c r="F5155" s="1"/>
      <c r="J5155" s="2"/>
      <c r="K5155" s="7"/>
    </row>
    <row r="5156" spans="1:11" x14ac:dyDescent="0.35">
      <c r="A5156" s="13"/>
      <c r="E5156" s="8"/>
      <c r="F5156" s="1"/>
      <c r="J5156" s="2"/>
      <c r="K5156" s="7"/>
    </row>
    <row r="5157" spans="1:11" x14ac:dyDescent="0.35">
      <c r="A5157" s="13"/>
      <c r="E5157" s="8"/>
      <c r="F5157" s="1"/>
      <c r="J5157" s="2"/>
      <c r="K5157" s="7"/>
    </row>
    <row r="5158" spans="1:11" x14ac:dyDescent="0.35">
      <c r="A5158" s="13"/>
      <c r="E5158" s="8"/>
      <c r="F5158" s="1"/>
      <c r="J5158" s="2"/>
      <c r="K5158" s="7"/>
    </row>
    <row r="5159" spans="1:11" x14ac:dyDescent="0.35">
      <c r="A5159" s="13"/>
      <c r="E5159" s="8"/>
      <c r="F5159" s="1"/>
      <c r="J5159" s="2"/>
      <c r="K5159" s="7"/>
    </row>
    <row r="5160" spans="1:11" x14ac:dyDescent="0.35">
      <c r="A5160" s="13"/>
      <c r="E5160" s="8"/>
      <c r="F5160" s="1"/>
      <c r="J5160" s="2"/>
      <c r="K5160" s="7"/>
    </row>
    <row r="5161" spans="1:11" x14ac:dyDescent="0.35">
      <c r="A5161" s="13"/>
      <c r="E5161" s="8"/>
      <c r="F5161" s="1"/>
      <c r="J5161" s="2"/>
      <c r="K5161" s="7"/>
    </row>
    <row r="5162" spans="1:11" x14ac:dyDescent="0.35">
      <c r="A5162" s="13"/>
      <c r="E5162" s="8"/>
      <c r="F5162" s="1"/>
      <c r="J5162" s="2"/>
      <c r="K5162" s="7"/>
    </row>
    <row r="5163" spans="1:11" x14ac:dyDescent="0.35">
      <c r="A5163" s="13"/>
      <c r="E5163" s="8"/>
      <c r="F5163" s="1"/>
      <c r="J5163" s="2"/>
      <c r="K5163" s="7"/>
    </row>
    <row r="5164" spans="1:11" x14ac:dyDescent="0.35">
      <c r="A5164" s="13"/>
      <c r="E5164" s="8"/>
      <c r="F5164" s="1"/>
      <c r="J5164" s="2"/>
      <c r="K5164" s="7"/>
    </row>
    <row r="5165" spans="1:11" x14ac:dyDescent="0.35">
      <c r="A5165" s="13"/>
      <c r="E5165" s="8"/>
      <c r="F5165" s="1"/>
      <c r="J5165" s="2"/>
      <c r="K5165" s="7"/>
    </row>
    <row r="5166" spans="1:11" x14ac:dyDescent="0.35">
      <c r="A5166" s="13"/>
      <c r="E5166" s="8"/>
      <c r="F5166" s="1"/>
      <c r="J5166" s="2"/>
      <c r="K5166" s="7"/>
    </row>
    <row r="5167" spans="1:11" x14ac:dyDescent="0.35">
      <c r="A5167" s="13"/>
      <c r="E5167" s="8"/>
      <c r="F5167" s="1"/>
      <c r="J5167" s="2"/>
      <c r="K5167" s="7"/>
    </row>
    <row r="5168" spans="1:11" x14ac:dyDescent="0.35">
      <c r="A5168" s="13"/>
      <c r="E5168" s="8"/>
      <c r="F5168" s="1"/>
      <c r="J5168" s="2"/>
      <c r="K5168" s="7"/>
    </row>
    <row r="5169" spans="1:11" x14ac:dyDescent="0.35">
      <c r="A5169" s="13"/>
      <c r="E5169" s="8"/>
      <c r="F5169" s="1"/>
      <c r="J5169" s="2"/>
      <c r="K5169" s="7"/>
    </row>
    <row r="5170" spans="1:11" x14ac:dyDescent="0.35">
      <c r="A5170" s="13"/>
      <c r="E5170" s="8"/>
      <c r="F5170" s="1"/>
      <c r="J5170" s="2"/>
      <c r="K5170" s="7"/>
    </row>
    <row r="5171" spans="1:11" x14ac:dyDescent="0.35">
      <c r="A5171" s="13"/>
      <c r="E5171" s="8"/>
      <c r="F5171" s="1"/>
      <c r="J5171" s="2"/>
      <c r="K5171" s="7"/>
    </row>
    <row r="5172" spans="1:11" x14ac:dyDescent="0.35">
      <c r="A5172" s="13"/>
      <c r="E5172" s="8"/>
      <c r="F5172" s="1"/>
      <c r="J5172" s="2"/>
      <c r="K5172" s="7"/>
    </row>
    <row r="5173" spans="1:11" x14ac:dyDescent="0.35">
      <c r="A5173" s="13"/>
      <c r="E5173" s="8"/>
      <c r="F5173" s="1"/>
      <c r="J5173" s="2"/>
      <c r="K5173" s="7"/>
    </row>
    <row r="5174" spans="1:11" x14ac:dyDescent="0.35">
      <c r="A5174" s="13"/>
      <c r="E5174" s="8"/>
      <c r="F5174" s="1"/>
      <c r="J5174" s="2"/>
      <c r="K5174" s="7"/>
    </row>
    <row r="5175" spans="1:11" x14ac:dyDescent="0.35">
      <c r="A5175" s="13"/>
      <c r="E5175" s="8"/>
      <c r="F5175" s="1"/>
      <c r="J5175" s="2"/>
      <c r="K5175" s="7"/>
    </row>
    <row r="5176" spans="1:11" x14ac:dyDescent="0.35">
      <c r="A5176" s="13"/>
      <c r="E5176" s="8"/>
      <c r="F5176" s="1"/>
      <c r="J5176" s="2"/>
      <c r="K5176" s="7"/>
    </row>
    <row r="5177" spans="1:11" x14ac:dyDescent="0.35">
      <c r="A5177" s="13"/>
      <c r="E5177" s="8"/>
      <c r="F5177" s="1"/>
      <c r="J5177" s="2"/>
      <c r="K5177" s="7"/>
    </row>
    <row r="5178" spans="1:11" x14ac:dyDescent="0.35">
      <c r="A5178" s="13"/>
      <c r="E5178" s="8"/>
      <c r="F5178" s="1"/>
      <c r="J5178" s="2"/>
      <c r="K5178" s="7"/>
    </row>
    <row r="5179" spans="1:11" x14ac:dyDescent="0.35">
      <c r="A5179" s="13"/>
      <c r="E5179" s="8"/>
      <c r="F5179" s="1"/>
      <c r="J5179" s="2"/>
      <c r="K5179" s="7"/>
    </row>
    <row r="5180" spans="1:11" x14ac:dyDescent="0.35">
      <c r="A5180" s="13"/>
      <c r="E5180" s="8"/>
      <c r="F5180" s="1"/>
      <c r="J5180" s="2"/>
      <c r="K5180" s="7"/>
    </row>
    <row r="5181" spans="1:11" x14ac:dyDescent="0.35">
      <c r="A5181" s="13"/>
      <c r="E5181" s="8"/>
      <c r="F5181" s="1"/>
      <c r="J5181" s="2"/>
      <c r="K5181" s="7"/>
    </row>
    <row r="5182" spans="1:11" x14ac:dyDescent="0.35">
      <c r="A5182" s="13"/>
      <c r="E5182" s="8"/>
      <c r="F5182" s="1"/>
      <c r="J5182" s="2"/>
      <c r="K5182" s="7"/>
    </row>
    <row r="5183" spans="1:11" x14ac:dyDescent="0.35">
      <c r="A5183" s="13"/>
      <c r="E5183" s="8"/>
      <c r="F5183" s="1"/>
      <c r="J5183" s="2"/>
      <c r="K5183" s="7"/>
    </row>
    <row r="5184" spans="1:11" x14ac:dyDescent="0.35">
      <c r="A5184" s="13"/>
      <c r="E5184" s="8"/>
      <c r="F5184" s="1"/>
      <c r="J5184" s="2"/>
      <c r="K5184" s="7"/>
    </row>
    <row r="5185" spans="1:11" x14ac:dyDescent="0.35">
      <c r="A5185" s="13"/>
      <c r="E5185" s="8"/>
      <c r="F5185" s="1"/>
      <c r="J5185" s="2"/>
      <c r="K5185" s="7"/>
    </row>
    <row r="5186" spans="1:11" x14ac:dyDescent="0.35">
      <c r="A5186" s="13"/>
      <c r="E5186" s="8"/>
      <c r="F5186" s="1"/>
      <c r="J5186" s="2"/>
      <c r="K5186" s="7"/>
    </row>
    <row r="5187" spans="1:11" x14ac:dyDescent="0.35">
      <c r="A5187" s="13"/>
      <c r="E5187" s="8"/>
      <c r="F5187" s="1"/>
      <c r="J5187" s="2"/>
      <c r="K5187" s="7"/>
    </row>
    <row r="5188" spans="1:11" x14ac:dyDescent="0.35">
      <c r="A5188" s="13"/>
      <c r="E5188" s="8"/>
      <c r="F5188" s="1"/>
      <c r="J5188" s="2"/>
      <c r="K5188" s="7"/>
    </row>
    <row r="5189" spans="1:11" x14ac:dyDescent="0.35">
      <c r="A5189" s="13"/>
      <c r="E5189" s="8"/>
      <c r="F5189" s="1"/>
      <c r="J5189" s="2"/>
      <c r="K5189" s="7"/>
    </row>
    <row r="5190" spans="1:11" x14ac:dyDescent="0.35">
      <c r="A5190" s="13"/>
      <c r="E5190" s="8"/>
      <c r="F5190" s="1"/>
      <c r="J5190" s="2"/>
      <c r="K5190" s="7"/>
    </row>
    <row r="5191" spans="1:11" x14ac:dyDescent="0.35">
      <c r="A5191" s="13"/>
      <c r="E5191" s="8"/>
      <c r="F5191" s="1"/>
      <c r="J5191" s="2"/>
      <c r="K5191" s="7"/>
    </row>
    <row r="5192" spans="1:11" x14ac:dyDescent="0.35">
      <c r="A5192" s="13"/>
      <c r="E5192" s="8"/>
      <c r="F5192" s="1"/>
      <c r="J5192" s="2"/>
      <c r="K5192" s="7"/>
    </row>
    <row r="5193" spans="1:11" x14ac:dyDescent="0.35">
      <c r="A5193" s="13"/>
      <c r="E5193" s="8"/>
      <c r="F5193" s="1"/>
      <c r="J5193" s="2"/>
      <c r="K5193" s="7"/>
    </row>
    <row r="5194" spans="1:11" x14ac:dyDescent="0.35">
      <c r="A5194" s="13"/>
      <c r="E5194" s="8"/>
      <c r="F5194" s="1"/>
      <c r="J5194" s="2"/>
      <c r="K5194" s="7"/>
    </row>
    <row r="5195" spans="1:11" x14ac:dyDescent="0.35">
      <c r="A5195" s="13"/>
      <c r="E5195" s="8"/>
      <c r="F5195" s="1"/>
      <c r="J5195" s="2"/>
      <c r="K5195" s="7"/>
    </row>
    <row r="5196" spans="1:11" x14ac:dyDescent="0.35">
      <c r="A5196" s="13"/>
      <c r="E5196" s="8"/>
      <c r="F5196" s="1"/>
      <c r="J5196" s="2"/>
      <c r="K5196" s="7"/>
    </row>
    <row r="5197" spans="1:11" x14ac:dyDescent="0.35">
      <c r="A5197" s="13"/>
      <c r="E5197" s="8"/>
      <c r="F5197" s="1"/>
      <c r="J5197" s="2"/>
      <c r="K5197" s="7"/>
    </row>
    <row r="5198" spans="1:11" x14ac:dyDescent="0.35">
      <c r="A5198" s="13"/>
      <c r="E5198" s="8"/>
      <c r="F5198" s="1"/>
      <c r="J5198" s="2"/>
      <c r="K5198" s="7"/>
    </row>
    <row r="5199" spans="1:11" x14ac:dyDescent="0.35">
      <c r="A5199" s="13"/>
      <c r="E5199" s="8"/>
      <c r="F5199" s="1"/>
      <c r="J5199" s="2"/>
      <c r="K5199" s="7"/>
    </row>
    <row r="5200" spans="1:11" x14ac:dyDescent="0.35">
      <c r="A5200" s="13"/>
      <c r="E5200" s="8"/>
      <c r="F5200" s="1"/>
      <c r="J5200" s="2"/>
      <c r="K5200" s="7"/>
    </row>
    <row r="5201" spans="1:11" x14ac:dyDescent="0.35">
      <c r="A5201" s="13"/>
      <c r="E5201" s="8"/>
      <c r="F5201" s="1"/>
      <c r="J5201" s="2"/>
      <c r="K5201" s="7"/>
    </row>
    <row r="5202" spans="1:11" x14ac:dyDescent="0.35">
      <c r="A5202" s="13"/>
      <c r="E5202" s="8"/>
      <c r="F5202" s="1"/>
      <c r="J5202" s="2"/>
      <c r="K5202" s="7"/>
    </row>
    <row r="5203" spans="1:11" x14ac:dyDescent="0.35">
      <c r="A5203" s="13"/>
      <c r="E5203" s="8"/>
      <c r="F5203" s="1"/>
      <c r="J5203" s="2"/>
      <c r="K5203" s="7"/>
    </row>
    <row r="5204" spans="1:11" x14ac:dyDescent="0.35">
      <c r="A5204" s="13"/>
      <c r="E5204" s="8"/>
      <c r="F5204" s="1"/>
      <c r="J5204" s="2"/>
      <c r="K5204" s="7"/>
    </row>
    <row r="5205" spans="1:11" x14ac:dyDescent="0.35">
      <c r="A5205" s="13"/>
      <c r="E5205" s="8"/>
      <c r="F5205" s="1"/>
      <c r="J5205" s="2"/>
      <c r="K5205" s="7"/>
    </row>
    <row r="5206" spans="1:11" x14ac:dyDescent="0.35">
      <c r="A5206" s="13"/>
      <c r="E5206" s="8"/>
      <c r="F5206" s="1"/>
      <c r="J5206" s="2"/>
      <c r="K5206" s="7"/>
    </row>
    <row r="5207" spans="1:11" x14ac:dyDescent="0.35">
      <c r="A5207" s="13"/>
      <c r="E5207" s="8"/>
      <c r="F5207" s="1"/>
      <c r="J5207" s="2"/>
      <c r="K5207" s="7"/>
    </row>
    <row r="5208" spans="1:11" x14ac:dyDescent="0.35">
      <c r="A5208" s="13"/>
      <c r="E5208" s="8"/>
      <c r="F5208" s="1"/>
      <c r="J5208" s="2"/>
      <c r="K5208" s="7"/>
    </row>
    <row r="5209" spans="1:11" x14ac:dyDescent="0.35">
      <c r="A5209" s="13"/>
      <c r="E5209" s="8"/>
      <c r="F5209" s="1"/>
      <c r="J5209" s="2"/>
      <c r="K5209" s="7"/>
    </row>
    <row r="5210" spans="1:11" x14ac:dyDescent="0.35">
      <c r="A5210" s="13"/>
      <c r="E5210" s="8"/>
      <c r="F5210" s="1"/>
      <c r="J5210" s="2"/>
      <c r="K5210" s="7"/>
    </row>
    <row r="5211" spans="1:11" x14ac:dyDescent="0.35">
      <c r="A5211" s="13"/>
      <c r="E5211" s="8"/>
      <c r="F5211" s="1"/>
      <c r="J5211" s="2"/>
      <c r="K5211" s="7"/>
    </row>
    <row r="5212" spans="1:11" x14ac:dyDescent="0.35">
      <c r="A5212" s="13"/>
      <c r="E5212" s="8"/>
      <c r="F5212" s="1"/>
      <c r="J5212" s="2"/>
      <c r="K5212" s="7"/>
    </row>
    <row r="5213" spans="1:11" x14ac:dyDescent="0.35">
      <c r="A5213" s="13"/>
      <c r="E5213" s="8"/>
      <c r="F5213" s="1"/>
      <c r="J5213" s="2"/>
      <c r="K5213" s="7"/>
    </row>
    <row r="5214" spans="1:11" x14ac:dyDescent="0.35">
      <c r="A5214" s="13"/>
      <c r="E5214" s="8"/>
      <c r="F5214" s="1"/>
      <c r="J5214" s="2"/>
      <c r="K5214" s="7"/>
    </row>
    <row r="5215" spans="1:11" x14ac:dyDescent="0.35">
      <c r="A5215" s="13"/>
      <c r="E5215" s="8"/>
      <c r="F5215" s="1"/>
      <c r="J5215" s="2"/>
      <c r="K5215" s="7"/>
    </row>
    <row r="5216" spans="1:11" x14ac:dyDescent="0.35">
      <c r="A5216" s="13"/>
      <c r="E5216" s="8"/>
      <c r="F5216" s="1"/>
      <c r="J5216" s="2"/>
      <c r="K5216" s="7"/>
    </row>
    <row r="5217" spans="1:11" x14ac:dyDescent="0.35">
      <c r="A5217" s="13"/>
      <c r="E5217" s="8"/>
      <c r="F5217" s="1"/>
      <c r="J5217" s="2"/>
      <c r="K5217" s="7"/>
    </row>
    <row r="5218" spans="1:11" x14ac:dyDescent="0.35">
      <c r="A5218" s="13"/>
      <c r="E5218" s="8"/>
      <c r="F5218" s="1"/>
      <c r="J5218" s="2"/>
      <c r="K5218" s="7"/>
    </row>
    <row r="5219" spans="1:11" x14ac:dyDescent="0.35">
      <c r="A5219" s="13"/>
      <c r="E5219" s="8"/>
      <c r="F5219" s="1"/>
      <c r="J5219" s="2"/>
      <c r="K5219" s="7"/>
    </row>
    <row r="5220" spans="1:11" x14ac:dyDescent="0.35">
      <c r="A5220" s="13"/>
      <c r="E5220" s="8"/>
      <c r="F5220" s="1"/>
      <c r="J5220" s="2"/>
      <c r="K5220" s="7"/>
    </row>
    <row r="5221" spans="1:11" x14ac:dyDescent="0.35">
      <c r="A5221" s="13"/>
      <c r="E5221" s="8"/>
      <c r="F5221" s="1"/>
      <c r="J5221" s="2"/>
      <c r="K5221" s="7"/>
    </row>
    <row r="5222" spans="1:11" x14ac:dyDescent="0.35">
      <c r="A5222" s="13"/>
      <c r="E5222" s="8"/>
      <c r="F5222" s="1"/>
      <c r="J5222" s="2"/>
      <c r="K5222" s="7"/>
    </row>
    <row r="5223" spans="1:11" x14ac:dyDescent="0.35">
      <c r="A5223" s="13"/>
      <c r="E5223" s="8"/>
      <c r="F5223" s="1"/>
      <c r="J5223" s="2"/>
      <c r="K5223" s="7"/>
    </row>
    <row r="5224" spans="1:11" x14ac:dyDescent="0.35">
      <c r="A5224" s="13"/>
      <c r="E5224" s="8"/>
      <c r="F5224" s="1"/>
      <c r="J5224" s="2"/>
      <c r="K5224" s="7"/>
    </row>
    <row r="5225" spans="1:11" x14ac:dyDescent="0.35">
      <c r="A5225" s="13"/>
      <c r="E5225" s="8"/>
      <c r="F5225" s="1"/>
      <c r="J5225" s="2"/>
      <c r="K5225" s="7"/>
    </row>
    <row r="5226" spans="1:11" x14ac:dyDescent="0.35">
      <c r="A5226" s="13"/>
      <c r="E5226" s="8"/>
      <c r="F5226" s="1"/>
      <c r="J5226" s="2"/>
      <c r="K5226" s="7"/>
    </row>
    <row r="5227" spans="1:11" x14ac:dyDescent="0.35">
      <c r="A5227" s="13"/>
      <c r="E5227" s="8"/>
      <c r="F5227" s="1"/>
      <c r="J5227" s="2"/>
      <c r="K5227" s="7"/>
    </row>
    <row r="5228" spans="1:11" x14ac:dyDescent="0.35">
      <c r="A5228" s="13"/>
      <c r="E5228" s="8"/>
      <c r="F5228" s="1"/>
      <c r="J5228" s="2"/>
      <c r="K5228" s="7"/>
    </row>
    <row r="5229" spans="1:11" x14ac:dyDescent="0.35">
      <c r="A5229" s="13"/>
      <c r="E5229" s="8"/>
      <c r="F5229" s="1"/>
      <c r="J5229" s="2"/>
      <c r="K5229" s="7"/>
    </row>
    <row r="5230" spans="1:11" x14ac:dyDescent="0.35">
      <c r="A5230" s="13"/>
      <c r="E5230" s="8"/>
      <c r="F5230" s="1"/>
      <c r="J5230" s="2"/>
      <c r="K5230" s="7"/>
    </row>
    <row r="5231" spans="1:11" x14ac:dyDescent="0.35">
      <c r="A5231" s="13"/>
      <c r="E5231" s="8"/>
      <c r="F5231" s="1"/>
      <c r="J5231" s="2"/>
      <c r="K5231" s="7"/>
    </row>
    <row r="5232" spans="1:11" x14ac:dyDescent="0.35">
      <c r="A5232" s="13"/>
      <c r="E5232" s="8"/>
      <c r="F5232" s="1"/>
      <c r="J5232" s="2"/>
      <c r="K5232" s="7"/>
    </row>
    <row r="5233" spans="1:11" x14ac:dyDescent="0.35">
      <c r="A5233" s="13"/>
      <c r="E5233" s="8"/>
      <c r="F5233" s="1"/>
      <c r="J5233" s="2"/>
      <c r="K5233" s="7"/>
    </row>
    <row r="5234" spans="1:11" x14ac:dyDescent="0.35">
      <c r="A5234" s="13"/>
      <c r="E5234" s="8"/>
      <c r="F5234" s="1"/>
      <c r="J5234" s="2"/>
      <c r="K5234" s="7"/>
    </row>
    <row r="5235" spans="1:11" x14ac:dyDescent="0.35">
      <c r="A5235" s="13"/>
      <c r="E5235" s="8"/>
      <c r="F5235" s="1"/>
      <c r="J5235" s="2"/>
      <c r="K5235" s="7"/>
    </row>
    <row r="5236" spans="1:11" x14ac:dyDescent="0.35">
      <c r="A5236" s="13"/>
      <c r="E5236" s="8"/>
      <c r="F5236" s="1"/>
      <c r="J5236" s="2"/>
      <c r="K5236" s="7"/>
    </row>
    <row r="5237" spans="1:11" x14ac:dyDescent="0.35">
      <c r="A5237" s="13"/>
      <c r="E5237" s="8"/>
      <c r="F5237" s="1"/>
      <c r="J5237" s="2"/>
      <c r="K5237" s="7"/>
    </row>
    <row r="5238" spans="1:11" x14ac:dyDescent="0.35">
      <c r="A5238" s="13"/>
      <c r="E5238" s="8"/>
      <c r="F5238" s="1"/>
      <c r="J5238" s="2"/>
      <c r="K5238" s="7"/>
    </row>
    <row r="5239" spans="1:11" x14ac:dyDescent="0.35">
      <c r="A5239" s="13"/>
      <c r="E5239" s="8"/>
      <c r="F5239" s="1"/>
      <c r="J5239" s="2"/>
      <c r="K5239" s="7"/>
    </row>
    <row r="5240" spans="1:11" x14ac:dyDescent="0.35">
      <c r="A5240" s="13"/>
      <c r="E5240" s="8"/>
      <c r="F5240" s="1"/>
      <c r="J5240" s="2"/>
      <c r="K5240" s="7"/>
    </row>
    <row r="5241" spans="1:11" x14ac:dyDescent="0.35">
      <c r="A5241" s="13"/>
      <c r="E5241" s="8"/>
      <c r="F5241" s="1"/>
      <c r="J5241" s="2"/>
      <c r="K5241" s="7"/>
    </row>
    <row r="5242" spans="1:11" x14ac:dyDescent="0.35">
      <c r="A5242" s="13"/>
      <c r="E5242" s="8"/>
      <c r="F5242" s="1"/>
      <c r="J5242" s="2"/>
      <c r="K5242" s="7"/>
    </row>
    <row r="5243" spans="1:11" x14ac:dyDescent="0.35">
      <c r="A5243" s="13"/>
      <c r="E5243" s="8"/>
      <c r="F5243" s="1"/>
      <c r="J5243" s="2"/>
      <c r="K5243" s="7"/>
    </row>
    <row r="5244" spans="1:11" x14ac:dyDescent="0.35">
      <c r="A5244" s="13"/>
      <c r="E5244" s="8"/>
      <c r="F5244" s="1"/>
      <c r="J5244" s="2"/>
      <c r="K5244" s="7"/>
    </row>
    <row r="5245" spans="1:11" x14ac:dyDescent="0.35">
      <c r="A5245" s="13"/>
      <c r="E5245" s="8"/>
      <c r="F5245" s="1"/>
      <c r="J5245" s="2"/>
      <c r="K5245" s="7"/>
    </row>
    <row r="5246" spans="1:11" x14ac:dyDescent="0.35">
      <c r="A5246" s="13"/>
      <c r="E5246" s="8"/>
      <c r="F5246" s="1"/>
      <c r="J5246" s="2"/>
      <c r="K5246" s="7"/>
    </row>
    <row r="5247" spans="1:11" x14ac:dyDescent="0.35">
      <c r="A5247" s="13"/>
      <c r="E5247" s="8"/>
      <c r="F5247" s="1"/>
      <c r="J5247" s="2"/>
      <c r="K5247" s="7"/>
    </row>
    <row r="5248" spans="1:11" x14ac:dyDescent="0.35">
      <c r="A5248" s="13"/>
      <c r="E5248" s="8"/>
      <c r="F5248" s="1"/>
      <c r="J5248" s="2"/>
      <c r="K5248" s="7"/>
    </row>
    <row r="5249" spans="1:11" x14ac:dyDescent="0.35">
      <c r="A5249" s="13"/>
      <c r="E5249" s="8"/>
      <c r="F5249" s="1"/>
      <c r="J5249" s="2"/>
      <c r="K5249" s="7"/>
    </row>
    <row r="5250" spans="1:11" x14ac:dyDescent="0.35">
      <c r="A5250" s="13"/>
      <c r="E5250" s="8"/>
      <c r="F5250" s="1"/>
      <c r="J5250" s="2"/>
      <c r="K5250" s="7"/>
    </row>
    <row r="5251" spans="1:11" x14ac:dyDescent="0.35">
      <c r="A5251" s="13"/>
      <c r="E5251" s="8"/>
      <c r="F5251" s="1"/>
      <c r="J5251" s="2"/>
      <c r="K5251" s="7"/>
    </row>
    <row r="5252" spans="1:11" x14ac:dyDescent="0.35">
      <c r="A5252" s="13"/>
      <c r="E5252" s="8"/>
      <c r="F5252" s="1"/>
      <c r="J5252" s="2"/>
      <c r="K5252" s="7"/>
    </row>
    <row r="5253" spans="1:11" x14ac:dyDescent="0.35">
      <c r="A5253" s="13"/>
      <c r="E5253" s="8"/>
      <c r="F5253" s="1"/>
      <c r="J5253" s="2"/>
      <c r="K5253" s="7"/>
    </row>
    <row r="5254" spans="1:11" x14ac:dyDescent="0.35">
      <c r="A5254" s="13"/>
      <c r="E5254" s="8"/>
      <c r="F5254" s="1"/>
      <c r="J5254" s="2"/>
      <c r="K5254" s="7"/>
    </row>
    <row r="5255" spans="1:11" x14ac:dyDescent="0.35">
      <c r="A5255" s="13"/>
      <c r="E5255" s="8"/>
      <c r="F5255" s="1"/>
      <c r="J5255" s="2"/>
      <c r="K5255" s="7"/>
    </row>
    <row r="5256" spans="1:11" x14ac:dyDescent="0.35">
      <c r="A5256" s="13"/>
      <c r="E5256" s="8"/>
      <c r="F5256" s="1"/>
      <c r="J5256" s="2"/>
      <c r="K5256" s="7"/>
    </row>
    <row r="5257" spans="1:11" x14ac:dyDescent="0.35">
      <c r="A5257" s="13"/>
      <c r="E5257" s="8"/>
      <c r="F5257" s="1"/>
      <c r="J5257" s="2"/>
      <c r="K5257" s="7"/>
    </row>
    <row r="5258" spans="1:11" x14ac:dyDescent="0.35">
      <c r="A5258" s="13"/>
      <c r="E5258" s="8"/>
      <c r="F5258" s="1"/>
      <c r="J5258" s="2"/>
      <c r="K5258" s="7"/>
    </row>
    <row r="5259" spans="1:11" x14ac:dyDescent="0.35">
      <c r="A5259" s="13"/>
      <c r="E5259" s="8"/>
      <c r="F5259" s="1"/>
      <c r="J5259" s="2"/>
      <c r="K5259" s="7"/>
    </row>
    <row r="5260" spans="1:11" x14ac:dyDescent="0.35">
      <c r="A5260" s="13"/>
      <c r="E5260" s="8"/>
      <c r="F5260" s="1"/>
      <c r="J5260" s="2"/>
      <c r="K5260" s="7"/>
    </row>
    <row r="5261" spans="1:11" x14ac:dyDescent="0.35">
      <c r="A5261" s="13"/>
      <c r="E5261" s="8"/>
      <c r="F5261" s="1"/>
      <c r="J5261" s="2"/>
      <c r="K5261" s="7"/>
    </row>
    <row r="5262" spans="1:11" x14ac:dyDescent="0.35">
      <c r="A5262" s="13"/>
      <c r="E5262" s="8"/>
      <c r="F5262" s="1"/>
      <c r="J5262" s="2"/>
      <c r="K5262" s="7"/>
    </row>
    <row r="5263" spans="1:11" x14ac:dyDescent="0.35">
      <c r="A5263" s="13"/>
      <c r="E5263" s="8"/>
      <c r="F5263" s="1"/>
      <c r="J5263" s="2"/>
      <c r="K5263" s="7"/>
    </row>
    <row r="5264" spans="1:11" x14ac:dyDescent="0.35">
      <c r="A5264" s="13"/>
      <c r="E5264" s="8"/>
      <c r="F5264" s="1"/>
      <c r="J5264" s="2"/>
      <c r="K5264" s="7"/>
    </row>
    <row r="5265" spans="1:11" x14ac:dyDescent="0.35">
      <c r="A5265" s="13"/>
      <c r="E5265" s="8"/>
      <c r="F5265" s="1"/>
      <c r="J5265" s="2"/>
      <c r="K5265" s="7"/>
    </row>
    <row r="5266" spans="1:11" x14ac:dyDescent="0.35">
      <c r="A5266" s="13"/>
      <c r="E5266" s="8"/>
      <c r="F5266" s="1"/>
      <c r="J5266" s="2"/>
      <c r="K5266" s="7"/>
    </row>
    <row r="5267" spans="1:11" x14ac:dyDescent="0.35">
      <c r="A5267" s="13"/>
      <c r="E5267" s="8"/>
      <c r="F5267" s="1"/>
      <c r="J5267" s="2"/>
      <c r="K5267" s="7"/>
    </row>
    <row r="5268" spans="1:11" x14ac:dyDescent="0.35">
      <c r="A5268" s="13"/>
      <c r="E5268" s="8"/>
      <c r="F5268" s="1"/>
      <c r="J5268" s="2"/>
      <c r="K5268" s="7"/>
    </row>
    <row r="5269" spans="1:11" x14ac:dyDescent="0.35">
      <c r="A5269" s="13"/>
      <c r="E5269" s="8"/>
      <c r="F5269" s="1"/>
      <c r="J5269" s="2"/>
      <c r="K5269" s="7"/>
    </row>
    <row r="5270" spans="1:11" x14ac:dyDescent="0.35">
      <c r="A5270" s="13"/>
      <c r="E5270" s="8"/>
      <c r="F5270" s="1"/>
      <c r="J5270" s="2"/>
      <c r="K5270" s="7"/>
    </row>
    <row r="5271" spans="1:11" x14ac:dyDescent="0.35">
      <c r="A5271" s="13"/>
      <c r="E5271" s="8"/>
      <c r="F5271" s="1"/>
      <c r="J5271" s="2"/>
      <c r="K5271" s="7"/>
    </row>
    <row r="5272" spans="1:11" x14ac:dyDescent="0.35">
      <c r="A5272" s="13"/>
      <c r="E5272" s="8"/>
      <c r="F5272" s="1"/>
      <c r="J5272" s="2"/>
      <c r="K5272" s="7"/>
    </row>
    <row r="5273" spans="1:11" x14ac:dyDescent="0.35">
      <c r="A5273" s="13"/>
      <c r="E5273" s="8"/>
      <c r="F5273" s="1"/>
      <c r="J5273" s="2"/>
      <c r="K5273" s="7"/>
    </row>
    <row r="5274" spans="1:11" x14ac:dyDescent="0.35">
      <c r="A5274" s="13"/>
      <c r="E5274" s="8"/>
      <c r="F5274" s="1"/>
      <c r="J5274" s="2"/>
      <c r="K5274" s="7"/>
    </row>
    <row r="5275" spans="1:11" x14ac:dyDescent="0.35">
      <c r="A5275" s="13"/>
      <c r="E5275" s="8"/>
      <c r="F5275" s="1"/>
      <c r="J5275" s="2"/>
      <c r="K5275" s="7"/>
    </row>
    <row r="5276" spans="1:11" x14ac:dyDescent="0.35">
      <c r="A5276" s="13"/>
      <c r="E5276" s="8"/>
      <c r="F5276" s="1"/>
      <c r="J5276" s="2"/>
      <c r="K5276" s="7"/>
    </row>
    <row r="5277" spans="1:11" x14ac:dyDescent="0.35">
      <c r="A5277" s="13"/>
      <c r="E5277" s="8"/>
      <c r="F5277" s="1"/>
      <c r="J5277" s="2"/>
      <c r="K5277" s="7"/>
    </row>
    <row r="5278" spans="1:11" x14ac:dyDescent="0.35">
      <c r="A5278" s="13"/>
      <c r="E5278" s="8"/>
      <c r="F5278" s="1"/>
      <c r="J5278" s="2"/>
      <c r="K5278" s="7"/>
    </row>
    <row r="5279" spans="1:11" x14ac:dyDescent="0.35">
      <c r="A5279" s="13"/>
      <c r="E5279" s="8"/>
      <c r="F5279" s="1"/>
      <c r="J5279" s="2"/>
      <c r="K5279" s="7"/>
    </row>
    <row r="5280" spans="1:11" x14ac:dyDescent="0.35">
      <c r="A5280" s="13"/>
      <c r="E5280" s="8"/>
      <c r="F5280" s="1"/>
      <c r="J5280" s="2"/>
      <c r="K5280" s="7"/>
    </row>
    <row r="5281" spans="1:11" x14ac:dyDescent="0.35">
      <c r="A5281" s="13"/>
      <c r="E5281" s="8"/>
      <c r="F5281" s="1"/>
      <c r="J5281" s="2"/>
      <c r="K5281" s="7"/>
    </row>
    <row r="5282" spans="1:11" x14ac:dyDescent="0.35">
      <c r="A5282" s="13"/>
      <c r="E5282" s="8"/>
      <c r="F5282" s="1"/>
      <c r="J5282" s="2"/>
      <c r="K5282" s="7"/>
    </row>
    <row r="5283" spans="1:11" x14ac:dyDescent="0.35">
      <c r="A5283" s="13"/>
      <c r="E5283" s="8"/>
      <c r="F5283" s="1"/>
      <c r="J5283" s="2"/>
      <c r="K5283" s="7"/>
    </row>
    <row r="5284" spans="1:11" x14ac:dyDescent="0.35">
      <c r="A5284" s="13"/>
      <c r="E5284" s="8"/>
      <c r="F5284" s="1"/>
      <c r="J5284" s="2"/>
      <c r="K5284" s="7"/>
    </row>
    <row r="5285" spans="1:11" x14ac:dyDescent="0.35">
      <c r="A5285" s="13"/>
      <c r="E5285" s="8"/>
      <c r="F5285" s="1"/>
      <c r="J5285" s="2"/>
      <c r="K5285" s="7"/>
    </row>
    <row r="5286" spans="1:11" x14ac:dyDescent="0.35">
      <c r="A5286" s="13"/>
      <c r="E5286" s="8"/>
      <c r="F5286" s="1"/>
      <c r="J5286" s="2"/>
      <c r="K5286" s="7"/>
    </row>
    <row r="5287" spans="1:11" x14ac:dyDescent="0.35">
      <c r="A5287" s="13"/>
      <c r="E5287" s="8"/>
      <c r="F5287" s="1"/>
      <c r="J5287" s="2"/>
      <c r="K5287" s="7"/>
    </row>
    <row r="5288" spans="1:11" x14ac:dyDescent="0.35">
      <c r="A5288" s="13"/>
      <c r="E5288" s="8"/>
      <c r="F5288" s="1"/>
      <c r="J5288" s="2"/>
      <c r="K5288" s="7"/>
    </row>
    <row r="5289" spans="1:11" x14ac:dyDescent="0.35">
      <c r="A5289" s="13"/>
      <c r="E5289" s="8"/>
      <c r="F5289" s="1"/>
      <c r="J5289" s="2"/>
      <c r="K5289" s="7"/>
    </row>
    <row r="5290" spans="1:11" x14ac:dyDescent="0.35">
      <c r="A5290" s="13"/>
      <c r="E5290" s="8"/>
      <c r="F5290" s="1"/>
      <c r="J5290" s="2"/>
      <c r="K5290" s="7"/>
    </row>
    <row r="5291" spans="1:11" x14ac:dyDescent="0.35">
      <c r="A5291" s="13"/>
      <c r="E5291" s="8"/>
      <c r="F5291" s="1"/>
      <c r="J5291" s="2"/>
      <c r="K5291" s="7"/>
    </row>
    <row r="5292" spans="1:11" x14ac:dyDescent="0.35">
      <c r="A5292" s="13"/>
      <c r="E5292" s="8"/>
      <c r="F5292" s="1"/>
      <c r="J5292" s="2"/>
      <c r="K5292" s="7"/>
    </row>
    <row r="5293" spans="1:11" x14ac:dyDescent="0.35">
      <c r="A5293" s="13"/>
      <c r="E5293" s="8"/>
      <c r="F5293" s="1"/>
      <c r="J5293" s="2"/>
      <c r="K5293" s="7"/>
    </row>
    <row r="5294" spans="1:11" x14ac:dyDescent="0.35">
      <c r="A5294" s="13"/>
      <c r="E5294" s="8"/>
      <c r="F5294" s="1"/>
      <c r="J5294" s="2"/>
      <c r="K5294" s="7"/>
    </row>
    <row r="5295" spans="1:11" x14ac:dyDescent="0.35">
      <c r="A5295" s="13"/>
      <c r="E5295" s="8"/>
      <c r="F5295" s="1"/>
      <c r="J5295" s="2"/>
      <c r="K5295" s="7"/>
    </row>
    <row r="5296" spans="1:11" x14ac:dyDescent="0.35">
      <c r="A5296" s="13"/>
      <c r="E5296" s="8"/>
      <c r="F5296" s="1"/>
      <c r="J5296" s="2"/>
      <c r="K5296" s="7"/>
    </row>
    <row r="5297" spans="1:11" x14ac:dyDescent="0.35">
      <c r="A5297" s="13"/>
      <c r="E5297" s="8"/>
      <c r="F5297" s="1"/>
      <c r="J5297" s="2"/>
      <c r="K5297" s="7"/>
    </row>
    <row r="5298" spans="1:11" x14ac:dyDescent="0.35">
      <c r="A5298" s="13"/>
      <c r="E5298" s="8"/>
      <c r="F5298" s="1"/>
      <c r="J5298" s="2"/>
      <c r="K5298" s="7"/>
    </row>
    <row r="5299" spans="1:11" x14ac:dyDescent="0.35">
      <c r="A5299" s="13"/>
      <c r="E5299" s="8"/>
      <c r="F5299" s="1"/>
      <c r="J5299" s="2"/>
      <c r="K5299" s="7"/>
    </row>
    <row r="5300" spans="1:11" x14ac:dyDescent="0.35">
      <c r="A5300" s="13"/>
      <c r="E5300" s="8"/>
      <c r="F5300" s="1"/>
      <c r="J5300" s="2"/>
      <c r="K5300" s="7"/>
    </row>
    <row r="5301" spans="1:11" x14ac:dyDescent="0.35">
      <c r="A5301" s="13"/>
      <c r="E5301" s="8"/>
      <c r="F5301" s="1"/>
      <c r="J5301" s="2"/>
      <c r="K5301" s="7"/>
    </row>
    <row r="5302" spans="1:11" x14ac:dyDescent="0.35">
      <c r="A5302" s="13"/>
      <c r="E5302" s="8"/>
      <c r="F5302" s="1"/>
      <c r="J5302" s="2"/>
      <c r="K5302" s="7"/>
    </row>
    <row r="5303" spans="1:11" x14ac:dyDescent="0.35">
      <c r="A5303" s="13"/>
      <c r="E5303" s="8"/>
      <c r="F5303" s="1"/>
      <c r="J5303" s="2"/>
      <c r="K5303" s="7"/>
    </row>
    <row r="5304" spans="1:11" x14ac:dyDescent="0.35">
      <c r="A5304" s="13"/>
      <c r="E5304" s="8"/>
      <c r="F5304" s="1"/>
      <c r="J5304" s="2"/>
      <c r="K5304" s="7"/>
    </row>
    <row r="5305" spans="1:11" x14ac:dyDescent="0.35">
      <c r="A5305" s="13"/>
      <c r="E5305" s="8"/>
      <c r="F5305" s="1"/>
      <c r="J5305" s="2"/>
      <c r="K5305" s="7"/>
    </row>
    <row r="5306" spans="1:11" x14ac:dyDescent="0.35">
      <c r="A5306" s="13"/>
      <c r="E5306" s="8"/>
      <c r="F5306" s="1"/>
      <c r="J5306" s="2"/>
      <c r="K5306" s="7"/>
    </row>
    <row r="5307" spans="1:11" x14ac:dyDescent="0.35">
      <c r="A5307" s="13"/>
      <c r="E5307" s="8"/>
      <c r="F5307" s="1"/>
      <c r="J5307" s="2"/>
      <c r="K5307" s="7"/>
    </row>
    <row r="5308" spans="1:11" x14ac:dyDescent="0.35">
      <c r="A5308" s="13"/>
      <c r="E5308" s="8"/>
      <c r="F5308" s="1"/>
      <c r="J5308" s="2"/>
      <c r="K5308" s="7"/>
    </row>
    <row r="5309" spans="1:11" x14ac:dyDescent="0.35">
      <c r="A5309" s="13"/>
      <c r="E5309" s="8"/>
      <c r="F5309" s="1"/>
      <c r="J5309" s="2"/>
      <c r="K5309" s="7"/>
    </row>
    <row r="5310" spans="1:11" x14ac:dyDescent="0.35">
      <c r="A5310" s="13"/>
      <c r="E5310" s="8"/>
      <c r="F5310" s="1"/>
      <c r="J5310" s="2"/>
      <c r="K5310" s="7"/>
    </row>
    <row r="5311" spans="1:11" x14ac:dyDescent="0.35">
      <c r="A5311" s="13"/>
      <c r="E5311" s="8"/>
      <c r="F5311" s="1"/>
      <c r="J5311" s="2"/>
      <c r="K5311" s="7"/>
    </row>
    <row r="5312" spans="1:11" x14ac:dyDescent="0.35">
      <c r="A5312" s="13"/>
      <c r="E5312" s="8"/>
      <c r="F5312" s="1"/>
      <c r="J5312" s="2"/>
      <c r="K5312" s="7"/>
    </row>
    <row r="5313" spans="1:11" x14ac:dyDescent="0.35">
      <c r="A5313" s="13"/>
      <c r="E5313" s="8"/>
      <c r="F5313" s="1"/>
      <c r="J5313" s="2"/>
      <c r="K5313" s="7"/>
    </row>
    <row r="5314" spans="1:11" x14ac:dyDescent="0.35">
      <c r="A5314" s="13"/>
      <c r="E5314" s="8"/>
      <c r="F5314" s="1"/>
      <c r="J5314" s="2"/>
      <c r="K5314" s="7"/>
    </row>
    <row r="5315" spans="1:11" x14ac:dyDescent="0.35">
      <c r="A5315" s="13"/>
      <c r="E5315" s="8"/>
      <c r="F5315" s="1"/>
      <c r="J5315" s="2"/>
      <c r="K5315" s="7"/>
    </row>
    <row r="5316" spans="1:11" x14ac:dyDescent="0.35">
      <c r="A5316" s="13"/>
      <c r="E5316" s="8"/>
      <c r="F5316" s="1"/>
      <c r="J5316" s="2"/>
      <c r="K5316" s="7"/>
    </row>
    <row r="5317" spans="1:11" x14ac:dyDescent="0.35">
      <c r="A5317" s="13"/>
      <c r="E5317" s="8"/>
      <c r="F5317" s="1"/>
      <c r="J5317" s="2"/>
      <c r="K5317" s="7"/>
    </row>
    <row r="5318" spans="1:11" x14ac:dyDescent="0.35">
      <c r="A5318" s="13"/>
      <c r="E5318" s="8"/>
      <c r="F5318" s="1"/>
      <c r="J5318" s="2"/>
      <c r="K5318" s="7"/>
    </row>
    <row r="5319" spans="1:11" x14ac:dyDescent="0.35">
      <c r="A5319" s="13"/>
      <c r="E5319" s="8"/>
      <c r="F5319" s="1"/>
      <c r="J5319" s="2"/>
      <c r="K5319" s="7"/>
    </row>
    <row r="5320" spans="1:11" x14ac:dyDescent="0.35">
      <c r="A5320" s="13"/>
      <c r="E5320" s="8"/>
      <c r="F5320" s="1"/>
      <c r="J5320" s="2"/>
      <c r="K5320" s="7"/>
    </row>
    <row r="5321" spans="1:11" x14ac:dyDescent="0.35">
      <c r="A5321" s="13"/>
      <c r="E5321" s="8"/>
      <c r="F5321" s="1"/>
      <c r="J5321" s="2"/>
      <c r="K5321" s="7"/>
    </row>
    <row r="5322" spans="1:11" x14ac:dyDescent="0.35">
      <c r="A5322" s="13"/>
      <c r="E5322" s="8"/>
      <c r="F5322" s="1"/>
      <c r="J5322" s="2"/>
      <c r="K5322" s="7"/>
    </row>
    <row r="5323" spans="1:11" x14ac:dyDescent="0.35">
      <c r="A5323" s="13"/>
      <c r="E5323" s="8"/>
      <c r="F5323" s="1"/>
      <c r="J5323" s="2"/>
      <c r="K5323" s="7"/>
    </row>
    <row r="5324" spans="1:11" x14ac:dyDescent="0.35">
      <c r="A5324" s="13"/>
      <c r="E5324" s="8"/>
      <c r="F5324" s="1"/>
      <c r="J5324" s="2"/>
      <c r="K5324" s="7"/>
    </row>
    <row r="5325" spans="1:11" x14ac:dyDescent="0.35">
      <c r="A5325" s="13"/>
      <c r="E5325" s="8"/>
      <c r="F5325" s="1"/>
      <c r="J5325" s="2"/>
      <c r="K5325" s="7"/>
    </row>
    <row r="5326" spans="1:11" x14ac:dyDescent="0.35">
      <c r="A5326" s="13"/>
      <c r="E5326" s="8"/>
      <c r="F5326" s="1"/>
      <c r="J5326" s="2"/>
      <c r="K5326" s="7"/>
    </row>
    <row r="5327" spans="1:11" x14ac:dyDescent="0.35">
      <c r="A5327" s="13"/>
      <c r="E5327" s="8"/>
      <c r="F5327" s="1"/>
      <c r="J5327" s="2"/>
      <c r="K5327" s="7"/>
    </row>
    <row r="5328" spans="1:11" x14ac:dyDescent="0.35">
      <c r="A5328" s="13"/>
      <c r="E5328" s="8"/>
      <c r="F5328" s="1"/>
      <c r="J5328" s="2"/>
      <c r="K5328" s="7"/>
    </row>
    <row r="5329" spans="1:11" x14ac:dyDescent="0.35">
      <c r="A5329" s="13"/>
      <c r="E5329" s="8"/>
      <c r="F5329" s="1"/>
      <c r="J5329" s="2"/>
      <c r="K5329" s="7"/>
    </row>
    <row r="5330" spans="1:11" x14ac:dyDescent="0.35">
      <c r="A5330" s="13"/>
      <c r="E5330" s="8"/>
      <c r="F5330" s="1"/>
      <c r="J5330" s="2"/>
      <c r="K5330" s="7"/>
    </row>
    <row r="5331" spans="1:11" x14ac:dyDescent="0.35">
      <c r="A5331" s="13"/>
      <c r="E5331" s="8"/>
      <c r="F5331" s="1"/>
      <c r="J5331" s="2"/>
      <c r="K5331" s="7"/>
    </row>
    <row r="5332" spans="1:11" x14ac:dyDescent="0.35">
      <c r="A5332" s="13"/>
      <c r="E5332" s="8"/>
      <c r="F5332" s="1"/>
      <c r="J5332" s="2"/>
      <c r="K5332" s="7"/>
    </row>
    <row r="5333" spans="1:11" x14ac:dyDescent="0.35">
      <c r="A5333" s="13"/>
      <c r="E5333" s="8"/>
      <c r="F5333" s="1"/>
      <c r="J5333" s="2"/>
      <c r="K5333" s="7"/>
    </row>
    <row r="5334" spans="1:11" x14ac:dyDescent="0.35">
      <c r="A5334" s="13"/>
      <c r="E5334" s="8"/>
      <c r="F5334" s="1"/>
      <c r="J5334" s="2"/>
      <c r="K5334" s="7"/>
    </row>
    <row r="5335" spans="1:11" x14ac:dyDescent="0.35">
      <c r="A5335" s="13"/>
      <c r="E5335" s="8"/>
      <c r="F5335" s="1"/>
      <c r="J5335" s="2"/>
      <c r="K5335" s="7"/>
    </row>
    <row r="5336" spans="1:11" x14ac:dyDescent="0.35">
      <c r="A5336" s="13"/>
      <c r="E5336" s="8"/>
      <c r="F5336" s="1"/>
      <c r="J5336" s="2"/>
      <c r="K5336" s="7"/>
    </row>
    <row r="5337" spans="1:11" x14ac:dyDescent="0.35">
      <c r="A5337" s="13"/>
      <c r="E5337" s="8"/>
      <c r="F5337" s="1"/>
      <c r="J5337" s="2"/>
      <c r="K5337" s="7"/>
    </row>
    <row r="5338" spans="1:11" x14ac:dyDescent="0.35">
      <c r="A5338" s="13"/>
      <c r="E5338" s="8"/>
      <c r="F5338" s="1"/>
      <c r="J5338" s="2"/>
      <c r="K5338" s="7"/>
    </row>
    <row r="5339" spans="1:11" x14ac:dyDescent="0.35">
      <c r="A5339" s="13"/>
      <c r="E5339" s="8"/>
      <c r="F5339" s="1"/>
      <c r="J5339" s="2"/>
      <c r="K5339" s="7"/>
    </row>
    <row r="5340" spans="1:11" x14ac:dyDescent="0.35">
      <c r="A5340" s="13"/>
      <c r="E5340" s="8"/>
      <c r="F5340" s="1"/>
      <c r="J5340" s="2"/>
      <c r="K5340" s="7"/>
    </row>
    <row r="5341" spans="1:11" x14ac:dyDescent="0.35">
      <c r="A5341" s="13"/>
      <c r="E5341" s="8"/>
      <c r="F5341" s="1"/>
      <c r="J5341" s="2"/>
      <c r="K5341" s="7"/>
    </row>
    <row r="5342" spans="1:11" x14ac:dyDescent="0.35">
      <c r="A5342" s="13"/>
      <c r="E5342" s="8"/>
      <c r="F5342" s="1"/>
      <c r="J5342" s="2"/>
      <c r="K5342" s="7"/>
    </row>
    <row r="5343" spans="1:11" x14ac:dyDescent="0.35">
      <c r="A5343" s="13"/>
      <c r="E5343" s="8"/>
      <c r="F5343" s="1"/>
      <c r="J5343" s="2"/>
      <c r="K5343" s="7"/>
    </row>
    <row r="5344" spans="1:11" x14ac:dyDescent="0.35">
      <c r="A5344" s="13"/>
      <c r="E5344" s="8"/>
      <c r="F5344" s="1"/>
      <c r="J5344" s="2"/>
      <c r="K5344" s="7"/>
    </row>
    <row r="5345" spans="1:11" x14ac:dyDescent="0.35">
      <c r="A5345" s="13"/>
      <c r="E5345" s="8"/>
      <c r="F5345" s="1"/>
      <c r="J5345" s="2"/>
      <c r="K5345" s="7"/>
    </row>
    <row r="5346" spans="1:11" x14ac:dyDescent="0.35">
      <c r="A5346" s="13"/>
      <c r="E5346" s="8"/>
      <c r="F5346" s="1"/>
      <c r="J5346" s="2"/>
      <c r="K5346" s="7"/>
    </row>
    <row r="5347" spans="1:11" x14ac:dyDescent="0.35">
      <c r="A5347" s="13"/>
      <c r="E5347" s="8"/>
      <c r="F5347" s="1"/>
      <c r="J5347" s="2"/>
      <c r="K5347" s="7"/>
    </row>
    <row r="5348" spans="1:11" x14ac:dyDescent="0.35">
      <c r="A5348" s="13"/>
      <c r="E5348" s="8"/>
      <c r="F5348" s="1"/>
      <c r="J5348" s="2"/>
      <c r="K5348" s="7"/>
    </row>
    <row r="5349" spans="1:11" x14ac:dyDescent="0.35">
      <c r="A5349" s="13"/>
      <c r="E5349" s="8"/>
      <c r="F5349" s="1"/>
      <c r="J5349" s="2"/>
      <c r="K5349" s="7"/>
    </row>
    <row r="5350" spans="1:11" x14ac:dyDescent="0.35">
      <c r="A5350" s="13"/>
      <c r="E5350" s="8"/>
      <c r="F5350" s="1"/>
      <c r="J5350" s="2"/>
      <c r="K5350" s="7"/>
    </row>
    <row r="5351" spans="1:11" x14ac:dyDescent="0.35">
      <c r="A5351" s="13"/>
      <c r="E5351" s="8"/>
      <c r="F5351" s="1"/>
      <c r="J5351" s="2"/>
      <c r="K5351" s="7"/>
    </row>
    <row r="5352" spans="1:11" x14ac:dyDescent="0.35">
      <c r="A5352" s="13"/>
      <c r="E5352" s="8"/>
      <c r="F5352" s="1"/>
      <c r="J5352" s="2"/>
      <c r="K5352" s="7"/>
    </row>
    <row r="5353" spans="1:11" x14ac:dyDescent="0.35">
      <c r="A5353" s="13"/>
      <c r="E5353" s="8"/>
      <c r="F5353" s="1"/>
      <c r="J5353" s="2"/>
      <c r="K5353" s="7"/>
    </row>
    <row r="5354" spans="1:11" x14ac:dyDescent="0.35">
      <c r="A5354" s="13"/>
      <c r="E5354" s="8"/>
      <c r="F5354" s="1"/>
      <c r="J5354" s="2"/>
      <c r="K5354" s="7"/>
    </row>
    <row r="5355" spans="1:11" x14ac:dyDescent="0.35">
      <c r="A5355" s="13"/>
      <c r="E5355" s="8"/>
      <c r="F5355" s="1"/>
      <c r="J5355" s="2"/>
      <c r="K5355" s="7"/>
    </row>
    <row r="5356" spans="1:11" x14ac:dyDescent="0.35">
      <c r="A5356" s="13"/>
      <c r="E5356" s="8"/>
      <c r="F5356" s="1"/>
      <c r="J5356" s="2"/>
      <c r="K5356" s="7"/>
    </row>
    <row r="5357" spans="1:11" x14ac:dyDescent="0.35">
      <c r="A5357" s="13"/>
      <c r="E5357" s="8"/>
      <c r="F5357" s="1"/>
      <c r="J5357" s="2"/>
      <c r="K5357" s="7"/>
    </row>
    <row r="5358" spans="1:11" x14ac:dyDescent="0.35">
      <c r="A5358" s="13"/>
      <c r="E5358" s="8"/>
      <c r="F5358" s="1"/>
      <c r="J5358" s="2"/>
      <c r="K5358" s="7"/>
    </row>
    <row r="5359" spans="1:11" x14ac:dyDescent="0.35">
      <c r="A5359" s="13"/>
      <c r="E5359" s="8"/>
      <c r="F5359" s="1"/>
      <c r="J5359" s="2"/>
      <c r="K5359" s="7"/>
    </row>
    <row r="5360" spans="1:11" x14ac:dyDescent="0.35">
      <c r="A5360" s="13"/>
      <c r="E5360" s="8"/>
      <c r="F5360" s="1"/>
      <c r="J5360" s="2"/>
      <c r="K5360" s="7"/>
    </row>
    <row r="5361" spans="1:11" x14ac:dyDescent="0.35">
      <c r="A5361" s="13"/>
      <c r="E5361" s="8"/>
      <c r="F5361" s="1"/>
      <c r="J5361" s="2"/>
      <c r="K5361" s="7"/>
    </row>
    <row r="5362" spans="1:11" x14ac:dyDescent="0.35">
      <c r="A5362" s="13"/>
      <c r="E5362" s="8"/>
      <c r="F5362" s="1"/>
      <c r="J5362" s="2"/>
      <c r="K5362" s="7"/>
    </row>
    <row r="5363" spans="1:11" x14ac:dyDescent="0.35">
      <c r="A5363" s="13"/>
      <c r="E5363" s="8"/>
      <c r="F5363" s="1"/>
      <c r="J5363" s="2"/>
      <c r="K5363" s="7"/>
    </row>
    <row r="5364" spans="1:11" x14ac:dyDescent="0.35">
      <c r="A5364" s="13"/>
      <c r="E5364" s="8"/>
      <c r="F5364" s="1"/>
      <c r="J5364" s="2"/>
      <c r="K5364" s="7"/>
    </row>
    <row r="5365" spans="1:11" x14ac:dyDescent="0.35">
      <c r="A5365" s="13"/>
      <c r="E5365" s="8"/>
      <c r="F5365" s="1"/>
      <c r="J5365" s="2"/>
      <c r="K5365" s="7"/>
    </row>
    <row r="5366" spans="1:11" x14ac:dyDescent="0.35">
      <c r="A5366" s="13"/>
      <c r="E5366" s="8"/>
      <c r="F5366" s="1"/>
      <c r="J5366" s="2"/>
      <c r="K5366" s="7"/>
    </row>
    <row r="5367" spans="1:11" x14ac:dyDescent="0.35">
      <c r="A5367" s="13"/>
      <c r="E5367" s="8"/>
      <c r="F5367" s="1"/>
      <c r="J5367" s="2"/>
      <c r="K5367" s="7"/>
    </row>
    <row r="5368" spans="1:11" x14ac:dyDescent="0.35">
      <c r="A5368" s="13"/>
      <c r="E5368" s="8"/>
      <c r="F5368" s="1"/>
      <c r="J5368" s="2"/>
      <c r="K5368" s="7"/>
    </row>
    <row r="5369" spans="1:11" x14ac:dyDescent="0.35">
      <c r="A5369" s="13"/>
      <c r="E5369" s="8"/>
      <c r="F5369" s="1"/>
      <c r="J5369" s="2"/>
      <c r="K5369" s="7"/>
    </row>
    <row r="5370" spans="1:11" x14ac:dyDescent="0.35">
      <c r="A5370" s="13"/>
      <c r="E5370" s="8"/>
      <c r="F5370" s="1"/>
      <c r="J5370" s="2"/>
      <c r="K5370" s="7"/>
    </row>
    <row r="5371" spans="1:11" x14ac:dyDescent="0.35">
      <c r="A5371" s="13"/>
      <c r="E5371" s="8"/>
      <c r="F5371" s="1"/>
      <c r="J5371" s="2"/>
      <c r="K5371" s="7"/>
    </row>
    <row r="5372" spans="1:11" x14ac:dyDescent="0.35">
      <c r="A5372" s="13"/>
      <c r="E5372" s="8"/>
      <c r="F5372" s="1"/>
      <c r="J5372" s="2"/>
      <c r="K5372" s="7"/>
    </row>
    <row r="5373" spans="1:11" x14ac:dyDescent="0.35">
      <c r="A5373" s="13"/>
      <c r="E5373" s="8"/>
      <c r="F5373" s="1"/>
      <c r="J5373" s="2"/>
      <c r="K5373" s="7"/>
    </row>
    <row r="5374" spans="1:11" x14ac:dyDescent="0.35">
      <c r="A5374" s="13"/>
      <c r="E5374" s="8"/>
      <c r="F5374" s="1"/>
      <c r="J5374" s="2"/>
      <c r="K5374" s="7"/>
    </row>
    <row r="5375" spans="1:11" x14ac:dyDescent="0.35">
      <c r="A5375" s="13"/>
      <c r="E5375" s="8"/>
      <c r="F5375" s="1"/>
      <c r="J5375" s="2"/>
      <c r="K5375" s="7"/>
    </row>
    <row r="5376" spans="1:11" x14ac:dyDescent="0.35">
      <c r="A5376" s="13"/>
      <c r="E5376" s="8"/>
      <c r="F5376" s="1"/>
      <c r="J5376" s="2"/>
      <c r="K5376" s="7"/>
    </row>
    <row r="5377" spans="1:11" x14ac:dyDescent="0.35">
      <c r="A5377" s="13"/>
      <c r="E5377" s="8"/>
      <c r="F5377" s="1"/>
      <c r="J5377" s="2"/>
      <c r="K5377" s="7"/>
    </row>
    <row r="5378" spans="1:11" x14ac:dyDescent="0.35">
      <c r="A5378" s="13"/>
      <c r="E5378" s="8"/>
      <c r="F5378" s="1"/>
      <c r="J5378" s="2"/>
      <c r="K5378" s="7"/>
    </row>
    <row r="5379" spans="1:11" x14ac:dyDescent="0.35">
      <c r="A5379" s="13"/>
      <c r="E5379" s="8"/>
      <c r="F5379" s="1"/>
      <c r="J5379" s="2"/>
      <c r="K5379" s="7"/>
    </row>
    <row r="5380" spans="1:11" x14ac:dyDescent="0.35">
      <c r="A5380" s="13"/>
      <c r="E5380" s="8"/>
      <c r="F5380" s="1"/>
      <c r="J5380" s="2"/>
      <c r="K5380" s="7"/>
    </row>
    <row r="5381" spans="1:11" x14ac:dyDescent="0.35">
      <c r="A5381" s="13"/>
      <c r="E5381" s="8"/>
      <c r="F5381" s="1"/>
      <c r="J5381" s="2"/>
      <c r="K5381" s="7"/>
    </row>
    <row r="5382" spans="1:11" x14ac:dyDescent="0.35">
      <c r="A5382" s="13"/>
      <c r="E5382" s="8"/>
      <c r="F5382" s="1"/>
      <c r="J5382" s="2"/>
      <c r="K5382" s="7"/>
    </row>
    <row r="5383" spans="1:11" x14ac:dyDescent="0.35">
      <c r="A5383" s="13"/>
      <c r="E5383" s="8"/>
      <c r="F5383" s="1"/>
      <c r="J5383" s="2"/>
      <c r="K5383" s="7"/>
    </row>
    <row r="5384" spans="1:11" x14ac:dyDescent="0.35">
      <c r="A5384" s="13"/>
      <c r="E5384" s="8"/>
      <c r="F5384" s="1"/>
      <c r="J5384" s="2"/>
      <c r="K5384" s="7"/>
    </row>
    <row r="5385" spans="1:11" x14ac:dyDescent="0.35">
      <c r="A5385" s="13"/>
      <c r="E5385" s="8"/>
      <c r="F5385" s="1"/>
      <c r="J5385" s="2"/>
      <c r="K5385" s="7"/>
    </row>
    <row r="5386" spans="1:11" x14ac:dyDescent="0.35">
      <c r="A5386" s="13"/>
      <c r="E5386" s="8"/>
      <c r="F5386" s="1"/>
      <c r="J5386" s="2"/>
      <c r="K5386" s="7"/>
    </row>
    <row r="5387" spans="1:11" x14ac:dyDescent="0.35">
      <c r="A5387" s="13"/>
      <c r="E5387" s="8"/>
      <c r="F5387" s="1"/>
      <c r="J5387" s="2"/>
      <c r="K5387" s="7"/>
    </row>
    <row r="5388" spans="1:11" x14ac:dyDescent="0.35">
      <c r="A5388" s="13"/>
      <c r="E5388" s="8"/>
      <c r="F5388" s="1"/>
      <c r="J5388" s="2"/>
      <c r="K5388" s="7"/>
    </row>
    <row r="5389" spans="1:11" x14ac:dyDescent="0.35">
      <c r="A5389" s="13"/>
      <c r="E5389" s="8"/>
      <c r="F5389" s="1"/>
      <c r="J5389" s="2"/>
      <c r="K5389" s="7"/>
    </row>
    <row r="5390" spans="1:11" x14ac:dyDescent="0.35">
      <c r="A5390" s="13"/>
      <c r="E5390" s="8"/>
      <c r="F5390" s="1"/>
      <c r="J5390" s="2"/>
      <c r="K5390" s="7"/>
    </row>
    <row r="5391" spans="1:11" x14ac:dyDescent="0.35">
      <c r="A5391" s="13"/>
      <c r="E5391" s="8"/>
      <c r="F5391" s="1"/>
      <c r="J5391" s="2"/>
      <c r="K5391" s="7"/>
    </row>
    <row r="5392" spans="1:11" x14ac:dyDescent="0.35">
      <c r="A5392" s="13"/>
      <c r="E5392" s="8"/>
      <c r="F5392" s="1"/>
      <c r="J5392" s="2"/>
      <c r="K5392" s="7"/>
    </row>
    <row r="5393" spans="1:11" x14ac:dyDescent="0.35">
      <c r="A5393" s="13"/>
      <c r="E5393" s="8"/>
      <c r="F5393" s="1"/>
      <c r="J5393" s="2"/>
      <c r="K5393" s="7"/>
    </row>
    <row r="5394" spans="1:11" x14ac:dyDescent="0.35">
      <c r="A5394" s="13"/>
      <c r="E5394" s="8"/>
      <c r="F5394" s="1"/>
      <c r="J5394" s="2"/>
      <c r="K5394" s="7"/>
    </row>
    <row r="5395" spans="1:11" x14ac:dyDescent="0.35">
      <c r="A5395" s="13"/>
      <c r="E5395" s="8"/>
      <c r="F5395" s="1"/>
      <c r="J5395" s="2"/>
      <c r="K5395" s="7"/>
    </row>
    <row r="5396" spans="1:11" x14ac:dyDescent="0.35">
      <c r="A5396" s="13"/>
      <c r="E5396" s="8"/>
      <c r="F5396" s="1"/>
      <c r="J5396" s="2"/>
      <c r="K5396" s="7"/>
    </row>
    <row r="5397" spans="1:11" x14ac:dyDescent="0.35">
      <c r="A5397" s="13"/>
      <c r="E5397" s="8"/>
      <c r="F5397" s="1"/>
      <c r="J5397" s="2"/>
      <c r="K5397" s="7"/>
    </row>
    <row r="5398" spans="1:11" x14ac:dyDescent="0.35">
      <c r="A5398" s="13"/>
      <c r="E5398" s="8"/>
      <c r="F5398" s="1"/>
      <c r="J5398" s="2"/>
      <c r="K5398" s="7"/>
    </row>
    <row r="5399" spans="1:11" x14ac:dyDescent="0.35">
      <c r="A5399" s="13"/>
      <c r="E5399" s="8"/>
      <c r="F5399" s="1"/>
      <c r="J5399" s="2"/>
      <c r="K5399" s="7"/>
    </row>
    <row r="5400" spans="1:11" x14ac:dyDescent="0.35">
      <c r="A5400" s="13"/>
      <c r="E5400" s="8"/>
      <c r="F5400" s="1"/>
      <c r="J5400" s="2"/>
      <c r="K5400" s="7"/>
    </row>
    <row r="5401" spans="1:11" x14ac:dyDescent="0.35">
      <c r="A5401" s="13"/>
      <c r="E5401" s="8"/>
      <c r="F5401" s="1"/>
      <c r="J5401" s="2"/>
      <c r="K5401" s="7"/>
    </row>
    <row r="5402" spans="1:11" x14ac:dyDescent="0.35">
      <c r="A5402" s="13"/>
      <c r="E5402" s="8"/>
      <c r="F5402" s="1"/>
      <c r="J5402" s="2"/>
      <c r="K5402" s="7"/>
    </row>
    <row r="5403" spans="1:11" x14ac:dyDescent="0.35">
      <c r="A5403" s="13"/>
      <c r="E5403" s="8"/>
      <c r="F5403" s="1"/>
      <c r="J5403" s="2"/>
      <c r="K5403" s="7"/>
    </row>
    <row r="5404" spans="1:11" x14ac:dyDescent="0.35">
      <c r="A5404" s="13"/>
      <c r="E5404" s="8"/>
      <c r="F5404" s="1"/>
      <c r="J5404" s="2"/>
      <c r="K5404" s="7"/>
    </row>
    <row r="5405" spans="1:11" x14ac:dyDescent="0.35">
      <c r="A5405" s="13"/>
      <c r="E5405" s="8"/>
      <c r="F5405" s="1"/>
      <c r="J5405" s="2"/>
      <c r="K5405" s="7"/>
    </row>
    <row r="5406" spans="1:11" x14ac:dyDescent="0.35">
      <c r="A5406" s="13"/>
      <c r="E5406" s="8"/>
      <c r="F5406" s="1"/>
      <c r="J5406" s="2"/>
      <c r="K5406" s="7"/>
    </row>
    <row r="5407" spans="1:11" x14ac:dyDescent="0.35">
      <c r="A5407" s="13"/>
      <c r="E5407" s="8"/>
      <c r="F5407" s="1"/>
      <c r="J5407" s="2"/>
      <c r="K5407" s="7"/>
    </row>
    <row r="5408" spans="1:11" x14ac:dyDescent="0.35">
      <c r="A5408" s="13"/>
      <c r="E5408" s="8"/>
      <c r="F5408" s="1"/>
      <c r="J5408" s="2"/>
      <c r="K5408" s="7"/>
    </row>
    <row r="5409" spans="1:11" x14ac:dyDescent="0.35">
      <c r="A5409" s="13"/>
      <c r="E5409" s="8"/>
      <c r="F5409" s="1"/>
      <c r="J5409" s="2"/>
      <c r="K5409" s="7"/>
    </row>
    <row r="5410" spans="1:11" x14ac:dyDescent="0.35">
      <c r="A5410" s="13"/>
      <c r="E5410" s="8"/>
      <c r="F5410" s="1"/>
      <c r="J5410" s="2"/>
      <c r="K5410" s="7"/>
    </row>
    <row r="5411" spans="1:11" x14ac:dyDescent="0.35">
      <c r="A5411" s="13"/>
      <c r="E5411" s="8"/>
      <c r="F5411" s="1"/>
      <c r="J5411" s="2"/>
      <c r="K5411" s="7"/>
    </row>
    <row r="5412" spans="1:11" x14ac:dyDescent="0.35">
      <c r="A5412" s="13"/>
      <c r="E5412" s="8"/>
      <c r="F5412" s="1"/>
      <c r="J5412" s="2"/>
      <c r="K5412" s="7"/>
    </row>
    <row r="5413" spans="1:11" x14ac:dyDescent="0.35">
      <c r="A5413" s="13"/>
      <c r="E5413" s="8"/>
      <c r="F5413" s="1"/>
      <c r="J5413" s="2"/>
      <c r="K5413" s="7"/>
    </row>
    <row r="5414" spans="1:11" x14ac:dyDescent="0.35">
      <c r="A5414" s="13"/>
      <c r="E5414" s="8"/>
      <c r="F5414" s="1"/>
      <c r="J5414" s="2"/>
      <c r="K5414" s="7"/>
    </row>
    <row r="5415" spans="1:11" x14ac:dyDescent="0.35">
      <c r="A5415" s="13"/>
      <c r="E5415" s="8"/>
      <c r="F5415" s="1"/>
      <c r="J5415" s="2"/>
      <c r="K5415" s="7"/>
    </row>
    <row r="5416" spans="1:11" x14ac:dyDescent="0.35">
      <c r="A5416" s="13"/>
      <c r="E5416" s="8"/>
      <c r="F5416" s="1"/>
      <c r="J5416" s="2"/>
      <c r="K5416" s="7"/>
    </row>
    <row r="5417" spans="1:11" x14ac:dyDescent="0.35">
      <c r="A5417" s="13"/>
      <c r="E5417" s="8"/>
      <c r="F5417" s="1"/>
      <c r="J5417" s="2"/>
      <c r="K5417" s="7"/>
    </row>
    <row r="5418" spans="1:11" x14ac:dyDescent="0.35">
      <c r="A5418" s="13"/>
      <c r="E5418" s="8"/>
      <c r="F5418" s="1"/>
      <c r="J5418" s="2"/>
      <c r="K5418" s="7"/>
    </row>
    <row r="5419" spans="1:11" x14ac:dyDescent="0.35">
      <c r="A5419" s="13"/>
      <c r="E5419" s="8"/>
      <c r="F5419" s="1"/>
      <c r="J5419" s="2"/>
      <c r="K5419" s="7"/>
    </row>
    <row r="5420" spans="1:11" x14ac:dyDescent="0.35">
      <c r="A5420" s="13"/>
      <c r="E5420" s="8"/>
      <c r="F5420" s="1"/>
      <c r="J5420" s="2"/>
      <c r="K5420" s="7"/>
    </row>
    <row r="5421" spans="1:11" x14ac:dyDescent="0.35">
      <c r="A5421" s="13"/>
      <c r="E5421" s="8"/>
      <c r="F5421" s="1"/>
      <c r="J5421" s="2"/>
      <c r="K5421" s="7"/>
    </row>
    <row r="5422" spans="1:11" x14ac:dyDescent="0.35">
      <c r="A5422" s="13"/>
      <c r="E5422" s="8"/>
      <c r="F5422" s="1"/>
      <c r="J5422" s="2"/>
      <c r="K5422" s="7"/>
    </row>
    <row r="5423" spans="1:11" x14ac:dyDescent="0.35">
      <c r="A5423" s="13"/>
      <c r="E5423" s="8"/>
      <c r="F5423" s="1"/>
      <c r="J5423" s="2"/>
      <c r="K5423" s="7"/>
    </row>
    <row r="5424" spans="1:11" x14ac:dyDescent="0.35">
      <c r="A5424" s="13"/>
      <c r="E5424" s="8"/>
      <c r="F5424" s="1"/>
      <c r="J5424" s="2"/>
      <c r="K5424" s="7"/>
    </row>
    <row r="5425" spans="1:11" x14ac:dyDescent="0.35">
      <c r="A5425" s="13"/>
      <c r="E5425" s="8"/>
      <c r="F5425" s="1"/>
      <c r="J5425" s="2"/>
      <c r="K5425" s="7"/>
    </row>
    <row r="5426" spans="1:11" x14ac:dyDescent="0.35">
      <c r="A5426" s="13"/>
      <c r="E5426" s="8"/>
      <c r="F5426" s="1"/>
      <c r="J5426" s="2"/>
      <c r="K5426" s="7"/>
    </row>
    <row r="5427" spans="1:11" x14ac:dyDescent="0.35">
      <c r="A5427" s="13"/>
      <c r="E5427" s="8"/>
      <c r="F5427" s="1"/>
      <c r="J5427" s="2"/>
      <c r="K5427" s="7"/>
    </row>
    <row r="5428" spans="1:11" x14ac:dyDescent="0.35">
      <c r="A5428" s="13"/>
      <c r="E5428" s="8"/>
      <c r="F5428" s="1"/>
      <c r="J5428" s="2"/>
      <c r="K5428" s="7"/>
    </row>
    <row r="5429" spans="1:11" x14ac:dyDescent="0.35">
      <c r="A5429" s="13"/>
      <c r="E5429" s="8"/>
      <c r="F5429" s="1"/>
      <c r="J5429" s="2"/>
      <c r="K5429" s="7"/>
    </row>
    <row r="5430" spans="1:11" x14ac:dyDescent="0.35">
      <c r="A5430" s="13"/>
      <c r="E5430" s="8"/>
      <c r="F5430" s="1"/>
      <c r="J5430" s="2"/>
      <c r="K5430" s="7"/>
    </row>
    <row r="5431" spans="1:11" x14ac:dyDescent="0.35">
      <c r="A5431" s="13"/>
      <c r="E5431" s="8"/>
      <c r="F5431" s="1"/>
      <c r="J5431" s="2"/>
      <c r="K5431" s="7"/>
    </row>
    <row r="5432" spans="1:11" x14ac:dyDescent="0.35">
      <c r="A5432" s="13"/>
      <c r="E5432" s="8"/>
      <c r="F5432" s="1"/>
      <c r="J5432" s="2"/>
      <c r="K5432" s="7"/>
    </row>
    <row r="5433" spans="1:11" x14ac:dyDescent="0.35">
      <c r="A5433" s="13"/>
      <c r="E5433" s="8"/>
      <c r="F5433" s="1"/>
      <c r="J5433" s="2"/>
      <c r="K5433" s="7"/>
    </row>
    <row r="5434" spans="1:11" x14ac:dyDescent="0.35">
      <c r="A5434" s="13"/>
      <c r="E5434" s="8"/>
      <c r="F5434" s="1"/>
      <c r="J5434" s="2"/>
      <c r="K5434" s="7"/>
    </row>
    <row r="5435" spans="1:11" x14ac:dyDescent="0.35">
      <c r="A5435" s="13"/>
      <c r="E5435" s="8"/>
      <c r="F5435" s="1"/>
      <c r="J5435" s="2"/>
      <c r="K5435" s="7"/>
    </row>
    <row r="5436" spans="1:11" x14ac:dyDescent="0.35">
      <c r="A5436" s="13"/>
      <c r="E5436" s="8"/>
      <c r="F5436" s="1"/>
      <c r="J5436" s="2"/>
      <c r="K5436" s="7"/>
    </row>
    <row r="5437" spans="1:11" x14ac:dyDescent="0.35">
      <c r="A5437" s="13"/>
      <c r="E5437" s="8"/>
      <c r="F5437" s="1"/>
      <c r="J5437" s="2"/>
      <c r="K5437" s="7"/>
    </row>
    <row r="5438" spans="1:11" x14ac:dyDescent="0.35">
      <c r="A5438" s="13"/>
      <c r="E5438" s="8"/>
      <c r="F5438" s="1"/>
      <c r="J5438" s="2"/>
      <c r="K5438" s="7"/>
    </row>
    <row r="5439" spans="1:11" x14ac:dyDescent="0.35">
      <c r="A5439" s="13"/>
      <c r="E5439" s="8"/>
      <c r="F5439" s="1"/>
      <c r="J5439" s="2"/>
      <c r="K5439" s="7"/>
    </row>
    <row r="5440" spans="1:11" x14ac:dyDescent="0.35">
      <c r="A5440" s="13"/>
      <c r="E5440" s="8"/>
      <c r="F5440" s="1"/>
      <c r="J5440" s="2"/>
      <c r="K5440" s="7"/>
    </row>
    <row r="5441" spans="1:11" x14ac:dyDescent="0.35">
      <c r="A5441" s="13"/>
      <c r="E5441" s="8"/>
      <c r="F5441" s="1"/>
      <c r="J5441" s="2"/>
      <c r="K5441" s="7"/>
    </row>
    <row r="5442" spans="1:11" x14ac:dyDescent="0.35">
      <c r="A5442" s="13"/>
      <c r="E5442" s="8"/>
      <c r="F5442" s="1"/>
      <c r="J5442" s="2"/>
      <c r="K5442" s="7"/>
    </row>
    <row r="5443" spans="1:11" x14ac:dyDescent="0.35">
      <c r="A5443" s="13"/>
      <c r="E5443" s="8"/>
      <c r="F5443" s="1"/>
      <c r="J5443" s="2"/>
      <c r="K5443" s="7"/>
    </row>
    <row r="5444" spans="1:11" x14ac:dyDescent="0.35">
      <c r="A5444" s="13"/>
      <c r="E5444" s="8"/>
      <c r="F5444" s="1"/>
      <c r="J5444" s="2"/>
      <c r="K5444" s="7"/>
    </row>
    <row r="5445" spans="1:11" x14ac:dyDescent="0.35">
      <c r="A5445" s="13"/>
      <c r="E5445" s="8"/>
      <c r="F5445" s="1"/>
      <c r="J5445" s="2"/>
      <c r="K5445" s="7"/>
    </row>
    <row r="5446" spans="1:11" x14ac:dyDescent="0.35">
      <c r="A5446" s="13"/>
      <c r="E5446" s="8"/>
      <c r="F5446" s="1"/>
      <c r="J5446" s="2"/>
      <c r="K5446" s="7"/>
    </row>
    <row r="5447" spans="1:11" x14ac:dyDescent="0.35">
      <c r="A5447" s="13"/>
      <c r="E5447" s="8"/>
      <c r="F5447" s="1"/>
      <c r="J5447" s="2"/>
      <c r="K5447" s="7"/>
    </row>
    <row r="5448" spans="1:11" x14ac:dyDescent="0.35">
      <c r="A5448" s="13"/>
      <c r="E5448" s="8"/>
      <c r="F5448" s="1"/>
      <c r="J5448" s="2"/>
      <c r="K5448" s="7"/>
    </row>
    <row r="5449" spans="1:11" x14ac:dyDescent="0.35">
      <c r="A5449" s="13"/>
      <c r="E5449" s="8"/>
      <c r="F5449" s="1"/>
      <c r="J5449" s="2"/>
      <c r="K5449" s="7"/>
    </row>
    <row r="5450" spans="1:11" x14ac:dyDescent="0.35">
      <c r="A5450" s="13"/>
      <c r="E5450" s="8"/>
      <c r="F5450" s="1"/>
      <c r="J5450" s="2"/>
      <c r="K5450" s="7"/>
    </row>
    <row r="5451" spans="1:11" x14ac:dyDescent="0.35">
      <c r="A5451" s="13"/>
      <c r="E5451" s="8"/>
      <c r="F5451" s="1"/>
      <c r="J5451" s="2"/>
      <c r="K5451" s="7"/>
    </row>
    <row r="5452" spans="1:11" x14ac:dyDescent="0.35">
      <c r="A5452" s="13"/>
      <c r="E5452" s="8"/>
      <c r="F5452" s="1"/>
      <c r="J5452" s="2"/>
      <c r="K5452" s="7"/>
    </row>
    <row r="5453" spans="1:11" x14ac:dyDescent="0.35">
      <c r="A5453" s="13"/>
      <c r="E5453" s="8"/>
      <c r="F5453" s="1"/>
      <c r="J5453" s="2"/>
      <c r="K5453" s="7"/>
    </row>
    <row r="5454" spans="1:11" x14ac:dyDescent="0.35">
      <c r="A5454" s="13"/>
      <c r="E5454" s="8"/>
      <c r="F5454" s="1"/>
      <c r="J5454" s="2"/>
      <c r="K5454" s="7"/>
    </row>
    <row r="5455" spans="1:11" x14ac:dyDescent="0.35">
      <c r="A5455" s="13"/>
      <c r="E5455" s="8"/>
      <c r="F5455" s="1"/>
      <c r="J5455" s="2"/>
      <c r="K5455" s="7"/>
    </row>
    <row r="5456" spans="1:11" x14ac:dyDescent="0.35">
      <c r="A5456" s="13"/>
      <c r="E5456" s="8"/>
      <c r="F5456" s="1"/>
      <c r="J5456" s="2"/>
      <c r="K5456" s="7"/>
    </row>
    <row r="5457" spans="1:11" x14ac:dyDescent="0.35">
      <c r="A5457" s="13"/>
      <c r="E5457" s="8"/>
      <c r="F5457" s="1"/>
      <c r="J5457" s="2"/>
      <c r="K5457" s="7"/>
    </row>
    <row r="5458" spans="1:11" x14ac:dyDescent="0.35">
      <c r="A5458" s="13"/>
      <c r="E5458" s="8"/>
      <c r="F5458" s="1"/>
      <c r="J5458" s="2"/>
      <c r="K5458" s="7"/>
    </row>
    <row r="5459" spans="1:11" x14ac:dyDescent="0.35">
      <c r="A5459" s="13"/>
      <c r="E5459" s="8"/>
      <c r="F5459" s="1"/>
      <c r="J5459" s="2"/>
      <c r="K5459" s="7"/>
    </row>
    <row r="5460" spans="1:11" x14ac:dyDescent="0.35">
      <c r="A5460" s="13"/>
      <c r="E5460" s="8"/>
      <c r="F5460" s="1"/>
      <c r="J5460" s="2"/>
      <c r="K5460" s="7"/>
    </row>
    <row r="5461" spans="1:11" x14ac:dyDescent="0.35">
      <c r="A5461" s="13"/>
      <c r="E5461" s="8"/>
      <c r="F5461" s="1"/>
      <c r="J5461" s="2"/>
      <c r="K5461" s="7"/>
    </row>
    <row r="5462" spans="1:11" x14ac:dyDescent="0.35">
      <c r="A5462" s="13"/>
      <c r="E5462" s="8"/>
      <c r="F5462" s="1"/>
      <c r="J5462" s="2"/>
      <c r="K5462" s="7"/>
    </row>
    <row r="5463" spans="1:11" x14ac:dyDescent="0.35">
      <c r="A5463" s="13"/>
      <c r="E5463" s="8"/>
      <c r="F5463" s="1"/>
      <c r="J5463" s="2"/>
      <c r="K5463" s="7"/>
    </row>
    <row r="5464" spans="1:11" x14ac:dyDescent="0.35">
      <c r="A5464" s="13"/>
      <c r="E5464" s="8"/>
      <c r="F5464" s="1"/>
      <c r="J5464" s="2"/>
      <c r="K5464" s="7"/>
    </row>
    <row r="5465" spans="1:11" x14ac:dyDescent="0.35">
      <c r="A5465" s="13"/>
      <c r="E5465" s="8"/>
      <c r="F5465" s="1"/>
      <c r="J5465" s="2"/>
      <c r="K5465" s="7"/>
    </row>
    <row r="5466" spans="1:11" x14ac:dyDescent="0.35">
      <c r="A5466" s="13"/>
      <c r="E5466" s="8"/>
      <c r="F5466" s="1"/>
      <c r="J5466" s="2"/>
      <c r="K5466" s="7"/>
    </row>
    <row r="5467" spans="1:11" x14ac:dyDescent="0.35">
      <c r="A5467" s="13"/>
      <c r="E5467" s="8"/>
      <c r="F5467" s="1"/>
      <c r="J5467" s="2"/>
      <c r="K5467" s="7"/>
    </row>
    <row r="5468" spans="1:11" x14ac:dyDescent="0.35">
      <c r="A5468" s="13"/>
      <c r="E5468" s="8"/>
      <c r="F5468" s="1"/>
      <c r="J5468" s="2"/>
      <c r="K5468" s="7"/>
    </row>
    <row r="5469" spans="1:11" x14ac:dyDescent="0.35">
      <c r="A5469" s="13"/>
      <c r="E5469" s="8"/>
      <c r="F5469" s="1"/>
      <c r="J5469" s="2"/>
      <c r="K5469" s="7"/>
    </row>
    <row r="5470" spans="1:11" x14ac:dyDescent="0.35">
      <c r="A5470" s="13"/>
      <c r="E5470" s="8"/>
      <c r="F5470" s="1"/>
      <c r="J5470" s="2"/>
      <c r="K5470" s="7"/>
    </row>
    <row r="5471" spans="1:11" x14ac:dyDescent="0.35">
      <c r="A5471" s="13"/>
      <c r="E5471" s="8"/>
      <c r="F5471" s="1"/>
      <c r="J5471" s="2"/>
      <c r="K5471" s="7"/>
    </row>
    <row r="5472" spans="1:11" x14ac:dyDescent="0.35">
      <c r="A5472" s="13"/>
      <c r="E5472" s="8"/>
      <c r="F5472" s="1"/>
      <c r="J5472" s="2"/>
      <c r="K5472" s="7"/>
    </row>
    <row r="5473" spans="1:11" x14ac:dyDescent="0.35">
      <c r="A5473" s="13"/>
      <c r="E5473" s="8"/>
      <c r="F5473" s="1"/>
      <c r="J5473" s="2"/>
      <c r="K5473" s="7"/>
    </row>
    <row r="5474" spans="1:11" x14ac:dyDescent="0.35">
      <c r="A5474" s="13"/>
      <c r="E5474" s="8"/>
      <c r="F5474" s="1"/>
      <c r="J5474" s="2"/>
      <c r="K5474" s="7"/>
    </row>
    <row r="5475" spans="1:11" x14ac:dyDescent="0.35">
      <c r="A5475" s="13"/>
      <c r="E5475" s="8"/>
      <c r="F5475" s="1"/>
      <c r="J5475" s="2"/>
      <c r="K5475" s="7"/>
    </row>
    <row r="5476" spans="1:11" x14ac:dyDescent="0.35">
      <c r="A5476" s="13"/>
      <c r="E5476" s="8"/>
      <c r="F5476" s="1"/>
      <c r="J5476" s="2"/>
      <c r="K5476" s="7"/>
    </row>
    <row r="5477" spans="1:11" x14ac:dyDescent="0.35">
      <c r="A5477" s="13"/>
      <c r="E5477" s="8"/>
      <c r="F5477" s="1"/>
      <c r="J5477" s="2"/>
      <c r="K5477" s="7"/>
    </row>
    <row r="5478" spans="1:11" x14ac:dyDescent="0.35">
      <c r="A5478" s="13"/>
      <c r="E5478" s="8"/>
      <c r="F5478" s="1"/>
      <c r="J5478" s="2"/>
      <c r="K5478" s="7"/>
    </row>
    <row r="5479" spans="1:11" x14ac:dyDescent="0.35">
      <c r="A5479" s="13"/>
      <c r="E5479" s="8"/>
      <c r="F5479" s="1"/>
      <c r="J5479" s="2"/>
      <c r="K5479" s="7"/>
    </row>
    <row r="5480" spans="1:11" x14ac:dyDescent="0.35">
      <c r="A5480" s="13"/>
      <c r="E5480" s="8"/>
      <c r="F5480" s="1"/>
      <c r="J5480" s="2"/>
      <c r="K5480" s="7"/>
    </row>
    <row r="5481" spans="1:11" x14ac:dyDescent="0.35">
      <c r="A5481" s="13"/>
      <c r="E5481" s="8"/>
      <c r="F5481" s="1"/>
      <c r="J5481" s="2"/>
      <c r="K5481" s="7"/>
    </row>
    <row r="5482" spans="1:11" x14ac:dyDescent="0.35">
      <c r="A5482" s="13"/>
      <c r="E5482" s="8"/>
      <c r="F5482" s="1"/>
      <c r="J5482" s="2"/>
      <c r="K5482" s="7"/>
    </row>
    <row r="5483" spans="1:11" x14ac:dyDescent="0.35">
      <c r="A5483" s="13"/>
      <c r="E5483" s="8"/>
      <c r="F5483" s="1"/>
      <c r="J5483" s="2"/>
      <c r="K5483" s="7"/>
    </row>
    <row r="5484" spans="1:11" x14ac:dyDescent="0.35">
      <c r="A5484" s="13"/>
      <c r="E5484" s="8"/>
      <c r="F5484" s="1"/>
      <c r="J5484" s="2"/>
      <c r="K5484" s="7"/>
    </row>
    <row r="5485" spans="1:11" x14ac:dyDescent="0.35">
      <c r="A5485" s="13"/>
      <c r="E5485" s="8"/>
      <c r="F5485" s="1"/>
      <c r="J5485" s="2"/>
      <c r="K5485" s="7"/>
    </row>
    <row r="5486" spans="1:11" x14ac:dyDescent="0.35">
      <c r="A5486" s="13"/>
      <c r="E5486" s="8"/>
      <c r="F5486" s="1"/>
      <c r="J5486" s="2"/>
      <c r="K5486" s="7"/>
    </row>
    <row r="5487" spans="1:11" x14ac:dyDescent="0.35">
      <c r="A5487" s="13"/>
      <c r="E5487" s="8"/>
      <c r="F5487" s="1"/>
      <c r="J5487" s="2"/>
      <c r="K5487" s="7"/>
    </row>
    <row r="5488" spans="1:11" x14ac:dyDescent="0.35">
      <c r="A5488" s="13"/>
      <c r="E5488" s="8"/>
      <c r="F5488" s="1"/>
      <c r="J5488" s="2"/>
      <c r="K5488" s="7"/>
    </row>
    <row r="5489" spans="1:11" x14ac:dyDescent="0.35">
      <c r="A5489" s="13"/>
      <c r="E5489" s="8"/>
      <c r="F5489" s="1"/>
      <c r="J5489" s="2"/>
      <c r="K5489" s="7"/>
    </row>
    <row r="5490" spans="1:11" x14ac:dyDescent="0.35">
      <c r="A5490" s="13"/>
      <c r="E5490" s="8"/>
      <c r="F5490" s="1"/>
      <c r="J5490" s="2"/>
      <c r="K5490" s="7"/>
    </row>
    <row r="5491" spans="1:11" x14ac:dyDescent="0.35">
      <c r="A5491" s="13"/>
      <c r="E5491" s="8"/>
      <c r="F5491" s="1"/>
      <c r="J5491" s="2"/>
      <c r="K5491" s="7"/>
    </row>
    <row r="5492" spans="1:11" x14ac:dyDescent="0.35">
      <c r="A5492" s="13"/>
      <c r="E5492" s="8"/>
      <c r="F5492" s="1"/>
      <c r="J5492" s="2"/>
      <c r="K5492" s="7"/>
    </row>
    <row r="5493" spans="1:11" x14ac:dyDescent="0.35">
      <c r="A5493" s="13"/>
      <c r="E5493" s="8"/>
      <c r="F5493" s="1"/>
      <c r="J5493" s="2"/>
      <c r="K5493" s="7"/>
    </row>
    <row r="5494" spans="1:11" x14ac:dyDescent="0.35">
      <c r="A5494" s="13"/>
      <c r="E5494" s="8"/>
      <c r="F5494" s="1"/>
      <c r="J5494" s="2"/>
      <c r="K5494" s="7"/>
    </row>
    <row r="5495" spans="1:11" x14ac:dyDescent="0.35">
      <c r="A5495" s="13"/>
      <c r="E5495" s="8"/>
      <c r="F5495" s="1"/>
      <c r="J5495" s="2"/>
      <c r="K5495" s="7"/>
    </row>
    <row r="5496" spans="1:11" x14ac:dyDescent="0.35">
      <c r="A5496" s="13"/>
      <c r="E5496" s="8"/>
      <c r="F5496" s="1"/>
      <c r="J5496" s="2"/>
      <c r="K5496" s="7"/>
    </row>
    <row r="5497" spans="1:11" x14ac:dyDescent="0.35">
      <c r="A5497" s="13"/>
      <c r="E5497" s="8"/>
      <c r="F5497" s="1"/>
      <c r="J5497" s="2"/>
      <c r="K5497" s="7"/>
    </row>
    <row r="5498" spans="1:11" x14ac:dyDescent="0.35">
      <c r="A5498" s="13"/>
      <c r="E5498" s="8"/>
      <c r="F5498" s="1"/>
      <c r="J5498" s="2"/>
      <c r="K5498" s="7"/>
    </row>
    <row r="5499" spans="1:11" x14ac:dyDescent="0.35">
      <c r="A5499" s="13"/>
      <c r="E5499" s="8"/>
      <c r="F5499" s="1"/>
      <c r="J5499" s="2"/>
      <c r="K5499" s="7"/>
    </row>
    <row r="5500" spans="1:11" x14ac:dyDescent="0.35">
      <c r="A5500" s="13"/>
      <c r="E5500" s="8"/>
      <c r="F5500" s="1"/>
      <c r="J5500" s="2"/>
      <c r="K5500" s="7"/>
    </row>
    <row r="5501" spans="1:11" x14ac:dyDescent="0.35">
      <c r="A5501" s="13"/>
      <c r="E5501" s="8"/>
      <c r="F5501" s="1"/>
      <c r="J5501" s="2"/>
      <c r="K5501" s="7"/>
    </row>
    <row r="5502" spans="1:11" x14ac:dyDescent="0.35">
      <c r="A5502" s="13"/>
      <c r="E5502" s="8"/>
      <c r="F5502" s="1"/>
      <c r="J5502" s="2"/>
      <c r="K5502" s="7"/>
    </row>
    <row r="5503" spans="1:11" x14ac:dyDescent="0.35">
      <c r="A5503" s="13"/>
      <c r="E5503" s="8"/>
      <c r="F5503" s="1"/>
      <c r="J5503" s="2"/>
      <c r="K5503" s="7"/>
    </row>
    <row r="5504" spans="1:11" x14ac:dyDescent="0.35">
      <c r="A5504" s="13"/>
      <c r="E5504" s="8"/>
      <c r="F5504" s="1"/>
      <c r="J5504" s="2"/>
      <c r="K5504" s="7"/>
    </row>
    <row r="5505" spans="1:11" x14ac:dyDescent="0.35">
      <c r="A5505" s="13"/>
      <c r="E5505" s="8"/>
      <c r="F5505" s="1"/>
      <c r="J5505" s="2"/>
      <c r="K5505" s="7"/>
    </row>
    <row r="5506" spans="1:11" x14ac:dyDescent="0.35">
      <c r="A5506" s="13"/>
      <c r="E5506" s="8"/>
      <c r="F5506" s="1"/>
      <c r="J5506" s="2"/>
      <c r="K5506" s="7"/>
    </row>
    <row r="5507" spans="1:11" x14ac:dyDescent="0.35">
      <c r="A5507" s="13"/>
      <c r="E5507" s="8"/>
      <c r="F5507" s="1"/>
      <c r="J5507" s="2"/>
      <c r="K5507" s="7"/>
    </row>
    <row r="5508" spans="1:11" x14ac:dyDescent="0.35">
      <c r="A5508" s="13"/>
      <c r="E5508" s="8"/>
      <c r="F5508" s="1"/>
      <c r="J5508" s="2"/>
      <c r="K5508" s="7"/>
    </row>
    <row r="5509" spans="1:11" x14ac:dyDescent="0.35">
      <c r="A5509" s="13"/>
      <c r="E5509" s="8"/>
      <c r="F5509" s="1"/>
      <c r="J5509" s="2"/>
      <c r="K5509" s="7"/>
    </row>
    <row r="5510" spans="1:11" x14ac:dyDescent="0.35">
      <c r="A5510" s="13"/>
      <c r="E5510" s="8"/>
      <c r="F5510" s="1"/>
      <c r="J5510" s="2"/>
      <c r="K5510" s="7"/>
    </row>
    <row r="5511" spans="1:11" x14ac:dyDescent="0.35">
      <c r="A5511" s="13"/>
      <c r="E5511" s="8"/>
      <c r="F5511" s="1"/>
      <c r="J5511" s="2"/>
      <c r="K5511" s="7"/>
    </row>
    <row r="5512" spans="1:11" x14ac:dyDescent="0.35">
      <c r="A5512" s="13"/>
      <c r="E5512" s="8"/>
      <c r="F5512" s="1"/>
      <c r="J5512" s="2"/>
      <c r="K5512" s="7"/>
    </row>
    <row r="5513" spans="1:11" x14ac:dyDescent="0.35">
      <c r="A5513" s="13"/>
      <c r="E5513" s="8"/>
      <c r="F5513" s="1"/>
      <c r="J5513" s="2"/>
      <c r="K5513" s="7"/>
    </row>
    <row r="5514" spans="1:11" x14ac:dyDescent="0.35">
      <c r="A5514" s="13"/>
      <c r="E5514" s="8"/>
      <c r="F5514" s="1"/>
      <c r="J5514" s="2"/>
      <c r="K5514" s="7"/>
    </row>
    <row r="5515" spans="1:11" x14ac:dyDescent="0.35">
      <c r="A5515" s="13"/>
      <c r="E5515" s="8"/>
      <c r="F5515" s="1"/>
      <c r="J5515" s="2"/>
      <c r="K5515" s="7"/>
    </row>
    <row r="5516" spans="1:11" x14ac:dyDescent="0.35">
      <c r="A5516" s="13"/>
      <c r="E5516" s="8"/>
      <c r="F5516" s="1"/>
      <c r="J5516" s="2"/>
      <c r="K5516" s="7"/>
    </row>
    <row r="5517" spans="1:11" x14ac:dyDescent="0.35">
      <c r="A5517" s="13"/>
      <c r="E5517" s="8"/>
      <c r="F5517" s="1"/>
      <c r="J5517" s="2"/>
      <c r="K5517" s="7"/>
    </row>
    <row r="5518" spans="1:11" x14ac:dyDescent="0.35">
      <c r="A5518" s="13"/>
      <c r="E5518" s="8"/>
      <c r="F5518" s="1"/>
      <c r="J5518" s="2"/>
      <c r="K5518" s="7"/>
    </row>
    <row r="5519" spans="1:11" x14ac:dyDescent="0.35">
      <c r="A5519" s="13"/>
      <c r="E5519" s="8"/>
      <c r="F5519" s="1"/>
      <c r="J5519" s="2"/>
      <c r="K5519" s="7"/>
    </row>
    <row r="5520" spans="1:11" x14ac:dyDescent="0.35">
      <c r="A5520" s="13"/>
      <c r="E5520" s="8"/>
      <c r="F5520" s="1"/>
      <c r="J5520" s="2"/>
      <c r="K5520" s="7"/>
    </row>
    <row r="5521" spans="1:11" x14ac:dyDescent="0.35">
      <c r="A5521" s="13"/>
      <c r="E5521" s="8"/>
      <c r="F5521" s="1"/>
      <c r="J5521" s="2"/>
      <c r="K5521" s="7"/>
    </row>
    <row r="5522" spans="1:11" x14ac:dyDescent="0.35">
      <c r="A5522" s="13"/>
      <c r="E5522" s="8"/>
      <c r="F5522" s="1"/>
      <c r="J5522" s="2"/>
      <c r="K5522" s="7"/>
    </row>
    <row r="5523" spans="1:11" x14ac:dyDescent="0.35">
      <c r="A5523" s="13"/>
      <c r="E5523" s="8"/>
      <c r="F5523" s="1"/>
      <c r="J5523" s="2"/>
      <c r="K5523" s="7"/>
    </row>
    <row r="5524" spans="1:11" x14ac:dyDescent="0.35">
      <c r="A5524" s="13"/>
      <c r="E5524" s="8"/>
      <c r="F5524" s="1"/>
      <c r="J5524" s="2"/>
      <c r="K5524" s="7"/>
    </row>
    <row r="5525" spans="1:11" x14ac:dyDescent="0.35">
      <c r="A5525" s="13"/>
      <c r="E5525" s="8"/>
      <c r="F5525" s="1"/>
      <c r="J5525" s="2"/>
      <c r="K5525" s="7"/>
    </row>
    <row r="5526" spans="1:11" x14ac:dyDescent="0.35">
      <c r="A5526" s="13"/>
      <c r="E5526" s="8"/>
      <c r="F5526" s="1"/>
      <c r="J5526" s="2"/>
      <c r="K5526" s="7"/>
    </row>
    <row r="5527" spans="1:11" x14ac:dyDescent="0.35">
      <c r="A5527" s="13"/>
      <c r="E5527" s="8"/>
      <c r="F5527" s="1"/>
      <c r="J5527" s="2"/>
      <c r="K5527" s="7"/>
    </row>
    <row r="5528" spans="1:11" x14ac:dyDescent="0.35">
      <c r="A5528" s="13"/>
      <c r="E5528" s="8"/>
      <c r="F5528" s="1"/>
      <c r="J5528" s="2"/>
      <c r="K5528" s="7"/>
    </row>
    <row r="5529" spans="1:11" x14ac:dyDescent="0.35">
      <c r="A5529" s="13"/>
      <c r="E5529" s="8"/>
      <c r="F5529" s="1"/>
      <c r="J5529" s="2"/>
      <c r="K5529" s="7"/>
    </row>
    <row r="5530" spans="1:11" x14ac:dyDescent="0.35">
      <c r="A5530" s="13"/>
      <c r="E5530" s="8"/>
      <c r="F5530" s="1"/>
      <c r="J5530" s="2"/>
      <c r="K5530" s="7"/>
    </row>
    <row r="5531" spans="1:11" x14ac:dyDescent="0.35">
      <c r="A5531" s="13"/>
      <c r="E5531" s="8"/>
      <c r="F5531" s="1"/>
      <c r="J5531" s="2"/>
      <c r="K5531" s="7"/>
    </row>
    <row r="5532" spans="1:11" x14ac:dyDescent="0.35">
      <c r="A5532" s="13"/>
      <c r="E5532" s="8"/>
      <c r="F5532" s="1"/>
      <c r="J5532" s="2"/>
      <c r="K5532" s="7"/>
    </row>
    <row r="5533" spans="1:11" x14ac:dyDescent="0.35">
      <c r="A5533" s="13"/>
      <c r="E5533" s="8"/>
      <c r="F5533" s="1"/>
      <c r="J5533" s="2"/>
      <c r="K5533" s="7"/>
    </row>
    <row r="5534" spans="1:11" x14ac:dyDescent="0.35">
      <c r="A5534" s="13"/>
      <c r="E5534" s="8"/>
      <c r="F5534" s="1"/>
      <c r="J5534" s="2"/>
      <c r="K5534" s="7"/>
    </row>
    <row r="5535" spans="1:11" x14ac:dyDescent="0.35">
      <c r="A5535" s="13"/>
      <c r="E5535" s="8"/>
      <c r="F5535" s="1"/>
      <c r="J5535" s="2"/>
      <c r="K5535" s="7"/>
    </row>
    <row r="5536" spans="1:11" x14ac:dyDescent="0.35">
      <c r="A5536" s="13"/>
      <c r="E5536" s="8"/>
      <c r="F5536" s="1"/>
      <c r="J5536" s="2"/>
      <c r="K5536" s="7"/>
    </row>
    <row r="5537" spans="1:11" x14ac:dyDescent="0.35">
      <c r="A5537" s="13"/>
      <c r="E5537" s="8"/>
      <c r="F5537" s="1"/>
      <c r="J5537" s="2"/>
      <c r="K5537" s="7"/>
    </row>
    <row r="5538" spans="1:11" x14ac:dyDescent="0.35">
      <c r="A5538" s="13"/>
      <c r="E5538" s="8"/>
      <c r="F5538" s="1"/>
      <c r="J5538" s="2"/>
      <c r="K5538" s="7"/>
    </row>
    <row r="5539" spans="1:11" x14ac:dyDescent="0.35">
      <c r="A5539" s="13"/>
      <c r="E5539" s="8"/>
      <c r="F5539" s="1"/>
      <c r="J5539" s="2"/>
      <c r="K5539" s="7"/>
    </row>
    <row r="5540" spans="1:11" x14ac:dyDescent="0.35">
      <c r="A5540" s="13"/>
      <c r="E5540" s="8"/>
      <c r="F5540" s="1"/>
      <c r="J5540" s="2"/>
      <c r="K5540" s="7"/>
    </row>
    <row r="5541" spans="1:11" x14ac:dyDescent="0.35">
      <c r="A5541" s="13"/>
      <c r="E5541" s="8"/>
      <c r="F5541" s="1"/>
      <c r="J5541" s="2"/>
      <c r="K5541" s="7"/>
    </row>
    <row r="5542" spans="1:11" x14ac:dyDescent="0.35">
      <c r="A5542" s="13"/>
      <c r="E5542" s="8"/>
      <c r="F5542" s="1"/>
      <c r="J5542" s="2"/>
      <c r="K5542" s="7"/>
    </row>
    <row r="5543" spans="1:11" x14ac:dyDescent="0.35">
      <c r="A5543" s="13"/>
      <c r="E5543" s="8"/>
      <c r="F5543" s="1"/>
      <c r="J5543" s="2"/>
      <c r="K5543" s="7"/>
    </row>
    <row r="5544" spans="1:11" x14ac:dyDescent="0.35">
      <c r="A5544" s="13"/>
      <c r="E5544" s="8"/>
      <c r="F5544" s="1"/>
      <c r="J5544" s="2"/>
      <c r="K5544" s="7"/>
    </row>
    <row r="5545" spans="1:11" x14ac:dyDescent="0.35">
      <c r="A5545" s="13"/>
      <c r="E5545" s="8"/>
      <c r="F5545" s="1"/>
      <c r="J5545" s="2"/>
      <c r="K5545" s="7"/>
    </row>
    <row r="5546" spans="1:11" x14ac:dyDescent="0.35">
      <c r="A5546" s="13"/>
      <c r="E5546" s="8"/>
      <c r="F5546" s="1"/>
      <c r="J5546" s="2"/>
      <c r="K5546" s="7"/>
    </row>
    <row r="5547" spans="1:11" x14ac:dyDescent="0.35">
      <c r="A5547" s="13"/>
      <c r="E5547" s="8"/>
      <c r="F5547" s="1"/>
      <c r="J5547" s="2"/>
      <c r="K5547" s="7"/>
    </row>
    <row r="5548" spans="1:11" x14ac:dyDescent="0.35">
      <c r="A5548" s="13"/>
      <c r="E5548" s="8"/>
      <c r="F5548" s="1"/>
      <c r="J5548" s="2"/>
      <c r="K5548" s="7"/>
    </row>
    <row r="5549" spans="1:11" x14ac:dyDescent="0.35">
      <c r="A5549" s="13"/>
      <c r="E5549" s="8"/>
      <c r="F5549" s="1"/>
      <c r="J5549" s="2"/>
      <c r="K5549" s="7"/>
    </row>
    <row r="5550" spans="1:11" x14ac:dyDescent="0.35">
      <c r="A5550" s="13"/>
      <c r="E5550" s="8"/>
      <c r="F5550" s="1"/>
      <c r="J5550" s="2"/>
      <c r="K5550" s="7"/>
    </row>
    <row r="5551" spans="1:11" x14ac:dyDescent="0.35">
      <c r="A5551" s="13"/>
      <c r="E5551" s="8"/>
      <c r="F5551" s="1"/>
      <c r="J5551" s="2"/>
      <c r="K5551" s="7"/>
    </row>
    <row r="5552" spans="1:11" x14ac:dyDescent="0.35">
      <c r="A5552" s="13"/>
      <c r="E5552" s="8"/>
      <c r="F5552" s="1"/>
      <c r="J5552" s="2"/>
      <c r="K5552" s="7"/>
    </row>
    <row r="5553" spans="1:11" x14ac:dyDescent="0.35">
      <c r="A5553" s="13"/>
      <c r="E5553" s="8"/>
      <c r="F5553" s="1"/>
      <c r="J5553" s="2"/>
      <c r="K5553" s="7"/>
    </row>
    <row r="5554" spans="1:11" x14ac:dyDescent="0.35">
      <c r="A5554" s="13"/>
      <c r="E5554" s="8"/>
      <c r="F5554" s="1"/>
      <c r="J5554" s="2"/>
      <c r="K5554" s="7"/>
    </row>
    <row r="5555" spans="1:11" x14ac:dyDescent="0.35">
      <c r="A5555" s="13"/>
      <c r="E5555" s="8"/>
      <c r="F5555" s="1"/>
      <c r="J5555" s="2"/>
      <c r="K5555" s="7"/>
    </row>
    <row r="5556" spans="1:11" x14ac:dyDescent="0.35">
      <c r="A5556" s="13"/>
      <c r="E5556" s="8"/>
      <c r="F5556" s="1"/>
      <c r="J5556" s="2"/>
      <c r="K5556" s="7"/>
    </row>
    <row r="5557" spans="1:11" x14ac:dyDescent="0.35">
      <c r="A5557" s="13"/>
      <c r="E5557" s="8"/>
      <c r="F5557" s="1"/>
      <c r="J5557" s="2"/>
      <c r="K5557" s="7"/>
    </row>
    <row r="5558" spans="1:11" x14ac:dyDescent="0.35">
      <c r="A5558" s="13"/>
      <c r="E5558" s="8"/>
      <c r="F5558" s="1"/>
      <c r="J5558" s="2"/>
      <c r="K5558" s="7"/>
    </row>
    <row r="5559" spans="1:11" x14ac:dyDescent="0.35">
      <c r="A5559" s="13"/>
      <c r="E5559" s="8"/>
      <c r="F5559" s="1"/>
      <c r="J5559" s="2"/>
      <c r="K5559" s="7"/>
    </row>
    <row r="5560" spans="1:11" x14ac:dyDescent="0.35">
      <c r="A5560" s="13"/>
      <c r="E5560" s="8"/>
      <c r="F5560" s="1"/>
      <c r="J5560" s="2"/>
      <c r="K5560" s="7"/>
    </row>
    <row r="5561" spans="1:11" x14ac:dyDescent="0.35">
      <c r="A5561" s="13"/>
      <c r="E5561" s="8"/>
      <c r="F5561" s="1"/>
      <c r="J5561" s="2"/>
      <c r="K5561" s="7"/>
    </row>
    <row r="5562" spans="1:11" x14ac:dyDescent="0.35">
      <c r="A5562" s="13"/>
      <c r="E5562" s="8"/>
      <c r="F5562" s="1"/>
      <c r="J5562" s="2"/>
      <c r="K5562" s="7"/>
    </row>
    <row r="5563" spans="1:11" x14ac:dyDescent="0.35">
      <c r="A5563" s="13"/>
      <c r="E5563" s="8"/>
      <c r="F5563" s="1"/>
      <c r="J5563" s="2"/>
      <c r="K5563" s="7"/>
    </row>
    <row r="5564" spans="1:11" x14ac:dyDescent="0.35">
      <c r="A5564" s="13"/>
      <c r="E5564" s="8"/>
      <c r="F5564" s="1"/>
      <c r="J5564" s="2"/>
      <c r="K5564" s="7"/>
    </row>
    <row r="5565" spans="1:11" x14ac:dyDescent="0.35">
      <c r="A5565" s="13"/>
      <c r="E5565" s="8"/>
      <c r="F5565" s="1"/>
      <c r="J5565" s="2"/>
      <c r="K5565" s="7"/>
    </row>
    <row r="5566" spans="1:11" x14ac:dyDescent="0.35">
      <c r="A5566" s="13"/>
      <c r="E5566" s="8"/>
      <c r="F5566" s="1"/>
      <c r="J5566" s="2"/>
      <c r="K5566" s="7"/>
    </row>
    <row r="5567" spans="1:11" x14ac:dyDescent="0.35">
      <c r="A5567" s="13"/>
      <c r="E5567" s="8"/>
      <c r="F5567" s="1"/>
      <c r="J5567" s="2"/>
      <c r="K5567" s="7"/>
    </row>
    <row r="5568" spans="1:11" x14ac:dyDescent="0.35">
      <c r="A5568" s="13"/>
      <c r="E5568" s="8"/>
      <c r="F5568" s="1"/>
      <c r="J5568" s="2"/>
      <c r="K5568" s="7"/>
    </row>
    <row r="5569" spans="1:11" x14ac:dyDescent="0.35">
      <c r="A5569" s="13"/>
      <c r="E5569" s="8"/>
      <c r="F5569" s="1"/>
      <c r="J5569" s="2"/>
      <c r="K5569" s="7"/>
    </row>
    <row r="5570" spans="1:11" x14ac:dyDescent="0.35">
      <c r="A5570" s="13"/>
      <c r="E5570" s="8"/>
      <c r="F5570" s="1"/>
      <c r="J5570" s="2"/>
      <c r="K5570" s="7"/>
    </row>
    <row r="5571" spans="1:11" x14ac:dyDescent="0.35">
      <c r="A5571" s="13"/>
      <c r="E5571" s="8"/>
      <c r="F5571" s="1"/>
      <c r="J5571" s="2"/>
      <c r="K5571" s="7"/>
    </row>
    <row r="5572" spans="1:11" x14ac:dyDescent="0.35">
      <c r="A5572" s="13"/>
      <c r="E5572" s="8"/>
      <c r="F5572" s="1"/>
      <c r="J5572" s="2"/>
      <c r="K5572" s="7"/>
    </row>
    <row r="5573" spans="1:11" x14ac:dyDescent="0.35">
      <c r="A5573" s="13"/>
      <c r="E5573" s="8"/>
      <c r="F5573" s="1"/>
      <c r="J5573" s="2"/>
      <c r="K5573" s="7"/>
    </row>
    <row r="5574" spans="1:11" x14ac:dyDescent="0.35">
      <c r="A5574" s="13"/>
      <c r="E5574" s="8"/>
      <c r="F5574" s="1"/>
      <c r="J5574" s="2"/>
      <c r="K5574" s="7"/>
    </row>
    <row r="5575" spans="1:11" x14ac:dyDescent="0.35">
      <c r="A5575" s="13"/>
      <c r="E5575" s="8"/>
      <c r="F5575" s="1"/>
      <c r="J5575" s="2"/>
      <c r="K5575" s="7"/>
    </row>
    <row r="5576" spans="1:11" x14ac:dyDescent="0.35">
      <c r="A5576" s="13"/>
      <c r="E5576" s="8"/>
      <c r="F5576" s="1"/>
      <c r="J5576" s="2"/>
      <c r="K5576" s="7"/>
    </row>
    <row r="5577" spans="1:11" x14ac:dyDescent="0.35">
      <c r="A5577" s="13"/>
      <c r="E5577" s="8"/>
      <c r="F5577" s="1"/>
      <c r="J5577" s="2"/>
      <c r="K5577" s="7"/>
    </row>
    <row r="5578" spans="1:11" x14ac:dyDescent="0.35">
      <c r="A5578" s="13"/>
      <c r="E5578" s="8"/>
      <c r="F5578" s="1"/>
      <c r="J5578" s="2"/>
      <c r="K5578" s="7"/>
    </row>
    <row r="5579" spans="1:11" x14ac:dyDescent="0.35">
      <c r="A5579" s="13"/>
      <c r="E5579" s="8"/>
      <c r="F5579" s="1"/>
      <c r="J5579" s="2"/>
      <c r="K5579" s="7"/>
    </row>
    <row r="5580" spans="1:11" x14ac:dyDescent="0.35">
      <c r="A5580" s="13"/>
      <c r="E5580" s="8"/>
      <c r="F5580" s="1"/>
      <c r="J5580" s="2"/>
      <c r="K5580" s="7"/>
    </row>
    <row r="5581" spans="1:11" x14ac:dyDescent="0.35">
      <c r="A5581" s="13"/>
      <c r="E5581" s="8"/>
      <c r="F5581" s="1"/>
      <c r="J5581" s="2"/>
      <c r="K5581" s="7"/>
    </row>
    <row r="5582" spans="1:11" x14ac:dyDescent="0.35">
      <c r="A5582" s="13"/>
      <c r="E5582" s="8"/>
      <c r="F5582" s="1"/>
      <c r="J5582" s="2"/>
      <c r="K5582" s="7"/>
    </row>
    <row r="5583" spans="1:11" x14ac:dyDescent="0.35">
      <c r="A5583" s="13"/>
      <c r="E5583" s="8"/>
      <c r="F5583" s="1"/>
      <c r="J5583" s="2"/>
      <c r="K5583" s="7"/>
    </row>
    <row r="5584" spans="1:11" x14ac:dyDescent="0.35">
      <c r="A5584" s="13"/>
      <c r="E5584" s="8"/>
      <c r="F5584" s="1"/>
      <c r="J5584" s="2"/>
      <c r="K5584" s="7"/>
    </row>
    <row r="5585" spans="1:11" x14ac:dyDescent="0.35">
      <c r="A5585" s="13"/>
      <c r="E5585" s="8"/>
      <c r="F5585" s="1"/>
      <c r="J5585" s="2"/>
      <c r="K5585" s="7"/>
    </row>
    <row r="5586" spans="1:11" x14ac:dyDescent="0.35">
      <c r="A5586" s="13"/>
      <c r="E5586" s="8"/>
      <c r="F5586" s="1"/>
      <c r="J5586" s="2"/>
      <c r="K5586" s="7"/>
    </row>
    <row r="5587" spans="1:11" x14ac:dyDescent="0.35">
      <c r="A5587" s="13"/>
      <c r="E5587" s="8"/>
      <c r="F5587" s="1"/>
      <c r="J5587" s="2"/>
      <c r="K5587" s="7"/>
    </row>
    <row r="5588" spans="1:11" x14ac:dyDescent="0.35">
      <c r="A5588" s="13"/>
      <c r="E5588" s="8"/>
      <c r="F5588" s="1"/>
      <c r="J5588" s="2"/>
      <c r="K5588" s="7"/>
    </row>
    <row r="5589" spans="1:11" x14ac:dyDescent="0.35">
      <c r="A5589" s="13"/>
      <c r="E5589" s="8"/>
      <c r="F5589" s="1"/>
      <c r="J5589" s="2"/>
      <c r="K5589" s="7"/>
    </row>
    <row r="5590" spans="1:11" x14ac:dyDescent="0.35">
      <c r="A5590" s="13"/>
      <c r="E5590" s="8"/>
      <c r="F5590" s="1"/>
      <c r="J5590" s="2"/>
      <c r="K5590" s="7"/>
    </row>
    <row r="5591" spans="1:11" x14ac:dyDescent="0.35">
      <c r="A5591" s="13"/>
      <c r="E5591" s="8"/>
      <c r="F5591" s="1"/>
      <c r="J5591" s="2"/>
      <c r="K5591" s="7"/>
    </row>
    <row r="5592" spans="1:11" x14ac:dyDescent="0.35">
      <c r="A5592" s="13"/>
      <c r="E5592" s="8"/>
      <c r="F5592" s="1"/>
      <c r="J5592" s="2"/>
      <c r="K5592" s="7"/>
    </row>
    <row r="5593" spans="1:11" x14ac:dyDescent="0.35">
      <c r="A5593" s="13"/>
      <c r="E5593" s="8"/>
      <c r="F5593" s="1"/>
      <c r="J5593" s="2"/>
      <c r="K5593" s="7"/>
    </row>
    <row r="5594" spans="1:11" x14ac:dyDescent="0.35">
      <c r="A5594" s="13"/>
      <c r="E5594" s="8"/>
      <c r="F5594" s="1"/>
      <c r="J5594" s="2"/>
      <c r="K5594" s="7"/>
    </row>
    <row r="5595" spans="1:11" x14ac:dyDescent="0.35">
      <c r="A5595" s="13"/>
      <c r="E5595" s="8"/>
      <c r="F5595" s="1"/>
      <c r="J5595" s="2"/>
      <c r="K5595" s="7"/>
    </row>
    <row r="5596" spans="1:11" x14ac:dyDescent="0.35">
      <c r="A5596" s="13"/>
      <c r="E5596" s="8"/>
      <c r="F5596" s="1"/>
      <c r="J5596" s="2"/>
      <c r="K5596" s="7"/>
    </row>
    <row r="5597" spans="1:11" x14ac:dyDescent="0.35">
      <c r="A5597" s="13"/>
      <c r="E5597" s="8"/>
      <c r="F5597" s="1"/>
      <c r="J5597" s="2"/>
      <c r="K5597" s="7"/>
    </row>
    <row r="5598" spans="1:11" x14ac:dyDescent="0.35">
      <c r="A5598" s="13"/>
      <c r="E5598" s="8"/>
      <c r="F5598" s="1"/>
      <c r="J5598" s="2"/>
      <c r="K5598" s="7"/>
    </row>
    <row r="5599" spans="1:11" x14ac:dyDescent="0.35">
      <c r="A5599" s="13"/>
      <c r="E5599" s="8"/>
      <c r="F5599" s="1"/>
      <c r="J5599" s="2"/>
      <c r="K5599" s="7"/>
    </row>
    <row r="5600" spans="1:11" x14ac:dyDescent="0.35">
      <c r="A5600" s="13"/>
      <c r="E5600" s="8"/>
      <c r="F5600" s="1"/>
      <c r="J5600" s="2"/>
      <c r="K5600" s="7"/>
    </row>
    <row r="5601" spans="1:11" x14ac:dyDescent="0.35">
      <c r="A5601" s="13"/>
      <c r="E5601" s="8"/>
      <c r="F5601" s="1"/>
      <c r="J5601" s="2"/>
      <c r="K5601" s="7"/>
    </row>
    <row r="5602" spans="1:11" x14ac:dyDescent="0.35">
      <c r="A5602" s="13"/>
      <c r="E5602" s="8"/>
      <c r="F5602" s="1"/>
      <c r="J5602" s="2"/>
      <c r="K5602" s="7"/>
    </row>
    <row r="5603" spans="1:11" x14ac:dyDescent="0.35">
      <c r="A5603" s="13"/>
      <c r="E5603" s="8"/>
      <c r="F5603" s="1"/>
      <c r="J5603" s="2"/>
      <c r="K5603" s="7"/>
    </row>
    <row r="5604" spans="1:11" x14ac:dyDescent="0.35">
      <c r="A5604" s="13"/>
      <c r="E5604" s="8"/>
      <c r="F5604" s="1"/>
      <c r="J5604" s="2"/>
      <c r="K5604" s="7"/>
    </row>
    <row r="5605" spans="1:11" x14ac:dyDescent="0.35">
      <c r="A5605" s="13"/>
      <c r="E5605" s="8"/>
      <c r="F5605" s="1"/>
      <c r="J5605" s="2"/>
      <c r="K5605" s="7"/>
    </row>
    <row r="5606" spans="1:11" x14ac:dyDescent="0.35">
      <c r="A5606" s="13"/>
      <c r="E5606" s="8"/>
      <c r="F5606" s="1"/>
      <c r="J5606" s="2"/>
      <c r="K5606" s="7"/>
    </row>
    <row r="5607" spans="1:11" x14ac:dyDescent="0.35">
      <c r="A5607" s="13"/>
      <c r="E5607" s="8"/>
      <c r="F5607" s="1"/>
      <c r="J5607" s="2"/>
      <c r="K5607" s="7"/>
    </row>
    <row r="5608" spans="1:11" x14ac:dyDescent="0.35">
      <c r="A5608" s="13"/>
      <c r="E5608" s="8"/>
      <c r="F5608" s="1"/>
      <c r="J5608" s="2"/>
      <c r="K5608" s="7"/>
    </row>
    <row r="5609" spans="1:11" x14ac:dyDescent="0.35">
      <c r="A5609" s="13"/>
      <c r="E5609" s="8"/>
      <c r="F5609" s="1"/>
      <c r="J5609" s="2"/>
      <c r="K5609" s="7"/>
    </row>
    <row r="5610" spans="1:11" x14ac:dyDescent="0.35">
      <c r="A5610" s="13"/>
      <c r="E5610" s="8"/>
      <c r="F5610" s="1"/>
      <c r="J5610" s="2"/>
      <c r="K5610" s="7"/>
    </row>
    <row r="5611" spans="1:11" x14ac:dyDescent="0.35">
      <c r="A5611" s="13"/>
      <c r="E5611" s="8"/>
      <c r="F5611" s="1"/>
      <c r="J5611" s="2"/>
      <c r="K5611" s="7"/>
    </row>
    <row r="5612" spans="1:11" x14ac:dyDescent="0.35">
      <c r="A5612" s="13"/>
      <c r="E5612" s="8"/>
      <c r="F5612" s="1"/>
      <c r="J5612" s="2"/>
      <c r="K5612" s="7"/>
    </row>
    <row r="5613" spans="1:11" x14ac:dyDescent="0.35">
      <c r="A5613" s="13"/>
      <c r="E5613" s="8"/>
      <c r="F5613" s="1"/>
      <c r="J5613" s="2"/>
      <c r="K5613" s="7"/>
    </row>
    <row r="5614" spans="1:11" x14ac:dyDescent="0.35">
      <c r="A5614" s="13"/>
      <c r="E5614" s="8"/>
      <c r="F5614" s="1"/>
      <c r="J5614" s="2"/>
      <c r="K5614" s="7"/>
    </row>
    <row r="5615" spans="1:11" x14ac:dyDescent="0.35">
      <c r="A5615" s="13"/>
      <c r="E5615" s="8"/>
      <c r="F5615" s="1"/>
      <c r="J5615" s="2"/>
      <c r="K5615" s="7"/>
    </row>
    <row r="5616" spans="1:11" x14ac:dyDescent="0.35">
      <c r="A5616" s="13"/>
      <c r="E5616" s="8"/>
      <c r="F5616" s="1"/>
      <c r="J5616" s="2"/>
      <c r="K5616" s="7"/>
    </row>
    <row r="5617" spans="1:11" x14ac:dyDescent="0.35">
      <c r="A5617" s="13"/>
      <c r="E5617" s="8"/>
      <c r="F5617" s="1"/>
      <c r="J5617" s="2"/>
      <c r="K5617" s="7"/>
    </row>
    <row r="5618" spans="1:11" x14ac:dyDescent="0.35">
      <c r="A5618" s="13"/>
      <c r="E5618" s="8"/>
      <c r="F5618" s="1"/>
      <c r="J5618" s="2"/>
      <c r="K5618" s="7"/>
    </row>
    <row r="5619" spans="1:11" x14ac:dyDescent="0.35">
      <c r="A5619" s="13"/>
      <c r="E5619" s="8"/>
      <c r="F5619" s="1"/>
      <c r="J5619" s="2"/>
      <c r="K5619" s="7"/>
    </row>
    <row r="5620" spans="1:11" x14ac:dyDescent="0.35">
      <c r="A5620" s="13"/>
      <c r="E5620" s="8"/>
      <c r="F5620" s="1"/>
      <c r="J5620" s="2"/>
      <c r="K5620" s="7"/>
    </row>
    <row r="5621" spans="1:11" x14ac:dyDescent="0.35">
      <c r="A5621" s="13"/>
      <c r="E5621" s="8"/>
      <c r="F5621" s="1"/>
      <c r="J5621" s="2"/>
      <c r="K5621" s="7"/>
    </row>
    <row r="5622" spans="1:11" x14ac:dyDescent="0.35">
      <c r="A5622" s="13"/>
      <c r="E5622" s="8"/>
      <c r="F5622" s="1"/>
      <c r="J5622" s="2"/>
      <c r="K5622" s="7"/>
    </row>
    <row r="5623" spans="1:11" x14ac:dyDescent="0.35">
      <c r="A5623" s="13"/>
      <c r="E5623" s="8"/>
      <c r="F5623" s="1"/>
      <c r="J5623" s="2"/>
      <c r="K5623" s="7"/>
    </row>
    <row r="5624" spans="1:11" x14ac:dyDescent="0.35">
      <c r="A5624" s="13"/>
      <c r="E5624" s="8"/>
      <c r="F5624" s="1"/>
      <c r="J5624" s="2"/>
      <c r="K5624" s="7"/>
    </row>
    <row r="5625" spans="1:11" x14ac:dyDescent="0.35">
      <c r="A5625" s="13"/>
      <c r="E5625" s="8"/>
      <c r="F5625" s="1"/>
      <c r="J5625" s="2"/>
      <c r="K5625" s="7"/>
    </row>
    <row r="5626" spans="1:11" x14ac:dyDescent="0.35">
      <c r="A5626" s="13"/>
      <c r="E5626" s="8"/>
      <c r="F5626" s="1"/>
      <c r="J5626" s="2"/>
      <c r="K5626" s="7"/>
    </row>
    <row r="5627" spans="1:11" x14ac:dyDescent="0.35">
      <c r="A5627" s="13"/>
      <c r="E5627" s="8"/>
      <c r="F5627" s="1"/>
      <c r="J5627" s="2"/>
      <c r="K5627" s="7"/>
    </row>
    <row r="5628" spans="1:11" x14ac:dyDescent="0.35">
      <c r="A5628" s="13"/>
      <c r="E5628" s="8"/>
      <c r="F5628" s="1"/>
      <c r="J5628" s="2"/>
      <c r="K5628" s="7"/>
    </row>
    <row r="5629" spans="1:11" x14ac:dyDescent="0.35">
      <c r="A5629" s="13"/>
      <c r="E5629" s="8"/>
      <c r="F5629" s="1"/>
      <c r="J5629" s="2"/>
      <c r="K5629" s="7"/>
    </row>
    <row r="5630" spans="1:11" x14ac:dyDescent="0.35">
      <c r="A5630" s="13"/>
      <c r="E5630" s="8"/>
      <c r="F5630" s="1"/>
      <c r="J5630" s="2"/>
      <c r="K5630" s="7"/>
    </row>
    <row r="5631" spans="1:11" x14ac:dyDescent="0.35">
      <c r="A5631" s="13"/>
      <c r="E5631" s="8"/>
      <c r="F5631" s="1"/>
      <c r="J5631" s="2"/>
      <c r="K5631" s="7"/>
    </row>
    <row r="5632" spans="1:11" x14ac:dyDescent="0.35">
      <c r="A5632" s="13"/>
      <c r="E5632" s="8"/>
      <c r="F5632" s="1"/>
      <c r="J5632" s="2"/>
      <c r="K5632" s="7"/>
    </row>
    <row r="5633" spans="1:11" x14ac:dyDescent="0.35">
      <c r="A5633" s="13"/>
      <c r="E5633" s="8"/>
      <c r="F5633" s="1"/>
      <c r="J5633" s="2"/>
      <c r="K5633" s="7"/>
    </row>
    <row r="5634" spans="1:11" x14ac:dyDescent="0.35">
      <c r="A5634" s="13"/>
      <c r="E5634" s="8"/>
      <c r="F5634" s="1"/>
      <c r="J5634" s="2"/>
      <c r="K5634" s="7"/>
    </row>
    <row r="5635" spans="1:11" x14ac:dyDescent="0.35">
      <c r="A5635" s="13"/>
      <c r="E5635" s="8"/>
      <c r="F5635" s="1"/>
      <c r="J5635" s="2"/>
      <c r="K5635" s="7"/>
    </row>
    <row r="5636" spans="1:11" x14ac:dyDescent="0.35">
      <c r="A5636" s="13"/>
      <c r="E5636" s="8"/>
      <c r="F5636" s="1"/>
      <c r="J5636" s="2"/>
      <c r="K5636" s="7"/>
    </row>
    <row r="5637" spans="1:11" x14ac:dyDescent="0.35">
      <c r="A5637" s="13"/>
      <c r="E5637" s="8"/>
      <c r="F5637" s="1"/>
      <c r="J5637" s="2"/>
      <c r="K5637" s="7"/>
    </row>
    <row r="5638" spans="1:11" x14ac:dyDescent="0.35">
      <c r="A5638" s="13"/>
      <c r="E5638" s="8"/>
      <c r="F5638" s="1"/>
      <c r="J5638" s="2"/>
      <c r="K5638" s="7"/>
    </row>
    <row r="5639" spans="1:11" x14ac:dyDescent="0.35">
      <c r="A5639" s="13"/>
      <c r="E5639" s="8"/>
      <c r="F5639" s="1"/>
      <c r="J5639" s="2"/>
      <c r="K5639" s="7"/>
    </row>
    <row r="5640" spans="1:11" x14ac:dyDescent="0.35">
      <c r="A5640" s="13"/>
      <c r="E5640" s="8"/>
      <c r="F5640" s="1"/>
      <c r="J5640" s="2"/>
      <c r="K5640" s="7"/>
    </row>
    <row r="5641" spans="1:11" x14ac:dyDescent="0.35">
      <c r="A5641" s="13"/>
      <c r="E5641" s="8"/>
      <c r="F5641" s="1"/>
      <c r="J5641" s="2"/>
      <c r="K5641" s="7"/>
    </row>
    <row r="5642" spans="1:11" x14ac:dyDescent="0.35">
      <c r="A5642" s="13"/>
      <c r="E5642" s="8"/>
      <c r="F5642" s="1"/>
      <c r="J5642" s="2"/>
      <c r="K5642" s="7"/>
    </row>
    <row r="5643" spans="1:11" x14ac:dyDescent="0.35">
      <c r="A5643" s="13"/>
      <c r="E5643" s="8"/>
      <c r="F5643" s="1"/>
      <c r="J5643" s="2"/>
      <c r="K5643" s="7"/>
    </row>
    <row r="5644" spans="1:11" x14ac:dyDescent="0.35">
      <c r="A5644" s="13"/>
      <c r="E5644" s="8"/>
      <c r="F5644" s="1"/>
      <c r="J5644" s="2"/>
      <c r="K5644" s="7"/>
    </row>
    <row r="5645" spans="1:11" x14ac:dyDescent="0.35">
      <c r="A5645" s="13"/>
      <c r="E5645" s="8"/>
      <c r="F5645" s="1"/>
      <c r="J5645" s="2"/>
      <c r="K5645" s="7"/>
    </row>
    <row r="5646" spans="1:11" x14ac:dyDescent="0.35">
      <c r="A5646" s="13"/>
      <c r="E5646" s="8"/>
      <c r="F5646" s="1"/>
      <c r="J5646" s="2"/>
      <c r="K5646" s="7"/>
    </row>
    <row r="5647" spans="1:11" x14ac:dyDescent="0.35">
      <c r="A5647" s="13"/>
      <c r="E5647" s="8"/>
      <c r="F5647" s="1"/>
      <c r="J5647" s="2"/>
      <c r="K5647" s="7"/>
    </row>
    <row r="5648" spans="1:11" x14ac:dyDescent="0.35">
      <c r="A5648" s="13"/>
      <c r="E5648" s="8"/>
      <c r="F5648" s="1"/>
      <c r="J5648" s="2"/>
      <c r="K5648" s="7"/>
    </row>
    <row r="5649" spans="1:11" x14ac:dyDescent="0.35">
      <c r="A5649" s="13"/>
      <c r="E5649" s="8"/>
      <c r="F5649" s="1"/>
      <c r="J5649" s="2"/>
      <c r="K5649" s="7"/>
    </row>
    <row r="5650" spans="1:11" x14ac:dyDescent="0.35">
      <c r="A5650" s="13"/>
      <c r="E5650" s="8"/>
      <c r="F5650" s="1"/>
      <c r="J5650" s="2"/>
      <c r="K5650" s="7"/>
    </row>
    <row r="5651" spans="1:11" x14ac:dyDescent="0.35">
      <c r="A5651" s="13"/>
      <c r="E5651" s="8"/>
      <c r="F5651" s="1"/>
      <c r="J5651" s="2"/>
      <c r="K5651" s="7"/>
    </row>
    <row r="5652" spans="1:11" x14ac:dyDescent="0.35">
      <c r="A5652" s="13"/>
      <c r="E5652" s="8"/>
      <c r="F5652" s="1"/>
      <c r="J5652" s="2"/>
      <c r="K5652" s="7"/>
    </row>
    <row r="5653" spans="1:11" x14ac:dyDescent="0.35">
      <c r="A5653" s="13"/>
      <c r="E5653" s="8"/>
      <c r="F5653" s="1"/>
      <c r="J5653" s="2"/>
      <c r="K5653" s="7"/>
    </row>
    <row r="5654" spans="1:11" x14ac:dyDescent="0.35">
      <c r="A5654" s="13"/>
      <c r="E5654" s="8"/>
      <c r="F5654" s="1"/>
      <c r="J5654" s="2"/>
      <c r="K5654" s="7"/>
    </row>
    <row r="5655" spans="1:11" x14ac:dyDescent="0.35">
      <c r="A5655" s="13"/>
      <c r="E5655" s="8"/>
      <c r="F5655" s="1"/>
      <c r="J5655" s="2"/>
      <c r="K5655" s="7"/>
    </row>
    <row r="5656" spans="1:11" x14ac:dyDescent="0.35">
      <c r="A5656" s="13"/>
      <c r="E5656" s="8"/>
      <c r="F5656" s="1"/>
      <c r="J5656" s="2"/>
      <c r="K5656" s="7"/>
    </row>
    <row r="5657" spans="1:11" x14ac:dyDescent="0.35">
      <c r="A5657" s="13"/>
      <c r="E5657" s="8"/>
      <c r="F5657" s="1"/>
      <c r="J5657" s="2"/>
      <c r="K5657" s="7"/>
    </row>
    <row r="5658" spans="1:11" x14ac:dyDescent="0.35">
      <c r="A5658" s="13"/>
      <c r="E5658" s="8"/>
      <c r="F5658" s="1"/>
      <c r="J5658" s="2"/>
      <c r="K5658" s="7"/>
    </row>
    <row r="5659" spans="1:11" x14ac:dyDescent="0.35">
      <c r="A5659" s="13"/>
      <c r="E5659" s="8"/>
      <c r="F5659" s="1"/>
      <c r="J5659" s="2"/>
      <c r="K5659" s="7"/>
    </row>
    <row r="5660" spans="1:11" x14ac:dyDescent="0.35">
      <c r="A5660" s="13"/>
      <c r="E5660" s="8"/>
      <c r="F5660" s="1"/>
      <c r="J5660" s="2"/>
      <c r="K5660" s="7"/>
    </row>
    <row r="5661" spans="1:11" x14ac:dyDescent="0.35">
      <c r="A5661" s="13"/>
      <c r="E5661" s="8"/>
      <c r="F5661" s="1"/>
      <c r="J5661" s="2"/>
      <c r="K5661" s="7"/>
    </row>
    <row r="5662" spans="1:11" x14ac:dyDescent="0.35">
      <c r="A5662" s="13"/>
      <c r="E5662" s="8"/>
      <c r="F5662" s="1"/>
      <c r="J5662" s="2"/>
      <c r="K5662" s="7"/>
    </row>
    <row r="5663" spans="1:11" x14ac:dyDescent="0.35">
      <c r="A5663" s="13"/>
      <c r="E5663" s="8"/>
      <c r="F5663" s="1"/>
      <c r="J5663" s="2"/>
      <c r="K5663" s="7"/>
    </row>
    <row r="5664" spans="1:11" x14ac:dyDescent="0.35">
      <c r="A5664" s="13"/>
      <c r="E5664" s="8"/>
      <c r="F5664" s="1"/>
      <c r="J5664" s="2"/>
      <c r="K5664" s="7"/>
    </row>
    <row r="5665" spans="1:11" x14ac:dyDescent="0.35">
      <c r="A5665" s="13"/>
      <c r="E5665" s="8"/>
      <c r="F5665" s="1"/>
      <c r="J5665" s="2"/>
      <c r="K5665" s="7"/>
    </row>
    <row r="5666" spans="1:11" x14ac:dyDescent="0.35">
      <c r="A5666" s="13"/>
      <c r="E5666" s="8"/>
      <c r="F5666" s="1"/>
      <c r="J5666" s="2"/>
      <c r="K5666" s="7"/>
    </row>
    <row r="5667" spans="1:11" x14ac:dyDescent="0.35">
      <c r="A5667" s="13"/>
      <c r="E5667" s="8"/>
      <c r="F5667" s="1"/>
      <c r="J5667" s="2"/>
      <c r="K5667" s="7"/>
    </row>
    <row r="5668" spans="1:11" x14ac:dyDescent="0.35">
      <c r="A5668" s="13"/>
      <c r="E5668" s="8"/>
      <c r="F5668" s="1"/>
      <c r="J5668" s="2"/>
      <c r="K5668" s="7"/>
    </row>
    <row r="5669" spans="1:11" x14ac:dyDescent="0.35">
      <c r="A5669" s="13"/>
      <c r="E5669" s="8"/>
      <c r="F5669" s="1"/>
      <c r="J5669" s="2"/>
      <c r="K5669" s="7"/>
    </row>
    <row r="5670" spans="1:11" x14ac:dyDescent="0.35">
      <c r="A5670" s="13"/>
      <c r="E5670" s="8"/>
      <c r="F5670" s="1"/>
      <c r="J5670" s="2"/>
      <c r="K5670" s="7"/>
    </row>
    <row r="5671" spans="1:11" x14ac:dyDescent="0.35">
      <c r="A5671" s="13"/>
      <c r="E5671" s="8"/>
      <c r="F5671" s="1"/>
      <c r="J5671" s="2"/>
      <c r="K5671" s="7"/>
    </row>
    <row r="5672" spans="1:11" x14ac:dyDescent="0.35">
      <c r="A5672" s="13"/>
      <c r="E5672" s="8"/>
      <c r="F5672" s="1"/>
      <c r="J5672" s="2"/>
      <c r="K5672" s="7"/>
    </row>
    <row r="5673" spans="1:11" x14ac:dyDescent="0.35">
      <c r="A5673" s="13"/>
      <c r="E5673" s="8"/>
      <c r="F5673" s="1"/>
      <c r="J5673" s="2"/>
      <c r="K5673" s="7"/>
    </row>
    <row r="5674" spans="1:11" x14ac:dyDescent="0.35">
      <c r="A5674" s="13"/>
      <c r="E5674" s="8"/>
      <c r="F5674" s="1"/>
      <c r="J5674" s="2"/>
      <c r="K5674" s="7"/>
    </row>
    <row r="5675" spans="1:11" x14ac:dyDescent="0.35">
      <c r="A5675" s="13"/>
      <c r="E5675" s="8"/>
      <c r="F5675" s="1"/>
      <c r="J5675" s="2"/>
      <c r="K5675" s="7"/>
    </row>
    <row r="5676" spans="1:11" x14ac:dyDescent="0.35">
      <c r="A5676" s="13"/>
      <c r="E5676" s="8"/>
      <c r="F5676" s="1"/>
      <c r="J5676" s="2"/>
      <c r="K5676" s="7"/>
    </row>
    <row r="5677" spans="1:11" x14ac:dyDescent="0.35">
      <c r="A5677" s="13"/>
      <c r="E5677" s="8"/>
      <c r="F5677" s="1"/>
      <c r="J5677" s="2"/>
      <c r="K5677" s="7"/>
    </row>
    <row r="5678" spans="1:11" x14ac:dyDescent="0.35">
      <c r="A5678" s="13"/>
      <c r="E5678" s="8"/>
      <c r="F5678" s="1"/>
      <c r="J5678" s="2"/>
      <c r="K5678" s="7"/>
    </row>
    <row r="5679" spans="1:11" x14ac:dyDescent="0.35">
      <c r="A5679" s="13"/>
      <c r="E5679" s="8"/>
      <c r="F5679" s="1"/>
      <c r="J5679" s="2"/>
      <c r="K5679" s="7"/>
    </row>
    <row r="5680" spans="1:11" x14ac:dyDescent="0.35">
      <c r="A5680" s="13"/>
      <c r="E5680" s="8"/>
      <c r="F5680" s="1"/>
      <c r="J5680" s="2"/>
      <c r="K5680" s="7"/>
    </row>
    <row r="5681" spans="1:11" x14ac:dyDescent="0.35">
      <c r="A5681" s="13"/>
      <c r="E5681" s="8"/>
      <c r="F5681" s="1"/>
      <c r="J5681" s="2"/>
      <c r="K5681" s="7"/>
    </row>
    <row r="5682" spans="1:11" x14ac:dyDescent="0.35">
      <c r="A5682" s="13"/>
      <c r="E5682" s="8"/>
      <c r="F5682" s="1"/>
      <c r="J5682" s="2"/>
      <c r="K5682" s="7"/>
    </row>
    <row r="5683" spans="1:11" x14ac:dyDescent="0.35">
      <c r="A5683" s="13"/>
      <c r="E5683" s="8"/>
      <c r="F5683" s="1"/>
      <c r="J5683" s="2"/>
      <c r="K5683" s="7"/>
    </row>
    <row r="5684" spans="1:11" x14ac:dyDescent="0.35">
      <c r="A5684" s="13"/>
      <c r="E5684" s="8"/>
      <c r="F5684" s="1"/>
      <c r="J5684" s="2"/>
      <c r="K5684" s="7"/>
    </row>
    <row r="5685" spans="1:11" x14ac:dyDescent="0.35">
      <c r="A5685" s="13"/>
      <c r="E5685" s="8"/>
      <c r="F5685" s="1"/>
      <c r="J5685" s="2"/>
      <c r="K5685" s="7"/>
    </row>
    <row r="5686" spans="1:11" x14ac:dyDescent="0.35">
      <c r="A5686" s="13"/>
      <c r="E5686" s="8"/>
      <c r="F5686" s="1"/>
      <c r="J5686" s="2"/>
      <c r="K5686" s="7"/>
    </row>
    <row r="5687" spans="1:11" x14ac:dyDescent="0.35">
      <c r="A5687" s="13"/>
      <c r="E5687" s="8"/>
      <c r="F5687" s="1"/>
      <c r="J5687" s="2"/>
      <c r="K5687" s="7"/>
    </row>
    <row r="5688" spans="1:11" x14ac:dyDescent="0.35">
      <c r="A5688" s="13"/>
      <c r="E5688" s="8"/>
      <c r="F5688" s="1"/>
      <c r="J5688" s="2"/>
      <c r="K5688" s="7"/>
    </row>
    <row r="5689" spans="1:11" x14ac:dyDescent="0.35">
      <c r="A5689" s="13"/>
      <c r="E5689" s="8"/>
      <c r="F5689" s="1"/>
      <c r="J5689" s="2"/>
      <c r="K5689" s="7"/>
    </row>
    <row r="5690" spans="1:11" x14ac:dyDescent="0.35">
      <c r="A5690" s="13"/>
      <c r="E5690" s="8"/>
      <c r="F5690" s="1"/>
      <c r="J5690" s="2"/>
      <c r="K5690" s="7"/>
    </row>
    <row r="5691" spans="1:11" x14ac:dyDescent="0.35">
      <c r="A5691" s="13"/>
      <c r="E5691" s="8"/>
      <c r="F5691" s="1"/>
      <c r="J5691" s="2"/>
      <c r="K5691" s="7"/>
    </row>
    <row r="5692" spans="1:11" x14ac:dyDescent="0.35">
      <c r="A5692" s="13"/>
      <c r="E5692" s="8"/>
      <c r="F5692" s="1"/>
      <c r="J5692" s="2"/>
      <c r="K5692" s="7"/>
    </row>
    <row r="5693" spans="1:11" x14ac:dyDescent="0.35">
      <c r="A5693" s="13"/>
      <c r="E5693" s="8"/>
      <c r="F5693" s="1"/>
      <c r="J5693" s="2"/>
      <c r="K5693" s="7"/>
    </row>
    <row r="5694" spans="1:11" x14ac:dyDescent="0.35">
      <c r="A5694" s="13"/>
      <c r="E5694" s="8"/>
      <c r="F5694" s="1"/>
      <c r="J5694" s="2"/>
      <c r="K5694" s="7"/>
    </row>
    <row r="5695" spans="1:11" x14ac:dyDescent="0.35">
      <c r="A5695" s="13"/>
      <c r="E5695" s="8"/>
      <c r="F5695" s="1"/>
      <c r="J5695" s="2"/>
      <c r="K5695" s="7"/>
    </row>
    <row r="5696" spans="1:11" x14ac:dyDescent="0.35">
      <c r="A5696" s="13"/>
      <c r="E5696" s="8"/>
      <c r="F5696" s="1"/>
      <c r="J5696" s="2"/>
      <c r="K5696" s="7"/>
    </row>
    <row r="5697" spans="1:11" x14ac:dyDescent="0.35">
      <c r="A5697" s="13"/>
      <c r="E5697" s="8"/>
      <c r="F5697" s="1"/>
      <c r="J5697" s="2"/>
      <c r="K5697" s="7"/>
    </row>
    <row r="5698" spans="1:11" x14ac:dyDescent="0.35">
      <c r="A5698" s="13"/>
      <c r="E5698" s="8"/>
      <c r="F5698" s="1"/>
      <c r="J5698" s="2"/>
      <c r="K5698" s="7"/>
    </row>
    <row r="5699" spans="1:11" x14ac:dyDescent="0.35">
      <c r="A5699" s="13"/>
      <c r="E5699" s="8"/>
      <c r="F5699" s="1"/>
      <c r="J5699" s="2"/>
      <c r="K5699" s="7"/>
    </row>
    <row r="5700" spans="1:11" x14ac:dyDescent="0.35">
      <c r="A5700" s="13"/>
      <c r="E5700" s="8"/>
      <c r="F5700" s="1"/>
      <c r="J5700" s="2"/>
      <c r="K5700" s="7"/>
    </row>
    <row r="5701" spans="1:11" x14ac:dyDescent="0.35">
      <c r="A5701" s="13"/>
      <c r="E5701" s="8"/>
      <c r="F5701" s="1"/>
      <c r="J5701" s="2"/>
      <c r="K5701" s="7"/>
    </row>
    <row r="5702" spans="1:11" x14ac:dyDescent="0.35">
      <c r="A5702" s="13"/>
      <c r="E5702" s="8"/>
      <c r="F5702" s="1"/>
      <c r="J5702" s="2"/>
      <c r="K5702" s="7"/>
    </row>
    <row r="5703" spans="1:11" x14ac:dyDescent="0.35">
      <c r="A5703" s="13"/>
      <c r="E5703" s="8"/>
      <c r="F5703" s="1"/>
      <c r="J5703" s="2"/>
      <c r="K5703" s="7"/>
    </row>
    <row r="5704" spans="1:11" x14ac:dyDescent="0.35">
      <c r="A5704" s="13"/>
      <c r="E5704" s="8"/>
      <c r="F5704" s="1"/>
      <c r="J5704" s="2"/>
      <c r="K5704" s="7"/>
    </row>
    <row r="5705" spans="1:11" x14ac:dyDescent="0.35">
      <c r="A5705" s="13"/>
      <c r="E5705" s="8"/>
      <c r="F5705" s="1"/>
      <c r="J5705" s="2"/>
      <c r="K5705" s="7"/>
    </row>
    <row r="5706" spans="1:11" x14ac:dyDescent="0.35">
      <c r="A5706" s="13"/>
      <c r="E5706" s="8"/>
      <c r="F5706" s="1"/>
      <c r="J5706" s="2"/>
      <c r="K5706" s="7"/>
    </row>
    <row r="5707" spans="1:11" x14ac:dyDescent="0.35">
      <c r="A5707" s="13"/>
      <c r="E5707" s="8"/>
      <c r="F5707" s="1"/>
      <c r="J5707" s="2"/>
      <c r="K5707" s="7"/>
    </row>
    <row r="5708" spans="1:11" x14ac:dyDescent="0.35">
      <c r="A5708" s="13"/>
      <c r="E5708" s="8"/>
      <c r="F5708" s="1"/>
      <c r="J5708" s="2"/>
      <c r="K5708" s="7"/>
    </row>
    <row r="5709" spans="1:11" x14ac:dyDescent="0.35">
      <c r="A5709" s="13"/>
      <c r="E5709" s="8"/>
      <c r="F5709" s="1"/>
      <c r="J5709" s="2"/>
      <c r="K5709" s="7"/>
    </row>
    <row r="5710" spans="1:11" x14ac:dyDescent="0.35">
      <c r="A5710" s="13"/>
      <c r="E5710" s="8"/>
      <c r="F5710" s="1"/>
      <c r="J5710" s="2"/>
      <c r="K5710" s="7"/>
    </row>
    <row r="5711" spans="1:11" x14ac:dyDescent="0.35">
      <c r="A5711" s="13"/>
      <c r="E5711" s="8"/>
      <c r="F5711" s="1"/>
      <c r="J5711" s="2"/>
      <c r="K5711" s="7"/>
    </row>
    <row r="5712" spans="1:11" x14ac:dyDescent="0.35">
      <c r="A5712" s="13"/>
      <c r="E5712" s="8"/>
      <c r="F5712" s="1"/>
      <c r="J5712" s="2"/>
      <c r="K5712" s="7"/>
    </row>
    <row r="5713" spans="1:11" x14ac:dyDescent="0.35">
      <c r="A5713" s="13"/>
      <c r="E5713" s="8"/>
      <c r="F5713" s="1"/>
      <c r="J5713" s="2"/>
      <c r="K5713" s="7"/>
    </row>
    <row r="5714" spans="1:11" x14ac:dyDescent="0.35">
      <c r="A5714" s="13"/>
      <c r="E5714" s="8"/>
      <c r="F5714" s="1"/>
      <c r="J5714" s="2"/>
      <c r="K5714" s="7"/>
    </row>
    <row r="5715" spans="1:11" x14ac:dyDescent="0.35">
      <c r="A5715" s="13"/>
      <c r="E5715" s="8"/>
      <c r="F5715" s="1"/>
      <c r="J5715" s="2"/>
      <c r="K5715" s="7"/>
    </row>
    <row r="5716" spans="1:11" x14ac:dyDescent="0.35">
      <c r="A5716" s="13"/>
      <c r="E5716" s="8"/>
      <c r="F5716" s="1"/>
      <c r="J5716" s="2"/>
      <c r="K5716" s="7"/>
    </row>
    <row r="5717" spans="1:11" x14ac:dyDescent="0.35">
      <c r="A5717" s="13"/>
      <c r="E5717" s="8"/>
      <c r="F5717" s="1"/>
      <c r="J5717" s="2"/>
      <c r="K5717" s="7"/>
    </row>
    <row r="5718" spans="1:11" x14ac:dyDescent="0.35">
      <c r="A5718" s="13"/>
      <c r="E5718" s="8"/>
      <c r="F5718" s="1"/>
      <c r="J5718" s="2"/>
      <c r="K5718" s="7"/>
    </row>
    <row r="5719" spans="1:11" x14ac:dyDescent="0.35">
      <c r="A5719" s="13"/>
      <c r="E5719" s="8"/>
      <c r="F5719" s="1"/>
      <c r="J5719" s="2"/>
      <c r="K5719" s="7"/>
    </row>
    <row r="5720" spans="1:11" x14ac:dyDescent="0.35">
      <c r="A5720" s="13"/>
      <c r="E5720" s="8"/>
      <c r="F5720" s="1"/>
      <c r="J5720" s="2"/>
      <c r="K5720" s="7"/>
    </row>
    <row r="5721" spans="1:11" x14ac:dyDescent="0.35">
      <c r="A5721" s="13"/>
      <c r="E5721" s="8"/>
      <c r="F5721" s="1"/>
      <c r="J5721" s="2"/>
      <c r="K5721" s="7"/>
    </row>
    <row r="5722" spans="1:11" x14ac:dyDescent="0.35">
      <c r="A5722" s="13"/>
      <c r="E5722" s="8"/>
      <c r="F5722" s="1"/>
      <c r="J5722" s="2"/>
      <c r="K5722" s="7"/>
    </row>
    <row r="5723" spans="1:11" x14ac:dyDescent="0.35">
      <c r="A5723" s="13"/>
      <c r="E5723" s="8"/>
      <c r="F5723" s="1"/>
      <c r="J5723" s="2"/>
      <c r="K5723" s="7"/>
    </row>
    <row r="5724" spans="1:11" x14ac:dyDescent="0.35">
      <c r="A5724" s="13"/>
      <c r="E5724" s="8"/>
      <c r="F5724" s="1"/>
      <c r="J5724" s="2"/>
      <c r="K5724" s="7"/>
    </row>
    <row r="5725" spans="1:11" x14ac:dyDescent="0.35">
      <c r="A5725" s="13"/>
      <c r="E5725" s="8"/>
      <c r="F5725" s="1"/>
      <c r="J5725" s="2"/>
      <c r="K5725" s="7"/>
    </row>
    <row r="5726" spans="1:11" x14ac:dyDescent="0.35">
      <c r="A5726" s="13"/>
      <c r="E5726" s="8"/>
      <c r="F5726" s="1"/>
      <c r="J5726" s="2"/>
      <c r="K5726" s="7"/>
    </row>
    <row r="5727" spans="1:11" x14ac:dyDescent="0.35">
      <c r="A5727" s="13"/>
      <c r="E5727" s="8"/>
      <c r="F5727" s="1"/>
      <c r="J5727" s="2"/>
      <c r="K5727" s="7"/>
    </row>
    <row r="5728" spans="1:11" x14ac:dyDescent="0.35">
      <c r="A5728" s="13"/>
      <c r="E5728" s="8"/>
      <c r="F5728" s="1"/>
      <c r="J5728" s="2"/>
      <c r="K5728" s="7"/>
    </row>
    <row r="5729" spans="1:11" x14ac:dyDescent="0.35">
      <c r="A5729" s="13"/>
      <c r="E5729" s="8"/>
      <c r="F5729" s="1"/>
      <c r="J5729" s="2"/>
      <c r="K5729" s="7"/>
    </row>
    <row r="5730" spans="1:11" x14ac:dyDescent="0.35">
      <c r="A5730" s="13"/>
      <c r="E5730" s="8"/>
      <c r="F5730" s="1"/>
      <c r="J5730" s="2"/>
      <c r="K5730" s="7"/>
    </row>
    <row r="5731" spans="1:11" x14ac:dyDescent="0.35">
      <c r="A5731" s="13"/>
      <c r="E5731" s="8"/>
      <c r="F5731" s="1"/>
      <c r="J5731" s="2"/>
      <c r="K5731" s="7"/>
    </row>
    <row r="5732" spans="1:11" x14ac:dyDescent="0.35">
      <c r="A5732" s="13"/>
      <c r="E5732" s="8"/>
      <c r="F5732" s="1"/>
      <c r="J5732" s="2"/>
      <c r="K5732" s="7"/>
    </row>
    <row r="5733" spans="1:11" x14ac:dyDescent="0.35">
      <c r="A5733" s="13"/>
      <c r="E5733" s="8"/>
      <c r="F5733" s="1"/>
      <c r="J5733" s="2"/>
      <c r="K5733" s="7"/>
    </row>
    <row r="5734" spans="1:11" x14ac:dyDescent="0.35">
      <c r="A5734" s="13"/>
      <c r="E5734" s="8"/>
      <c r="F5734" s="1"/>
      <c r="J5734" s="2"/>
      <c r="K5734" s="7"/>
    </row>
    <row r="5735" spans="1:11" x14ac:dyDescent="0.35">
      <c r="A5735" s="13"/>
      <c r="E5735" s="8"/>
      <c r="F5735" s="1"/>
      <c r="J5735" s="2"/>
      <c r="K5735" s="7"/>
    </row>
    <row r="5736" spans="1:11" x14ac:dyDescent="0.35">
      <c r="A5736" s="13"/>
      <c r="E5736" s="8"/>
      <c r="F5736" s="1"/>
      <c r="J5736" s="2"/>
      <c r="K5736" s="7"/>
    </row>
    <row r="5737" spans="1:11" x14ac:dyDescent="0.35">
      <c r="A5737" s="13"/>
      <c r="E5737" s="8"/>
      <c r="F5737" s="1"/>
      <c r="J5737" s="2"/>
      <c r="K5737" s="7"/>
    </row>
    <row r="5738" spans="1:11" x14ac:dyDescent="0.35">
      <c r="A5738" s="13"/>
      <c r="E5738" s="8"/>
      <c r="F5738" s="1"/>
      <c r="J5738" s="2"/>
      <c r="K5738" s="7"/>
    </row>
    <row r="5739" spans="1:11" x14ac:dyDescent="0.35">
      <c r="A5739" s="13"/>
      <c r="E5739" s="8"/>
      <c r="F5739" s="1"/>
      <c r="J5739" s="2"/>
      <c r="K5739" s="7"/>
    </row>
    <row r="5740" spans="1:11" x14ac:dyDescent="0.35">
      <c r="A5740" s="13"/>
      <c r="E5740" s="8"/>
      <c r="F5740" s="1"/>
      <c r="J5740" s="2"/>
      <c r="K5740" s="7"/>
    </row>
    <row r="5741" spans="1:11" x14ac:dyDescent="0.35">
      <c r="A5741" s="13"/>
      <c r="E5741" s="8"/>
      <c r="F5741" s="1"/>
      <c r="J5741" s="2"/>
      <c r="K5741" s="7"/>
    </row>
    <row r="5742" spans="1:11" x14ac:dyDescent="0.35">
      <c r="A5742" s="13"/>
      <c r="E5742" s="8"/>
      <c r="F5742" s="1"/>
      <c r="J5742" s="2"/>
      <c r="K5742" s="7"/>
    </row>
    <row r="5743" spans="1:11" x14ac:dyDescent="0.35">
      <c r="A5743" s="13"/>
      <c r="E5743" s="8"/>
      <c r="F5743" s="1"/>
      <c r="J5743" s="2"/>
      <c r="K5743" s="7"/>
    </row>
    <row r="5744" spans="1:11" x14ac:dyDescent="0.35">
      <c r="A5744" s="13"/>
      <c r="E5744" s="8"/>
      <c r="F5744" s="1"/>
      <c r="J5744" s="2"/>
      <c r="K5744" s="7"/>
    </row>
    <row r="5745" spans="1:11" x14ac:dyDescent="0.35">
      <c r="A5745" s="13"/>
      <c r="E5745" s="8"/>
      <c r="F5745" s="1"/>
      <c r="J5745" s="2"/>
      <c r="K5745" s="7"/>
    </row>
    <row r="5746" spans="1:11" x14ac:dyDescent="0.35">
      <c r="A5746" s="13"/>
      <c r="E5746" s="8"/>
      <c r="F5746" s="1"/>
      <c r="J5746" s="2"/>
      <c r="K5746" s="7"/>
    </row>
    <row r="5747" spans="1:11" x14ac:dyDescent="0.35">
      <c r="A5747" s="13"/>
      <c r="E5747" s="8"/>
      <c r="F5747" s="1"/>
      <c r="J5747" s="2"/>
      <c r="K5747" s="7"/>
    </row>
    <row r="5748" spans="1:11" x14ac:dyDescent="0.35">
      <c r="A5748" s="13"/>
      <c r="E5748" s="8"/>
      <c r="F5748" s="1"/>
      <c r="J5748" s="2"/>
      <c r="K5748" s="7"/>
    </row>
    <row r="5749" spans="1:11" x14ac:dyDescent="0.35">
      <c r="A5749" s="13"/>
      <c r="E5749" s="8"/>
      <c r="F5749" s="1"/>
      <c r="J5749" s="2"/>
      <c r="K5749" s="7"/>
    </row>
    <row r="5750" spans="1:11" x14ac:dyDescent="0.35">
      <c r="A5750" s="13"/>
      <c r="E5750" s="8"/>
      <c r="F5750" s="1"/>
      <c r="J5750" s="2"/>
      <c r="K5750" s="7"/>
    </row>
    <row r="5751" spans="1:11" x14ac:dyDescent="0.35">
      <c r="A5751" s="13"/>
      <c r="E5751" s="8"/>
      <c r="F5751" s="1"/>
      <c r="J5751" s="2"/>
      <c r="K5751" s="7"/>
    </row>
    <row r="5752" spans="1:11" x14ac:dyDescent="0.35">
      <c r="A5752" s="13"/>
      <c r="E5752" s="8"/>
      <c r="F5752" s="1"/>
      <c r="J5752" s="2"/>
      <c r="K5752" s="7"/>
    </row>
    <row r="5753" spans="1:11" x14ac:dyDescent="0.35">
      <c r="A5753" s="13"/>
      <c r="E5753" s="8"/>
      <c r="F5753" s="1"/>
      <c r="J5753" s="2"/>
      <c r="K5753" s="7"/>
    </row>
    <row r="5754" spans="1:11" x14ac:dyDescent="0.35">
      <c r="A5754" s="13"/>
      <c r="E5754" s="8"/>
      <c r="F5754" s="1"/>
      <c r="J5754" s="2"/>
      <c r="K5754" s="7"/>
    </row>
    <row r="5755" spans="1:11" x14ac:dyDescent="0.35">
      <c r="A5755" s="13"/>
      <c r="E5755" s="8"/>
      <c r="F5755" s="1"/>
      <c r="J5755" s="2"/>
      <c r="K5755" s="7"/>
    </row>
    <row r="5756" spans="1:11" x14ac:dyDescent="0.35">
      <c r="A5756" s="13"/>
      <c r="E5756" s="8"/>
      <c r="F5756" s="1"/>
      <c r="J5756" s="2"/>
      <c r="K5756" s="7"/>
    </row>
    <row r="5757" spans="1:11" x14ac:dyDescent="0.35">
      <c r="A5757" s="13"/>
      <c r="E5757" s="8"/>
      <c r="F5757" s="1"/>
      <c r="J5757" s="2"/>
      <c r="K5757" s="7"/>
    </row>
    <row r="5758" spans="1:11" x14ac:dyDescent="0.35">
      <c r="A5758" s="13"/>
      <c r="E5758" s="8"/>
      <c r="F5758" s="1"/>
      <c r="J5758" s="2"/>
      <c r="K5758" s="7"/>
    </row>
    <row r="5759" spans="1:11" x14ac:dyDescent="0.35">
      <c r="A5759" s="13"/>
      <c r="E5759" s="8"/>
      <c r="F5759" s="1"/>
      <c r="J5759" s="2"/>
      <c r="K5759" s="7"/>
    </row>
    <row r="5760" spans="1:11" x14ac:dyDescent="0.35">
      <c r="A5760" s="13"/>
      <c r="E5760" s="8"/>
      <c r="F5760" s="1"/>
      <c r="J5760" s="2"/>
      <c r="K5760" s="7"/>
    </row>
    <row r="5761" spans="1:11" x14ac:dyDescent="0.35">
      <c r="A5761" s="13"/>
      <c r="E5761" s="8"/>
      <c r="F5761" s="1"/>
      <c r="J5761" s="2"/>
      <c r="K5761" s="7"/>
    </row>
    <row r="5762" spans="1:11" x14ac:dyDescent="0.35">
      <c r="A5762" s="13"/>
      <c r="E5762" s="8"/>
      <c r="F5762" s="1"/>
      <c r="J5762" s="2"/>
      <c r="K5762" s="7"/>
    </row>
    <row r="5763" spans="1:11" x14ac:dyDescent="0.35">
      <c r="A5763" s="13"/>
      <c r="E5763" s="8"/>
      <c r="F5763" s="1"/>
      <c r="J5763" s="2"/>
      <c r="K5763" s="7"/>
    </row>
    <row r="5764" spans="1:11" x14ac:dyDescent="0.35">
      <c r="A5764" s="13"/>
      <c r="E5764" s="8"/>
      <c r="F5764" s="1"/>
      <c r="J5764" s="2"/>
      <c r="K5764" s="7"/>
    </row>
    <row r="5765" spans="1:11" x14ac:dyDescent="0.35">
      <c r="A5765" s="13"/>
      <c r="E5765" s="8"/>
      <c r="F5765" s="1"/>
      <c r="J5765" s="2"/>
      <c r="K5765" s="7"/>
    </row>
    <row r="5766" spans="1:11" x14ac:dyDescent="0.35">
      <c r="A5766" s="13"/>
      <c r="E5766" s="8"/>
      <c r="F5766" s="1"/>
      <c r="J5766" s="2"/>
      <c r="K5766" s="7"/>
    </row>
    <row r="5767" spans="1:11" x14ac:dyDescent="0.35">
      <c r="A5767" s="13"/>
      <c r="E5767" s="8"/>
      <c r="F5767" s="1"/>
      <c r="J5767" s="2"/>
      <c r="K5767" s="7"/>
    </row>
    <row r="5768" spans="1:11" x14ac:dyDescent="0.35">
      <c r="A5768" s="13"/>
      <c r="E5768" s="8"/>
      <c r="F5768" s="1"/>
      <c r="J5768" s="2"/>
      <c r="K5768" s="7"/>
    </row>
    <row r="5769" spans="1:11" x14ac:dyDescent="0.35">
      <c r="A5769" s="13"/>
      <c r="E5769" s="8"/>
      <c r="F5769" s="1"/>
      <c r="J5769" s="2"/>
      <c r="K5769" s="7"/>
    </row>
    <row r="5770" spans="1:11" x14ac:dyDescent="0.35">
      <c r="A5770" s="13"/>
      <c r="E5770" s="8"/>
      <c r="F5770" s="1"/>
      <c r="J5770" s="2"/>
      <c r="K5770" s="7"/>
    </row>
    <row r="5771" spans="1:11" x14ac:dyDescent="0.35">
      <c r="A5771" s="13"/>
      <c r="E5771" s="8"/>
      <c r="F5771" s="1"/>
      <c r="J5771" s="2"/>
      <c r="K5771" s="7"/>
    </row>
    <row r="5772" spans="1:11" x14ac:dyDescent="0.35">
      <c r="A5772" s="13"/>
      <c r="E5772" s="8"/>
      <c r="F5772" s="1"/>
      <c r="J5772" s="2"/>
      <c r="K5772" s="7"/>
    </row>
    <row r="5773" spans="1:11" x14ac:dyDescent="0.35">
      <c r="A5773" s="13"/>
      <c r="E5773" s="8"/>
      <c r="F5773" s="1"/>
      <c r="J5773" s="2"/>
      <c r="K5773" s="7"/>
    </row>
    <row r="5774" spans="1:11" x14ac:dyDescent="0.35">
      <c r="A5774" s="13"/>
      <c r="E5774" s="8"/>
      <c r="F5774" s="1"/>
      <c r="J5774" s="2"/>
      <c r="K5774" s="7"/>
    </row>
    <row r="5775" spans="1:11" x14ac:dyDescent="0.35">
      <c r="A5775" s="13"/>
      <c r="E5775" s="8"/>
      <c r="F5775" s="1"/>
      <c r="J5775" s="2"/>
      <c r="K5775" s="7"/>
    </row>
    <row r="5776" spans="1:11" x14ac:dyDescent="0.35">
      <c r="A5776" s="13"/>
      <c r="E5776" s="8"/>
      <c r="F5776" s="1"/>
      <c r="J5776" s="2"/>
      <c r="K5776" s="7"/>
    </row>
    <row r="5777" spans="1:11" x14ac:dyDescent="0.35">
      <c r="A5777" s="13"/>
      <c r="E5777" s="8"/>
      <c r="F5777" s="1"/>
      <c r="J5777" s="2"/>
      <c r="K5777" s="7"/>
    </row>
    <row r="5778" spans="1:11" x14ac:dyDescent="0.35">
      <c r="A5778" s="13"/>
      <c r="E5778" s="8"/>
      <c r="F5778" s="1"/>
      <c r="J5778" s="2"/>
      <c r="K5778" s="7"/>
    </row>
    <row r="5779" spans="1:11" x14ac:dyDescent="0.35">
      <c r="A5779" s="13"/>
      <c r="E5779" s="8"/>
      <c r="F5779" s="1"/>
      <c r="J5779" s="2"/>
      <c r="K5779" s="7"/>
    </row>
    <row r="5780" spans="1:11" x14ac:dyDescent="0.35">
      <c r="A5780" s="13"/>
      <c r="E5780" s="8"/>
      <c r="F5780" s="1"/>
      <c r="J5780" s="2"/>
      <c r="K5780" s="7"/>
    </row>
    <row r="5781" spans="1:11" x14ac:dyDescent="0.35">
      <c r="A5781" s="13"/>
      <c r="E5781" s="8"/>
      <c r="F5781" s="1"/>
      <c r="J5781" s="2"/>
      <c r="K5781" s="7"/>
    </row>
    <row r="5782" spans="1:11" x14ac:dyDescent="0.35">
      <c r="A5782" s="13"/>
      <c r="E5782" s="8"/>
      <c r="F5782" s="1"/>
      <c r="J5782" s="2"/>
      <c r="K5782" s="7"/>
    </row>
    <row r="5783" spans="1:11" x14ac:dyDescent="0.35">
      <c r="A5783" s="13"/>
      <c r="E5783" s="8"/>
      <c r="F5783" s="1"/>
      <c r="J5783" s="2"/>
      <c r="K5783" s="7"/>
    </row>
    <row r="5784" spans="1:11" x14ac:dyDescent="0.35">
      <c r="A5784" s="13"/>
      <c r="E5784" s="8"/>
      <c r="F5784" s="1"/>
      <c r="J5784" s="2"/>
      <c r="K5784" s="7"/>
    </row>
    <row r="5785" spans="1:11" x14ac:dyDescent="0.35">
      <c r="A5785" s="13"/>
      <c r="E5785" s="8"/>
      <c r="F5785" s="1"/>
      <c r="J5785" s="2"/>
      <c r="K5785" s="7"/>
    </row>
    <row r="5786" spans="1:11" x14ac:dyDescent="0.35">
      <c r="A5786" s="13"/>
      <c r="E5786" s="8"/>
      <c r="F5786" s="1"/>
      <c r="J5786" s="2"/>
      <c r="K5786" s="7"/>
    </row>
    <row r="5787" spans="1:11" x14ac:dyDescent="0.35">
      <c r="A5787" s="13"/>
      <c r="E5787" s="8"/>
      <c r="F5787" s="1"/>
      <c r="J5787" s="2"/>
      <c r="K5787" s="7"/>
    </row>
    <row r="5788" spans="1:11" x14ac:dyDescent="0.35">
      <c r="A5788" s="13"/>
      <c r="E5788" s="8"/>
      <c r="F5788" s="1"/>
      <c r="J5788" s="2"/>
      <c r="K5788" s="7"/>
    </row>
    <row r="5789" spans="1:11" x14ac:dyDescent="0.35">
      <c r="A5789" s="13"/>
      <c r="E5789" s="8"/>
      <c r="F5789" s="1"/>
      <c r="J5789" s="2"/>
      <c r="K5789" s="7"/>
    </row>
    <row r="5790" spans="1:11" x14ac:dyDescent="0.35">
      <c r="A5790" s="13"/>
      <c r="E5790" s="8"/>
      <c r="F5790" s="1"/>
      <c r="J5790" s="2"/>
      <c r="K5790" s="7"/>
    </row>
    <row r="5791" spans="1:11" x14ac:dyDescent="0.35">
      <c r="A5791" s="13"/>
      <c r="E5791" s="8"/>
      <c r="F5791" s="1"/>
      <c r="J5791" s="2"/>
      <c r="K5791" s="7"/>
    </row>
    <row r="5792" spans="1:11" x14ac:dyDescent="0.35">
      <c r="A5792" s="13"/>
      <c r="E5792" s="8"/>
      <c r="F5792" s="1"/>
      <c r="J5792" s="2"/>
      <c r="K5792" s="7"/>
    </row>
    <row r="5793" spans="1:11" x14ac:dyDescent="0.35">
      <c r="A5793" s="13"/>
      <c r="E5793" s="8"/>
      <c r="F5793" s="1"/>
      <c r="J5793" s="2"/>
      <c r="K5793" s="7"/>
    </row>
    <row r="5794" spans="1:11" x14ac:dyDescent="0.35">
      <c r="A5794" s="13"/>
      <c r="E5794" s="8"/>
      <c r="F5794" s="1"/>
      <c r="J5794" s="2"/>
      <c r="K5794" s="7"/>
    </row>
    <row r="5795" spans="1:11" x14ac:dyDescent="0.35">
      <c r="A5795" s="13"/>
      <c r="E5795" s="8"/>
      <c r="F5795" s="1"/>
      <c r="J5795" s="2"/>
      <c r="K5795" s="7"/>
    </row>
    <row r="5796" spans="1:11" x14ac:dyDescent="0.35">
      <c r="A5796" s="13"/>
      <c r="E5796" s="8"/>
      <c r="F5796" s="1"/>
      <c r="J5796" s="2"/>
      <c r="K5796" s="7"/>
    </row>
    <row r="5797" spans="1:11" x14ac:dyDescent="0.35">
      <c r="A5797" s="13"/>
      <c r="E5797" s="8"/>
      <c r="F5797" s="1"/>
      <c r="J5797" s="2"/>
      <c r="K5797" s="7"/>
    </row>
    <row r="5798" spans="1:11" x14ac:dyDescent="0.35">
      <c r="A5798" s="13"/>
      <c r="E5798" s="8"/>
      <c r="F5798" s="1"/>
      <c r="J5798" s="2"/>
      <c r="K5798" s="7"/>
    </row>
    <row r="5799" spans="1:11" x14ac:dyDescent="0.35">
      <c r="A5799" s="13"/>
      <c r="E5799" s="8"/>
      <c r="F5799" s="1"/>
      <c r="J5799" s="2"/>
      <c r="K5799" s="7"/>
    </row>
    <row r="5800" spans="1:11" x14ac:dyDescent="0.35">
      <c r="A5800" s="13"/>
      <c r="E5800" s="8"/>
      <c r="F5800" s="1"/>
      <c r="J5800" s="2"/>
      <c r="K5800" s="7"/>
    </row>
    <row r="5801" spans="1:11" x14ac:dyDescent="0.35">
      <c r="A5801" s="13"/>
      <c r="E5801" s="8"/>
      <c r="F5801" s="1"/>
      <c r="J5801" s="2"/>
      <c r="K5801" s="7"/>
    </row>
    <row r="5802" spans="1:11" x14ac:dyDescent="0.35">
      <c r="A5802" s="13"/>
      <c r="E5802" s="8"/>
      <c r="F5802" s="1"/>
      <c r="J5802" s="2"/>
      <c r="K5802" s="7"/>
    </row>
    <row r="5803" spans="1:11" x14ac:dyDescent="0.35">
      <c r="A5803" s="13"/>
      <c r="E5803" s="8"/>
      <c r="F5803" s="1"/>
      <c r="J5803" s="2"/>
      <c r="K5803" s="7"/>
    </row>
    <row r="5804" spans="1:11" x14ac:dyDescent="0.35">
      <c r="A5804" s="13"/>
      <c r="E5804" s="8"/>
      <c r="F5804" s="1"/>
      <c r="J5804" s="2"/>
      <c r="K5804" s="7"/>
    </row>
    <row r="5805" spans="1:11" x14ac:dyDescent="0.35">
      <c r="A5805" s="13"/>
      <c r="E5805" s="8"/>
      <c r="F5805" s="1"/>
      <c r="J5805" s="2"/>
      <c r="K5805" s="7"/>
    </row>
    <row r="5806" spans="1:11" x14ac:dyDescent="0.35">
      <c r="A5806" s="13"/>
      <c r="E5806" s="8"/>
      <c r="F5806" s="1"/>
      <c r="J5806" s="2"/>
      <c r="K5806" s="7"/>
    </row>
    <row r="5807" spans="1:11" x14ac:dyDescent="0.35">
      <c r="A5807" s="13"/>
      <c r="E5807" s="8"/>
      <c r="F5807" s="1"/>
      <c r="J5807" s="2"/>
      <c r="K5807" s="7"/>
    </row>
    <row r="5808" spans="1:11" x14ac:dyDescent="0.35">
      <c r="A5808" s="13"/>
      <c r="E5808" s="8"/>
      <c r="F5808" s="1"/>
      <c r="J5808" s="2"/>
      <c r="K5808" s="7"/>
    </row>
    <row r="5809" spans="1:11" x14ac:dyDescent="0.35">
      <c r="A5809" s="13"/>
      <c r="E5809" s="8"/>
      <c r="F5809" s="1"/>
      <c r="J5809" s="2"/>
      <c r="K5809" s="7"/>
    </row>
    <row r="5810" spans="1:11" x14ac:dyDescent="0.35">
      <c r="A5810" s="13"/>
      <c r="E5810" s="8"/>
      <c r="F5810" s="1"/>
      <c r="J5810" s="2"/>
      <c r="K5810" s="7"/>
    </row>
    <row r="5811" spans="1:11" x14ac:dyDescent="0.35">
      <c r="A5811" s="13"/>
      <c r="E5811" s="8"/>
      <c r="F5811" s="1"/>
      <c r="J5811" s="2"/>
      <c r="K5811" s="7"/>
    </row>
    <row r="5812" spans="1:11" x14ac:dyDescent="0.35">
      <c r="A5812" s="13"/>
      <c r="E5812" s="8"/>
      <c r="F5812" s="1"/>
      <c r="J5812" s="2"/>
      <c r="K5812" s="7"/>
    </row>
    <row r="5813" spans="1:11" x14ac:dyDescent="0.35">
      <c r="A5813" s="13"/>
      <c r="E5813" s="8"/>
      <c r="F5813" s="1"/>
      <c r="J5813" s="2"/>
      <c r="K5813" s="7"/>
    </row>
    <row r="5814" spans="1:11" x14ac:dyDescent="0.35">
      <c r="A5814" s="13"/>
      <c r="E5814" s="8"/>
      <c r="F5814" s="1"/>
      <c r="J5814" s="2"/>
      <c r="K5814" s="7"/>
    </row>
    <row r="5815" spans="1:11" x14ac:dyDescent="0.35">
      <c r="A5815" s="13"/>
      <c r="E5815" s="8"/>
      <c r="F5815" s="1"/>
      <c r="J5815" s="2"/>
      <c r="K5815" s="7"/>
    </row>
    <row r="5816" spans="1:11" x14ac:dyDescent="0.35">
      <c r="A5816" s="13"/>
      <c r="E5816" s="8"/>
      <c r="F5816" s="1"/>
      <c r="J5816" s="2"/>
      <c r="K5816" s="7"/>
    </row>
    <row r="5817" spans="1:11" x14ac:dyDescent="0.35">
      <c r="A5817" s="13"/>
      <c r="E5817" s="8"/>
      <c r="F5817" s="1"/>
      <c r="J5817" s="2"/>
      <c r="K5817" s="7"/>
    </row>
    <row r="5818" spans="1:11" x14ac:dyDescent="0.35">
      <c r="A5818" s="13"/>
      <c r="E5818" s="8"/>
      <c r="F5818" s="1"/>
      <c r="J5818" s="2"/>
      <c r="K5818" s="7"/>
    </row>
    <row r="5819" spans="1:11" x14ac:dyDescent="0.35">
      <c r="A5819" s="13"/>
      <c r="E5819" s="8"/>
      <c r="F5819" s="1"/>
      <c r="J5819" s="2"/>
      <c r="K5819" s="7"/>
    </row>
    <row r="5820" spans="1:11" x14ac:dyDescent="0.35">
      <c r="A5820" s="13"/>
      <c r="E5820" s="8"/>
      <c r="F5820" s="1"/>
      <c r="J5820" s="2"/>
      <c r="K5820" s="7"/>
    </row>
    <row r="5821" spans="1:11" x14ac:dyDescent="0.35">
      <c r="A5821" s="13"/>
      <c r="E5821" s="8"/>
      <c r="F5821" s="1"/>
      <c r="J5821" s="2"/>
      <c r="K5821" s="7"/>
    </row>
    <row r="5822" spans="1:11" x14ac:dyDescent="0.35">
      <c r="A5822" s="13"/>
      <c r="E5822" s="8"/>
      <c r="F5822" s="1"/>
      <c r="J5822" s="2"/>
      <c r="K5822" s="7"/>
    </row>
    <row r="5823" spans="1:11" x14ac:dyDescent="0.35">
      <c r="A5823" s="13"/>
      <c r="E5823" s="8"/>
      <c r="F5823" s="1"/>
      <c r="J5823" s="2"/>
      <c r="K5823" s="7"/>
    </row>
    <row r="5824" spans="1:11" x14ac:dyDescent="0.35">
      <c r="A5824" s="13"/>
      <c r="E5824" s="8"/>
      <c r="F5824" s="1"/>
      <c r="J5824" s="2"/>
      <c r="K5824" s="7"/>
    </row>
    <row r="5825" spans="1:11" x14ac:dyDescent="0.35">
      <c r="A5825" s="13"/>
      <c r="E5825" s="8"/>
      <c r="F5825" s="1"/>
      <c r="J5825" s="2"/>
      <c r="K5825" s="7"/>
    </row>
    <row r="5826" spans="1:11" x14ac:dyDescent="0.35">
      <c r="A5826" s="13"/>
      <c r="E5826" s="8"/>
      <c r="F5826" s="1"/>
      <c r="J5826" s="2"/>
      <c r="K5826" s="7"/>
    </row>
    <row r="5827" spans="1:11" x14ac:dyDescent="0.35">
      <c r="A5827" s="13"/>
      <c r="E5827" s="8"/>
      <c r="F5827" s="1"/>
      <c r="J5827" s="2"/>
      <c r="K5827" s="7"/>
    </row>
    <row r="5828" spans="1:11" x14ac:dyDescent="0.35">
      <c r="A5828" s="13"/>
      <c r="E5828" s="8"/>
      <c r="F5828" s="1"/>
      <c r="J5828" s="2"/>
      <c r="K5828" s="7"/>
    </row>
    <row r="5829" spans="1:11" x14ac:dyDescent="0.35">
      <c r="A5829" s="13"/>
      <c r="E5829" s="8"/>
      <c r="F5829" s="1"/>
      <c r="J5829" s="2"/>
      <c r="K5829" s="7"/>
    </row>
    <row r="5830" spans="1:11" x14ac:dyDescent="0.35">
      <c r="A5830" s="13"/>
      <c r="E5830" s="8"/>
      <c r="F5830" s="1"/>
      <c r="J5830" s="2"/>
      <c r="K5830" s="7"/>
    </row>
    <row r="5831" spans="1:11" x14ac:dyDescent="0.35">
      <c r="A5831" s="13"/>
      <c r="E5831" s="8"/>
      <c r="F5831" s="1"/>
      <c r="J5831" s="2"/>
      <c r="K5831" s="7"/>
    </row>
    <row r="5832" spans="1:11" x14ac:dyDescent="0.35">
      <c r="A5832" s="13"/>
      <c r="E5832" s="8"/>
      <c r="F5832" s="1"/>
      <c r="J5832" s="2"/>
      <c r="K5832" s="7"/>
    </row>
    <row r="5833" spans="1:11" x14ac:dyDescent="0.35">
      <c r="A5833" s="13"/>
      <c r="E5833" s="8"/>
      <c r="F5833" s="1"/>
      <c r="J5833" s="2"/>
      <c r="K5833" s="7"/>
    </row>
    <row r="5834" spans="1:11" x14ac:dyDescent="0.35">
      <c r="A5834" s="13"/>
      <c r="E5834" s="8"/>
      <c r="F5834" s="1"/>
      <c r="J5834" s="2"/>
      <c r="K5834" s="7"/>
    </row>
    <row r="5835" spans="1:11" x14ac:dyDescent="0.35">
      <c r="A5835" s="13"/>
      <c r="E5835" s="8"/>
      <c r="F5835" s="1"/>
      <c r="J5835" s="2"/>
      <c r="K5835" s="7"/>
    </row>
    <row r="5836" spans="1:11" x14ac:dyDescent="0.35">
      <c r="A5836" s="13"/>
      <c r="E5836" s="8"/>
      <c r="F5836" s="1"/>
      <c r="J5836" s="2"/>
      <c r="K5836" s="7"/>
    </row>
    <row r="5837" spans="1:11" x14ac:dyDescent="0.35">
      <c r="A5837" s="13"/>
      <c r="E5837" s="8"/>
      <c r="F5837" s="1"/>
      <c r="J5837" s="2"/>
      <c r="K5837" s="7"/>
    </row>
    <row r="5838" spans="1:11" x14ac:dyDescent="0.35">
      <c r="A5838" s="13"/>
      <c r="E5838" s="8"/>
      <c r="F5838" s="1"/>
      <c r="J5838" s="2"/>
      <c r="K5838" s="7"/>
    </row>
    <row r="5839" spans="1:11" x14ac:dyDescent="0.35">
      <c r="A5839" s="13"/>
      <c r="E5839" s="8"/>
      <c r="F5839" s="1"/>
      <c r="J5839" s="2"/>
      <c r="K5839" s="7"/>
    </row>
    <row r="5840" spans="1:11" x14ac:dyDescent="0.35">
      <c r="A5840" s="13"/>
      <c r="E5840" s="8"/>
      <c r="F5840" s="1"/>
      <c r="J5840" s="2"/>
      <c r="K5840" s="7"/>
    </row>
    <row r="5841" spans="1:11" x14ac:dyDescent="0.35">
      <c r="A5841" s="13"/>
      <c r="E5841" s="8"/>
      <c r="F5841" s="1"/>
      <c r="J5841" s="2"/>
      <c r="K5841" s="7"/>
    </row>
    <row r="5842" spans="1:11" x14ac:dyDescent="0.35">
      <c r="A5842" s="13"/>
      <c r="E5842" s="8"/>
      <c r="F5842" s="1"/>
      <c r="J5842" s="2"/>
      <c r="K5842" s="7"/>
    </row>
    <row r="5843" spans="1:11" x14ac:dyDescent="0.35">
      <c r="A5843" s="13"/>
      <c r="E5843" s="8"/>
      <c r="F5843" s="1"/>
      <c r="J5843" s="2"/>
      <c r="K5843" s="7"/>
    </row>
    <row r="5844" spans="1:11" x14ac:dyDescent="0.35">
      <c r="A5844" s="13"/>
      <c r="E5844" s="8"/>
      <c r="F5844" s="1"/>
      <c r="J5844" s="2"/>
      <c r="K5844" s="7"/>
    </row>
    <row r="5845" spans="1:11" x14ac:dyDescent="0.35">
      <c r="A5845" s="13"/>
      <c r="E5845" s="8"/>
      <c r="F5845" s="1"/>
      <c r="J5845" s="2"/>
      <c r="K5845" s="7"/>
    </row>
    <row r="5846" spans="1:11" x14ac:dyDescent="0.35">
      <c r="A5846" s="13"/>
      <c r="E5846" s="8"/>
      <c r="F5846" s="1"/>
      <c r="J5846" s="2"/>
      <c r="K5846" s="7"/>
    </row>
    <row r="5847" spans="1:11" x14ac:dyDescent="0.35">
      <c r="A5847" s="13"/>
      <c r="E5847" s="8"/>
      <c r="F5847" s="1"/>
      <c r="J5847" s="2"/>
      <c r="K5847" s="7"/>
    </row>
    <row r="5848" spans="1:11" x14ac:dyDescent="0.35">
      <c r="A5848" s="13"/>
      <c r="E5848" s="8"/>
      <c r="F5848" s="1"/>
      <c r="J5848" s="2"/>
      <c r="K5848" s="7"/>
    </row>
    <row r="5849" spans="1:11" x14ac:dyDescent="0.35">
      <c r="A5849" s="13"/>
      <c r="E5849" s="8"/>
      <c r="F5849" s="1"/>
      <c r="J5849" s="2"/>
      <c r="K5849" s="7"/>
    </row>
    <row r="5850" spans="1:11" x14ac:dyDescent="0.35">
      <c r="A5850" s="13"/>
      <c r="E5850" s="8"/>
      <c r="F5850" s="1"/>
      <c r="J5850" s="2"/>
      <c r="K5850" s="7"/>
    </row>
    <row r="5851" spans="1:11" x14ac:dyDescent="0.35">
      <c r="A5851" s="13"/>
      <c r="E5851" s="8"/>
      <c r="F5851" s="1"/>
      <c r="J5851" s="2"/>
      <c r="K5851" s="7"/>
    </row>
    <row r="5852" spans="1:11" x14ac:dyDescent="0.35">
      <c r="A5852" s="13"/>
      <c r="E5852" s="8"/>
      <c r="F5852" s="1"/>
      <c r="J5852" s="2"/>
      <c r="K5852" s="7"/>
    </row>
    <row r="5853" spans="1:11" x14ac:dyDescent="0.35">
      <c r="A5853" s="13"/>
      <c r="E5853" s="8"/>
      <c r="F5853" s="1"/>
      <c r="J5853" s="2"/>
      <c r="K5853" s="7"/>
    </row>
    <row r="5854" spans="1:11" x14ac:dyDescent="0.35">
      <c r="A5854" s="13"/>
      <c r="E5854" s="8"/>
      <c r="F5854" s="1"/>
      <c r="J5854" s="2"/>
      <c r="K5854" s="7"/>
    </row>
    <row r="5855" spans="1:11" x14ac:dyDescent="0.35">
      <c r="A5855" s="13"/>
      <c r="E5855" s="8"/>
      <c r="F5855" s="1"/>
      <c r="J5855" s="2"/>
      <c r="K5855" s="7"/>
    </row>
    <row r="5856" spans="1:11" x14ac:dyDescent="0.35">
      <c r="A5856" s="13"/>
      <c r="E5856" s="8"/>
      <c r="F5856" s="1"/>
      <c r="J5856" s="2"/>
      <c r="K5856" s="7"/>
    </row>
    <row r="5857" spans="1:11" x14ac:dyDescent="0.35">
      <c r="A5857" s="13"/>
      <c r="E5857" s="8"/>
      <c r="F5857" s="1"/>
      <c r="J5857" s="2"/>
      <c r="K5857" s="7"/>
    </row>
    <row r="5858" spans="1:11" x14ac:dyDescent="0.35">
      <c r="A5858" s="13"/>
      <c r="E5858" s="8"/>
      <c r="F5858" s="1"/>
      <c r="J5858" s="2"/>
      <c r="K5858" s="7"/>
    </row>
    <row r="5859" spans="1:11" x14ac:dyDescent="0.35">
      <c r="A5859" s="13"/>
      <c r="E5859" s="8"/>
      <c r="F5859" s="1"/>
      <c r="J5859" s="2"/>
      <c r="K5859" s="7"/>
    </row>
    <row r="5860" spans="1:11" x14ac:dyDescent="0.35">
      <c r="A5860" s="13"/>
      <c r="E5860" s="8"/>
      <c r="F5860" s="1"/>
      <c r="J5860" s="2"/>
      <c r="K5860" s="7"/>
    </row>
    <row r="5861" spans="1:11" x14ac:dyDescent="0.35">
      <c r="A5861" s="13"/>
      <c r="E5861" s="8"/>
      <c r="F5861" s="1"/>
      <c r="J5861" s="2"/>
      <c r="K5861" s="7"/>
    </row>
    <row r="5862" spans="1:11" x14ac:dyDescent="0.35">
      <c r="A5862" s="13"/>
      <c r="E5862" s="8"/>
      <c r="F5862" s="1"/>
      <c r="J5862" s="2"/>
      <c r="K5862" s="7"/>
    </row>
    <row r="5863" spans="1:11" x14ac:dyDescent="0.35">
      <c r="A5863" s="13"/>
      <c r="E5863" s="8"/>
      <c r="F5863" s="1"/>
      <c r="J5863" s="2"/>
      <c r="K5863" s="7"/>
    </row>
    <row r="5864" spans="1:11" x14ac:dyDescent="0.35">
      <c r="A5864" s="13"/>
      <c r="E5864" s="8"/>
      <c r="F5864" s="1"/>
      <c r="J5864" s="2"/>
      <c r="K5864" s="7"/>
    </row>
    <row r="5865" spans="1:11" x14ac:dyDescent="0.35">
      <c r="A5865" s="13"/>
      <c r="E5865" s="8"/>
      <c r="F5865" s="1"/>
      <c r="J5865" s="2"/>
      <c r="K5865" s="7"/>
    </row>
    <row r="5866" spans="1:11" x14ac:dyDescent="0.35">
      <c r="A5866" s="13"/>
      <c r="E5866" s="8"/>
      <c r="F5866" s="1"/>
      <c r="J5866" s="2"/>
      <c r="K5866" s="7"/>
    </row>
    <row r="5867" spans="1:11" x14ac:dyDescent="0.35">
      <c r="A5867" s="13"/>
      <c r="E5867" s="8"/>
      <c r="F5867" s="1"/>
      <c r="J5867" s="2"/>
      <c r="K5867" s="7"/>
    </row>
    <row r="5868" spans="1:11" x14ac:dyDescent="0.35">
      <c r="A5868" s="13"/>
      <c r="E5868" s="8"/>
      <c r="F5868" s="1"/>
      <c r="J5868" s="2"/>
      <c r="K5868" s="7"/>
    </row>
    <row r="5869" spans="1:11" x14ac:dyDescent="0.35">
      <c r="A5869" s="13"/>
      <c r="E5869" s="8"/>
      <c r="F5869" s="1"/>
      <c r="J5869" s="2"/>
      <c r="K5869" s="7"/>
    </row>
    <row r="5870" spans="1:11" x14ac:dyDescent="0.35">
      <c r="A5870" s="13"/>
      <c r="E5870" s="8"/>
      <c r="F5870" s="1"/>
      <c r="J5870" s="2"/>
      <c r="K5870" s="7"/>
    </row>
    <row r="5871" spans="1:11" x14ac:dyDescent="0.35">
      <c r="A5871" s="13"/>
      <c r="E5871" s="8"/>
      <c r="F5871" s="1"/>
      <c r="J5871" s="2"/>
      <c r="K5871" s="7"/>
    </row>
    <row r="5872" spans="1:11" x14ac:dyDescent="0.35">
      <c r="A5872" s="13"/>
      <c r="E5872" s="8"/>
      <c r="F5872" s="1"/>
      <c r="J5872" s="2"/>
      <c r="K5872" s="7"/>
    </row>
    <row r="5873" spans="1:11" x14ac:dyDescent="0.35">
      <c r="A5873" s="13"/>
      <c r="E5873" s="8"/>
      <c r="F5873" s="1"/>
      <c r="J5873" s="2"/>
      <c r="K5873" s="7"/>
    </row>
    <row r="5874" spans="1:11" x14ac:dyDescent="0.35">
      <c r="A5874" s="13"/>
      <c r="E5874" s="8"/>
      <c r="F5874" s="1"/>
      <c r="J5874" s="2"/>
      <c r="K5874" s="7"/>
    </row>
    <row r="5875" spans="1:11" x14ac:dyDescent="0.35">
      <c r="A5875" s="13"/>
      <c r="E5875" s="8"/>
      <c r="F5875" s="1"/>
      <c r="J5875" s="2"/>
      <c r="K5875" s="7"/>
    </row>
    <row r="5876" spans="1:11" x14ac:dyDescent="0.35">
      <c r="A5876" s="13"/>
      <c r="E5876" s="8"/>
      <c r="F5876" s="1"/>
      <c r="J5876" s="2"/>
      <c r="K5876" s="7"/>
    </row>
    <row r="5877" spans="1:11" x14ac:dyDescent="0.35">
      <c r="A5877" s="13"/>
      <c r="E5877" s="8"/>
      <c r="F5877" s="1"/>
      <c r="J5877" s="2"/>
      <c r="K5877" s="7"/>
    </row>
    <row r="5878" spans="1:11" x14ac:dyDescent="0.35">
      <c r="A5878" s="13"/>
      <c r="E5878" s="8"/>
      <c r="F5878" s="1"/>
      <c r="J5878" s="2"/>
      <c r="K5878" s="7"/>
    </row>
    <row r="5879" spans="1:11" x14ac:dyDescent="0.35">
      <c r="A5879" s="13"/>
      <c r="E5879" s="8"/>
      <c r="F5879" s="1"/>
      <c r="J5879" s="2"/>
      <c r="K5879" s="7"/>
    </row>
    <row r="5880" spans="1:11" x14ac:dyDescent="0.35">
      <c r="A5880" s="13"/>
      <c r="E5880" s="8"/>
      <c r="F5880" s="1"/>
      <c r="J5880" s="2"/>
      <c r="K5880" s="7"/>
    </row>
    <row r="5881" spans="1:11" x14ac:dyDescent="0.35">
      <c r="A5881" s="13"/>
      <c r="E5881" s="8"/>
      <c r="F5881" s="1"/>
      <c r="J5881" s="2"/>
      <c r="K5881" s="7"/>
    </row>
    <row r="5882" spans="1:11" x14ac:dyDescent="0.35">
      <c r="A5882" s="13"/>
      <c r="E5882" s="8"/>
      <c r="F5882" s="1"/>
      <c r="J5882" s="2"/>
      <c r="K5882" s="7"/>
    </row>
    <row r="5883" spans="1:11" x14ac:dyDescent="0.35">
      <c r="A5883" s="13"/>
      <c r="E5883" s="8"/>
      <c r="F5883" s="1"/>
      <c r="J5883" s="2"/>
      <c r="K5883" s="7"/>
    </row>
    <row r="5884" spans="1:11" x14ac:dyDescent="0.35">
      <c r="A5884" s="13"/>
      <c r="E5884" s="8"/>
      <c r="F5884" s="1"/>
      <c r="J5884" s="2"/>
      <c r="K5884" s="7"/>
    </row>
    <row r="5885" spans="1:11" x14ac:dyDescent="0.35">
      <c r="A5885" s="13"/>
      <c r="E5885" s="8"/>
      <c r="F5885" s="1"/>
      <c r="J5885" s="2"/>
      <c r="K5885" s="7"/>
    </row>
    <row r="5886" spans="1:11" x14ac:dyDescent="0.35">
      <c r="A5886" s="13"/>
      <c r="E5886" s="8"/>
      <c r="F5886" s="1"/>
      <c r="J5886" s="2"/>
      <c r="K5886" s="7"/>
    </row>
    <row r="5887" spans="1:11" x14ac:dyDescent="0.35">
      <c r="A5887" s="13"/>
      <c r="E5887" s="8"/>
      <c r="F5887" s="1"/>
      <c r="J5887" s="2"/>
      <c r="K5887" s="7"/>
    </row>
    <row r="5888" spans="1:11" x14ac:dyDescent="0.35">
      <c r="A5888" s="13"/>
      <c r="E5888" s="8"/>
      <c r="F5888" s="1"/>
      <c r="J5888" s="2"/>
      <c r="K5888" s="7"/>
    </row>
    <row r="5889" spans="1:11" x14ac:dyDescent="0.35">
      <c r="A5889" s="13"/>
      <c r="E5889" s="8"/>
      <c r="F5889" s="1"/>
      <c r="J5889" s="2"/>
      <c r="K5889" s="7"/>
    </row>
    <row r="5890" spans="1:11" x14ac:dyDescent="0.35">
      <c r="A5890" s="13"/>
      <c r="E5890" s="8"/>
      <c r="F5890" s="1"/>
      <c r="J5890" s="2"/>
      <c r="K5890" s="7"/>
    </row>
    <row r="5891" spans="1:11" x14ac:dyDescent="0.35">
      <c r="A5891" s="13"/>
      <c r="E5891" s="8"/>
      <c r="F5891" s="1"/>
      <c r="J5891" s="2"/>
      <c r="K5891" s="7"/>
    </row>
    <row r="5892" spans="1:11" x14ac:dyDescent="0.35">
      <c r="A5892" s="13"/>
      <c r="E5892" s="8"/>
      <c r="F5892" s="1"/>
      <c r="J5892" s="2"/>
      <c r="K5892" s="7"/>
    </row>
    <row r="5893" spans="1:11" x14ac:dyDescent="0.35">
      <c r="A5893" s="13"/>
      <c r="E5893" s="8"/>
      <c r="F5893" s="1"/>
      <c r="J5893" s="2"/>
      <c r="K5893" s="7"/>
    </row>
    <row r="5894" spans="1:11" x14ac:dyDescent="0.35">
      <c r="A5894" s="13"/>
      <c r="E5894" s="8"/>
      <c r="F5894" s="1"/>
      <c r="J5894" s="2"/>
      <c r="K5894" s="7"/>
    </row>
    <row r="5895" spans="1:11" x14ac:dyDescent="0.35">
      <c r="A5895" s="13"/>
      <c r="E5895" s="8"/>
      <c r="F5895" s="1"/>
      <c r="J5895" s="2"/>
      <c r="K5895" s="7"/>
    </row>
    <row r="5896" spans="1:11" x14ac:dyDescent="0.35">
      <c r="A5896" s="13"/>
      <c r="E5896" s="8"/>
      <c r="F5896" s="1"/>
      <c r="J5896" s="2"/>
      <c r="K5896" s="7"/>
    </row>
    <row r="5897" spans="1:11" x14ac:dyDescent="0.35">
      <c r="A5897" s="13"/>
      <c r="E5897" s="8"/>
      <c r="F5897" s="1"/>
      <c r="J5897" s="2"/>
      <c r="K5897" s="7"/>
    </row>
    <row r="5898" spans="1:11" x14ac:dyDescent="0.35">
      <c r="A5898" s="13"/>
      <c r="E5898" s="8"/>
      <c r="F5898" s="1"/>
      <c r="J5898" s="2"/>
      <c r="K5898" s="7"/>
    </row>
    <row r="5899" spans="1:11" x14ac:dyDescent="0.35">
      <c r="A5899" s="13"/>
      <c r="E5899" s="8"/>
      <c r="F5899" s="1"/>
      <c r="J5899" s="2"/>
      <c r="K5899" s="7"/>
    </row>
    <row r="5900" spans="1:11" x14ac:dyDescent="0.35">
      <c r="A5900" s="13"/>
      <c r="E5900" s="8"/>
      <c r="F5900" s="1"/>
      <c r="J5900" s="2"/>
      <c r="K5900" s="7"/>
    </row>
    <row r="5901" spans="1:11" x14ac:dyDescent="0.35">
      <c r="A5901" s="13"/>
      <c r="E5901" s="8"/>
      <c r="F5901" s="1"/>
      <c r="J5901" s="2"/>
      <c r="K5901" s="7"/>
    </row>
    <row r="5902" spans="1:11" x14ac:dyDescent="0.35">
      <c r="A5902" s="13"/>
      <c r="E5902" s="8"/>
      <c r="F5902" s="1"/>
      <c r="J5902" s="2"/>
      <c r="K5902" s="7"/>
    </row>
    <row r="5903" spans="1:11" x14ac:dyDescent="0.35">
      <c r="A5903" s="13"/>
      <c r="E5903" s="8"/>
      <c r="F5903" s="1"/>
      <c r="J5903" s="2"/>
      <c r="K5903" s="7"/>
    </row>
    <row r="5904" spans="1:11" x14ac:dyDescent="0.35">
      <c r="A5904" s="13"/>
      <c r="E5904" s="8"/>
      <c r="F5904" s="1"/>
      <c r="J5904" s="2"/>
      <c r="K5904" s="7"/>
    </row>
    <row r="5905" spans="1:11" x14ac:dyDescent="0.35">
      <c r="A5905" s="13"/>
      <c r="E5905" s="8"/>
      <c r="F5905" s="1"/>
      <c r="J5905" s="2"/>
      <c r="K5905" s="7"/>
    </row>
    <row r="5906" spans="1:11" x14ac:dyDescent="0.35">
      <c r="A5906" s="13"/>
      <c r="E5906" s="8"/>
      <c r="F5906" s="1"/>
      <c r="J5906" s="2"/>
      <c r="K5906" s="7"/>
    </row>
    <row r="5907" spans="1:11" x14ac:dyDescent="0.35">
      <c r="A5907" s="13"/>
      <c r="E5907" s="8"/>
      <c r="F5907" s="1"/>
      <c r="J5907" s="2"/>
      <c r="K5907" s="7"/>
    </row>
    <row r="5908" spans="1:11" x14ac:dyDescent="0.35">
      <c r="A5908" s="13"/>
      <c r="E5908" s="8"/>
      <c r="F5908" s="1"/>
      <c r="J5908" s="2"/>
      <c r="K5908" s="7"/>
    </row>
    <row r="5909" spans="1:11" x14ac:dyDescent="0.35">
      <c r="A5909" s="13"/>
      <c r="E5909" s="8"/>
      <c r="F5909" s="1"/>
      <c r="J5909" s="2"/>
      <c r="K5909" s="7"/>
    </row>
    <row r="5910" spans="1:11" x14ac:dyDescent="0.35">
      <c r="A5910" s="13"/>
      <c r="E5910" s="8"/>
      <c r="F5910" s="1"/>
      <c r="J5910" s="2"/>
      <c r="K5910" s="7"/>
    </row>
    <row r="5911" spans="1:11" x14ac:dyDescent="0.35">
      <c r="A5911" s="13"/>
      <c r="E5911" s="8"/>
      <c r="F5911" s="1"/>
      <c r="J5911" s="2"/>
      <c r="K5911" s="7"/>
    </row>
    <row r="5912" spans="1:11" x14ac:dyDescent="0.35">
      <c r="A5912" s="13"/>
      <c r="E5912" s="8"/>
      <c r="F5912" s="1"/>
      <c r="J5912" s="2"/>
      <c r="K5912" s="7"/>
    </row>
    <row r="5913" spans="1:11" x14ac:dyDescent="0.35">
      <c r="A5913" s="13"/>
      <c r="E5913" s="8"/>
      <c r="F5913" s="1"/>
      <c r="J5913" s="2"/>
      <c r="K5913" s="7"/>
    </row>
    <row r="5914" spans="1:11" x14ac:dyDescent="0.35">
      <c r="A5914" s="13"/>
      <c r="E5914" s="8"/>
      <c r="F5914" s="1"/>
      <c r="J5914" s="2"/>
      <c r="K5914" s="7"/>
    </row>
    <row r="5915" spans="1:11" x14ac:dyDescent="0.35">
      <c r="A5915" s="13"/>
      <c r="E5915" s="8"/>
      <c r="F5915" s="1"/>
      <c r="J5915" s="2"/>
      <c r="K5915" s="7"/>
    </row>
    <row r="5916" spans="1:11" x14ac:dyDescent="0.35">
      <c r="A5916" s="13"/>
      <c r="E5916" s="8"/>
      <c r="F5916" s="1"/>
      <c r="J5916" s="2"/>
      <c r="K5916" s="7"/>
    </row>
    <row r="5917" spans="1:11" x14ac:dyDescent="0.35">
      <c r="A5917" s="13"/>
      <c r="E5917" s="8"/>
      <c r="F5917" s="1"/>
      <c r="J5917" s="2"/>
      <c r="K5917" s="7"/>
    </row>
    <row r="5918" spans="1:11" x14ac:dyDescent="0.35">
      <c r="A5918" s="13"/>
      <c r="E5918" s="8"/>
      <c r="F5918" s="1"/>
      <c r="J5918" s="2"/>
      <c r="K5918" s="7"/>
    </row>
    <row r="5919" spans="1:11" x14ac:dyDescent="0.35">
      <c r="A5919" s="13"/>
      <c r="E5919" s="8"/>
      <c r="F5919" s="1"/>
      <c r="J5919" s="2"/>
      <c r="K5919" s="7"/>
    </row>
    <row r="5920" spans="1:11" x14ac:dyDescent="0.35">
      <c r="A5920" s="13"/>
      <c r="E5920" s="8"/>
      <c r="F5920" s="1"/>
      <c r="J5920" s="2"/>
      <c r="K5920" s="7"/>
    </row>
    <row r="5921" spans="1:11" x14ac:dyDescent="0.35">
      <c r="A5921" s="13"/>
      <c r="E5921" s="8"/>
      <c r="F5921" s="1"/>
      <c r="J5921" s="2"/>
      <c r="K5921" s="7"/>
    </row>
    <row r="5922" spans="1:11" x14ac:dyDescent="0.35">
      <c r="A5922" s="13"/>
      <c r="E5922" s="8"/>
      <c r="F5922" s="1"/>
      <c r="J5922" s="2"/>
      <c r="K5922" s="7"/>
    </row>
    <row r="5923" spans="1:11" x14ac:dyDescent="0.35">
      <c r="A5923" s="13"/>
      <c r="E5923" s="8"/>
      <c r="F5923" s="1"/>
      <c r="J5923" s="2"/>
      <c r="K5923" s="7"/>
    </row>
    <row r="5924" spans="1:11" x14ac:dyDescent="0.35">
      <c r="A5924" s="13"/>
      <c r="E5924" s="8"/>
      <c r="F5924" s="1"/>
      <c r="J5924" s="2"/>
      <c r="K5924" s="7"/>
    </row>
    <row r="5925" spans="1:11" x14ac:dyDescent="0.35">
      <c r="A5925" s="13"/>
      <c r="E5925" s="8"/>
      <c r="F5925" s="1"/>
      <c r="J5925" s="2"/>
      <c r="K5925" s="7"/>
    </row>
    <row r="5926" spans="1:11" x14ac:dyDescent="0.35">
      <c r="A5926" s="13"/>
      <c r="E5926" s="8"/>
      <c r="F5926" s="1"/>
      <c r="J5926" s="2"/>
      <c r="K5926" s="7"/>
    </row>
    <row r="5927" spans="1:11" x14ac:dyDescent="0.35">
      <c r="A5927" s="13"/>
      <c r="E5927" s="8"/>
      <c r="F5927" s="1"/>
      <c r="J5927" s="2"/>
      <c r="K5927" s="7"/>
    </row>
    <row r="5928" spans="1:11" x14ac:dyDescent="0.35">
      <c r="A5928" s="13"/>
      <c r="E5928" s="8"/>
      <c r="F5928" s="1"/>
      <c r="J5928" s="2"/>
      <c r="K5928" s="7"/>
    </row>
    <row r="5929" spans="1:11" x14ac:dyDescent="0.35">
      <c r="A5929" s="13"/>
      <c r="E5929" s="8"/>
      <c r="F5929" s="1"/>
      <c r="J5929" s="2"/>
      <c r="K5929" s="7"/>
    </row>
    <row r="5930" spans="1:11" x14ac:dyDescent="0.35">
      <c r="A5930" s="13"/>
      <c r="E5930" s="8"/>
      <c r="F5930" s="1"/>
      <c r="J5930" s="2"/>
      <c r="K5930" s="7"/>
    </row>
    <row r="5931" spans="1:11" x14ac:dyDescent="0.35">
      <c r="A5931" s="13"/>
      <c r="E5931" s="8"/>
      <c r="F5931" s="1"/>
      <c r="J5931" s="2"/>
      <c r="K5931" s="7"/>
    </row>
    <row r="5932" spans="1:11" x14ac:dyDescent="0.35">
      <c r="A5932" s="13"/>
      <c r="E5932" s="8"/>
      <c r="F5932" s="1"/>
      <c r="J5932" s="2"/>
      <c r="K5932" s="7"/>
    </row>
    <row r="5933" spans="1:11" x14ac:dyDescent="0.35">
      <c r="A5933" s="13"/>
      <c r="E5933" s="8"/>
      <c r="F5933" s="1"/>
      <c r="J5933" s="2"/>
      <c r="K5933" s="7"/>
    </row>
    <row r="5934" spans="1:11" x14ac:dyDescent="0.35">
      <c r="A5934" s="13"/>
      <c r="E5934" s="8"/>
      <c r="F5934" s="1"/>
      <c r="J5934" s="2"/>
      <c r="K5934" s="7"/>
    </row>
    <row r="5935" spans="1:11" x14ac:dyDescent="0.35">
      <c r="A5935" s="13"/>
      <c r="E5935" s="8"/>
      <c r="F5935" s="1"/>
      <c r="J5935" s="2"/>
      <c r="K5935" s="7"/>
    </row>
    <row r="5936" spans="1:11" x14ac:dyDescent="0.35">
      <c r="A5936" s="13"/>
      <c r="E5936" s="8"/>
      <c r="F5936" s="1"/>
      <c r="J5936" s="2"/>
      <c r="K5936" s="7"/>
    </row>
    <row r="5937" spans="1:11" x14ac:dyDescent="0.35">
      <c r="A5937" s="13"/>
      <c r="E5937" s="8"/>
      <c r="F5937" s="1"/>
      <c r="J5937" s="2"/>
      <c r="K5937" s="7"/>
    </row>
    <row r="5938" spans="1:11" x14ac:dyDescent="0.35">
      <c r="A5938" s="13"/>
      <c r="E5938" s="8"/>
      <c r="F5938" s="1"/>
      <c r="J5938" s="2"/>
      <c r="K5938" s="7"/>
    </row>
    <row r="5939" spans="1:11" x14ac:dyDescent="0.35">
      <c r="A5939" s="13"/>
      <c r="E5939" s="8"/>
      <c r="F5939" s="1"/>
      <c r="J5939" s="2"/>
      <c r="K5939" s="7"/>
    </row>
    <row r="5940" spans="1:11" x14ac:dyDescent="0.35">
      <c r="A5940" s="13"/>
      <c r="E5940" s="8"/>
      <c r="F5940" s="1"/>
      <c r="J5940" s="2"/>
      <c r="K5940" s="7"/>
    </row>
    <row r="5941" spans="1:11" x14ac:dyDescent="0.35">
      <c r="A5941" s="13"/>
      <c r="E5941" s="8"/>
      <c r="F5941" s="1"/>
      <c r="J5941" s="2"/>
      <c r="K5941" s="7"/>
    </row>
    <row r="5942" spans="1:11" x14ac:dyDescent="0.35">
      <c r="A5942" s="13"/>
      <c r="E5942" s="8"/>
      <c r="F5942" s="1"/>
      <c r="J5942" s="2"/>
      <c r="K5942" s="7"/>
    </row>
    <row r="5943" spans="1:11" x14ac:dyDescent="0.35">
      <c r="A5943" s="13"/>
      <c r="E5943" s="8"/>
      <c r="F5943" s="1"/>
      <c r="J5943" s="2"/>
      <c r="K5943" s="7"/>
    </row>
    <row r="5944" spans="1:11" x14ac:dyDescent="0.35">
      <c r="A5944" s="13"/>
      <c r="E5944" s="8"/>
      <c r="F5944" s="1"/>
      <c r="J5944" s="2"/>
      <c r="K5944" s="7"/>
    </row>
    <row r="5945" spans="1:11" x14ac:dyDescent="0.35">
      <c r="A5945" s="13"/>
      <c r="E5945" s="8"/>
      <c r="F5945" s="1"/>
      <c r="J5945" s="2"/>
      <c r="K5945" s="7"/>
    </row>
    <row r="5946" spans="1:11" x14ac:dyDescent="0.35">
      <c r="A5946" s="13"/>
      <c r="E5946" s="8"/>
      <c r="F5946" s="1"/>
      <c r="J5946" s="2"/>
      <c r="K5946" s="7"/>
    </row>
    <row r="5947" spans="1:11" x14ac:dyDescent="0.35">
      <c r="A5947" s="13"/>
      <c r="E5947" s="8"/>
      <c r="F5947" s="1"/>
      <c r="J5947" s="2"/>
      <c r="K5947" s="7"/>
    </row>
    <row r="5948" spans="1:11" x14ac:dyDescent="0.35">
      <c r="A5948" s="13"/>
      <c r="E5948" s="8"/>
      <c r="F5948" s="1"/>
      <c r="J5948" s="2"/>
      <c r="K5948" s="7"/>
    </row>
    <row r="5949" spans="1:11" x14ac:dyDescent="0.35">
      <c r="A5949" s="13"/>
      <c r="E5949" s="8"/>
      <c r="F5949" s="1"/>
      <c r="J5949" s="2"/>
      <c r="K5949" s="7"/>
    </row>
    <row r="5950" spans="1:11" x14ac:dyDescent="0.35">
      <c r="A5950" s="13"/>
      <c r="E5950" s="8"/>
      <c r="F5950" s="1"/>
      <c r="J5950" s="2"/>
      <c r="K5950" s="7"/>
    </row>
    <row r="5951" spans="1:11" x14ac:dyDescent="0.35">
      <c r="A5951" s="13"/>
      <c r="E5951" s="8"/>
      <c r="F5951" s="1"/>
      <c r="J5951" s="2"/>
      <c r="K5951" s="7"/>
    </row>
    <row r="5952" spans="1:11" x14ac:dyDescent="0.35">
      <c r="A5952" s="13"/>
      <c r="E5952" s="8"/>
      <c r="F5952" s="1"/>
      <c r="J5952" s="2"/>
      <c r="K5952" s="7"/>
    </row>
    <row r="5953" spans="1:11" x14ac:dyDescent="0.35">
      <c r="A5953" s="13"/>
      <c r="E5953" s="8"/>
      <c r="F5953" s="1"/>
      <c r="J5953" s="2"/>
      <c r="K5953" s="7"/>
    </row>
    <row r="5954" spans="1:11" x14ac:dyDescent="0.35">
      <c r="A5954" s="13"/>
      <c r="E5954" s="8"/>
      <c r="F5954" s="1"/>
      <c r="J5954" s="2"/>
      <c r="K5954" s="7"/>
    </row>
    <row r="5955" spans="1:11" x14ac:dyDescent="0.35">
      <c r="A5955" s="13"/>
      <c r="E5955" s="8"/>
      <c r="F5955" s="1"/>
      <c r="J5955" s="2"/>
      <c r="K5955" s="7"/>
    </row>
    <row r="5956" spans="1:11" x14ac:dyDescent="0.35">
      <c r="A5956" s="13"/>
      <c r="E5956" s="8"/>
      <c r="F5956" s="1"/>
      <c r="J5956" s="2"/>
      <c r="K5956" s="7"/>
    </row>
    <row r="5957" spans="1:11" x14ac:dyDescent="0.35">
      <c r="A5957" s="13"/>
      <c r="E5957" s="8"/>
      <c r="F5957" s="1"/>
      <c r="J5957" s="2"/>
      <c r="K5957" s="7"/>
    </row>
    <row r="5958" spans="1:11" x14ac:dyDescent="0.35">
      <c r="A5958" s="13"/>
      <c r="E5958" s="8"/>
      <c r="F5958" s="1"/>
      <c r="J5958" s="2"/>
      <c r="K5958" s="7"/>
    </row>
    <row r="5959" spans="1:11" x14ac:dyDescent="0.35">
      <c r="A5959" s="13"/>
      <c r="E5959" s="8"/>
      <c r="F5959" s="1"/>
      <c r="J5959" s="2"/>
      <c r="K5959" s="7"/>
    </row>
    <row r="5960" spans="1:11" x14ac:dyDescent="0.35">
      <c r="A5960" s="13"/>
      <c r="E5960" s="8"/>
      <c r="F5960" s="1"/>
      <c r="J5960" s="2"/>
      <c r="K5960" s="7"/>
    </row>
    <row r="5961" spans="1:11" x14ac:dyDescent="0.35">
      <c r="A5961" s="13"/>
      <c r="E5961" s="8"/>
      <c r="F5961" s="1"/>
      <c r="J5961" s="2"/>
      <c r="K5961" s="7"/>
    </row>
    <row r="5962" spans="1:11" x14ac:dyDescent="0.35">
      <c r="A5962" s="13"/>
      <c r="E5962" s="8"/>
      <c r="F5962" s="1"/>
      <c r="J5962" s="2"/>
      <c r="K5962" s="7"/>
    </row>
    <row r="5963" spans="1:11" x14ac:dyDescent="0.35">
      <c r="A5963" s="13"/>
      <c r="E5963" s="8"/>
      <c r="F5963" s="1"/>
      <c r="J5963" s="2"/>
      <c r="K5963" s="7"/>
    </row>
    <row r="5964" spans="1:11" x14ac:dyDescent="0.35">
      <c r="A5964" s="13"/>
      <c r="E5964" s="8"/>
      <c r="F5964" s="1"/>
      <c r="J5964" s="2"/>
      <c r="K5964" s="7"/>
    </row>
    <row r="5965" spans="1:11" x14ac:dyDescent="0.35">
      <c r="A5965" s="13"/>
      <c r="E5965" s="8"/>
      <c r="F5965" s="1"/>
      <c r="J5965" s="2"/>
      <c r="K5965" s="7"/>
    </row>
    <row r="5966" spans="1:11" x14ac:dyDescent="0.35">
      <c r="A5966" s="13"/>
      <c r="E5966" s="8"/>
      <c r="F5966" s="1"/>
      <c r="J5966" s="2"/>
      <c r="K5966" s="7"/>
    </row>
    <row r="5967" spans="1:11" x14ac:dyDescent="0.35">
      <c r="A5967" s="13"/>
      <c r="E5967" s="8"/>
      <c r="F5967" s="1"/>
      <c r="J5967" s="2"/>
      <c r="K5967" s="7"/>
    </row>
    <row r="5968" spans="1:11" x14ac:dyDescent="0.35">
      <c r="A5968" s="13"/>
      <c r="E5968" s="8"/>
      <c r="F5968" s="1"/>
      <c r="J5968" s="2"/>
      <c r="K5968" s="7"/>
    </row>
    <row r="5969" spans="1:11" x14ac:dyDescent="0.35">
      <c r="A5969" s="13"/>
      <c r="E5969" s="8"/>
      <c r="F5969" s="1"/>
      <c r="J5969" s="2"/>
      <c r="K5969" s="7"/>
    </row>
    <row r="5970" spans="1:11" x14ac:dyDescent="0.35">
      <c r="A5970" s="13"/>
      <c r="E5970" s="8"/>
      <c r="F5970" s="1"/>
      <c r="J5970" s="2"/>
      <c r="K5970" s="7"/>
    </row>
    <row r="5971" spans="1:11" x14ac:dyDescent="0.35">
      <c r="A5971" s="13"/>
      <c r="E5971" s="8"/>
      <c r="F5971" s="1"/>
      <c r="J5971" s="2"/>
      <c r="K5971" s="7"/>
    </row>
    <row r="5972" spans="1:11" x14ac:dyDescent="0.35">
      <c r="A5972" s="13"/>
      <c r="E5972" s="8"/>
      <c r="F5972" s="1"/>
      <c r="J5972" s="2"/>
      <c r="K5972" s="7"/>
    </row>
    <row r="5973" spans="1:11" x14ac:dyDescent="0.35">
      <c r="A5973" s="13"/>
      <c r="E5973" s="8"/>
      <c r="F5973" s="1"/>
      <c r="J5973" s="2"/>
      <c r="K5973" s="7"/>
    </row>
    <row r="5974" spans="1:11" x14ac:dyDescent="0.35">
      <c r="A5974" s="13"/>
      <c r="E5974" s="8"/>
      <c r="F5974" s="1"/>
      <c r="J5974" s="2"/>
      <c r="K5974" s="7"/>
    </row>
    <row r="5975" spans="1:11" x14ac:dyDescent="0.35">
      <c r="A5975" s="13"/>
      <c r="E5975" s="8"/>
      <c r="F5975" s="1"/>
      <c r="J5975" s="2"/>
      <c r="K5975" s="7"/>
    </row>
    <row r="5976" spans="1:11" x14ac:dyDescent="0.35">
      <c r="A5976" s="13"/>
      <c r="E5976" s="8"/>
      <c r="F5976" s="1"/>
      <c r="J5976" s="2"/>
      <c r="K5976" s="7"/>
    </row>
    <row r="5977" spans="1:11" x14ac:dyDescent="0.35">
      <c r="A5977" s="13"/>
      <c r="E5977" s="8"/>
      <c r="F5977" s="1"/>
      <c r="J5977" s="2"/>
      <c r="K5977" s="7"/>
    </row>
    <row r="5978" spans="1:11" x14ac:dyDescent="0.35">
      <c r="A5978" s="13"/>
      <c r="E5978" s="8"/>
      <c r="F5978" s="1"/>
      <c r="J5978" s="2"/>
      <c r="K5978" s="7"/>
    </row>
    <row r="5979" spans="1:11" x14ac:dyDescent="0.35">
      <c r="A5979" s="13"/>
      <c r="E5979" s="8"/>
      <c r="F5979" s="1"/>
      <c r="J5979" s="2"/>
      <c r="K5979" s="7"/>
    </row>
    <row r="5980" spans="1:11" x14ac:dyDescent="0.35">
      <c r="A5980" s="13"/>
      <c r="E5980" s="8"/>
      <c r="F5980" s="1"/>
      <c r="J5980" s="2"/>
      <c r="K5980" s="7"/>
    </row>
    <row r="5981" spans="1:11" x14ac:dyDescent="0.35">
      <c r="A5981" s="13"/>
      <c r="E5981" s="8"/>
      <c r="F5981" s="1"/>
      <c r="J5981" s="2"/>
      <c r="K5981" s="7"/>
    </row>
    <row r="5982" spans="1:11" x14ac:dyDescent="0.35">
      <c r="A5982" s="13"/>
      <c r="E5982" s="8"/>
      <c r="F5982" s="1"/>
      <c r="J5982" s="2"/>
      <c r="K5982" s="7"/>
    </row>
    <row r="5983" spans="1:11" x14ac:dyDescent="0.35">
      <c r="A5983" s="13"/>
      <c r="E5983" s="8"/>
      <c r="F5983" s="1"/>
      <c r="J5983" s="2"/>
      <c r="K5983" s="7"/>
    </row>
    <row r="5984" spans="1:11" x14ac:dyDescent="0.35">
      <c r="A5984" s="13"/>
      <c r="E5984" s="8"/>
      <c r="F5984" s="1"/>
      <c r="J5984" s="2"/>
      <c r="K5984" s="7"/>
    </row>
    <row r="5985" spans="1:11" x14ac:dyDescent="0.35">
      <c r="A5985" s="13"/>
      <c r="E5985" s="8"/>
      <c r="F5985" s="1"/>
      <c r="J5985" s="2"/>
      <c r="K5985" s="7"/>
    </row>
    <row r="5986" spans="1:11" x14ac:dyDescent="0.35">
      <c r="A5986" s="13"/>
      <c r="E5986" s="8"/>
      <c r="F5986" s="1"/>
      <c r="J5986" s="2"/>
      <c r="K5986" s="7"/>
    </row>
    <row r="5987" spans="1:11" x14ac:dyDescent="0.35">
      <c r="A5987" s="13"/>
      <c r="E5987" s="8"/>
      <c r="F5987" s="1"/>
      <c r="J5987" s="2"/>
      <c r="K5987" s="7"/>
    </row>
    <row r="5988" spans="1:11" x14ac:dyDescent="0.35">
      <c r="A5988" s="13"/>
      <c r="E5988" s="8"/>
      <c r="F5988" s="1"/>
      <c r="J5988" s="2"/>
      <c r="K5988" s="7"/>
    </row>
    <row r="5989" spans="1:11" x14ac:dyDescent="0.35">
      <c r="A5989" s="13"/>
      <c r="E5989" s="8"/>
      <c r="F5989" s="1"/>
      <c r="J5989" s="2"/>
      <c r="K5989" s="7"/>
    </row>
    <row r="5990" spans="1:11" x14ac:dyDescent="0.35">
      <c r="A5990" s="13"/>
      <c r="E5990" s="8"/>
      <c r="F5990" s="1"/>
      <c r="J5990" s="2"/>
      <c r="K5990" s="7"/>
    </row>
    <row r="5991" spans="1:11" x14ac:dyDescent="0.35">
      <c r="A5991" s="13"/>
      <c r="E5991" s="8"/>
      <c r="F5991" s="1"/>
      <c r="J5991" s="2"/>
      <c r="K5991" s="7"/>
    </row>
    <row r="5992" spans="1:11" x14ac:dyDescent="0.35">
      <c r="A5992" s="13"/>
      <c r="E5992" s="8"/>
      <c r="F5992" s="1"/>
      <c r="J5992" s="2"/>
      <c r="K5992" s="7"/>
    </row>
    <row r="5993" spans="1:11" x14ac:dyDescent="0.35">
      <c r="A5993" s="13"/>
      <c r="E5993" s="8"/>
      <c r="F5993" s="1"/>
      <c r="J5993" s="2"/>
      <c r="K5993" s="7"/>
    </row>
    <row r="5994" spans="1:11" x14ac:dyDescent="0.35">
      <c r="A5994" s="13"/>
      <c r="E5994" s="8"/>
      <c r="F5994" s="1"/>
      <c r="J5994" s="2"/>
      <c r="K5994" s="7"/>
    </row>
    <row r="5995" spans="1:11" x14ac:dyDescent="0.35">
      <c r="A5995" s="13"/>
      <c r="E5995" s="8"/>
      <c r="F5995" s="1"/>
      <c r="J5995" s="2"/>
      <c r="K5995" s="7"/>
    </row>
    <row r="5996" spans="1:11" x14ac:dyDescent="0.35">
      <c r="A5996" s="13"/>
      <c r="E5996" s="8"/>
      <c r="F5996" s="1"/>
      <c r="J5996" s="2"/>
      <c r="K5996" s="7"/>
    </row>
    <row r="5997" spans="1:11" x14ac:dyDescent="0.35">
      <c r="A5997" s="13"/>
      <c r="E5997" s="8"/>
      <c r="F5997" s="1"/>
      <c r="J5997" s="2"/>
      <c r="K5997" s="7"/>
    </row>
    <row r="5998" spans="1:11" x14ac:dyDescent="0.35">
      <c r="A5998" s="13"/>
      <c r="E5998" s="8"/>
      <c r="F5998" s="1"/>
      <c r="J5998" s="2"/>
      <c r="K5998" s="7"/>
    </row>
    <row r="5999" spans="1:11" x14ac:dyDescent="0.35">
      <c r="A5999" s="13"/>
      <c r="E5999" s="8"/>
      <c r="F5999" s="1"/>
      <c r="J5999" s="2"/>
      <c r="K5999" s="7"/>
    </row>
    <row r="6000" spans="1:11" x14ac:dyDescent="0.35">
      <c r="A6000" s="13"/>
      <c r="E6000" s="8"/>
      <c r="F6000" s="1"/>
      <c r="J6000" s="2"/>
      <c r="K6000" s="7"/>
    </row>
    <row r="6001" spans="1:11" x14ac:dyDescent="0.35">
      <c r="A6001" s="13"/>
      <c r="E6001" s="8"/>
      <c r="F6001" s="1"/>
      <c r="J6001" s="2"/>
      <c r="K6001" s="7"/>
    </row>
    <row r="6002" spans="1:11" x14ac:dyDescent="0.35">
      <c r="A6002" s="13"/>
      <c r="E6002" s="8"/>
      <c r="F6002" s="1"/>
      <c r="J6002" s="2"/>
      <c r="K6002" s="7"/>
    </row>
    <row r="6003" spans="1:11" x14ac:dyDescent="0.35">
      <c r="A6003" s="13"/>
      <c r="E6003" s="8"/>
      <c r="F6003" s="1"/>
      <c r="J6003" s="2"/>
      <c r="K6003" s="7"/>
    </row>
    <row r="6004" spans="1:11" x14ac:dyDescent="0.35">
      <c r="A6004" s="13"/>
      <c r="E6004" s="8"/>
      <c r="F6004" s="1"/>
      <c r="J6004" s="2"/>
      <c r="K6004" s="7"/>
    </row>
    <row r="6005" spans="1:11" x14ac:dyDescent="0.35">
      <c r="A6005" s="13"/>
      <c r="E6005" s="8"/>
      <c r="F6005" s="1"/>
      <c r="J6005" s="2"/>
      <c r="K6005" s="7"/>
    </row>
    <row r="6006" spans="1:11" x14ac:dyDescent="0.35">
      <c r="A6006" s="13"/>
      <c r="E6006" s="8"/>
      <c r="F6006" s="1"/>
      <c r="J6006" s="2"/>
      <c r="K6006" s="7"/>
    </row>
    <row r="6007" spans="1:11" x14ac:dyDescent="0.35">
      <c r="A6007" s="13"/>
      <c r="E6007" s="8"/>
      <c r="F6007" s="1"/>
      <c r="J6007" s="2"/>
      <c r="K6007" s="7"/>
    </row>
    <row r="6008" spans="1:11" x14ac:dyDescent="0.35">
      <c r="A6008" s="13"/>
      <c r="E6008" s="8"/>
      <c r="F6008" s="1"/>
      <c r="J6008" s="2"/>
      <c r="K6008" s="7"/>
    </row>
    <row r="6009" spans="1:11" x14ac:dyDescent="0.35">
      <c r="A6009" s="13"/>
      <c r="E6009" s="8"/>
      <c r="F6009" s="1"/>
      <c r="J6009" s="2"/>
      <c r="K6009" s="7"/>
    </row>
    <row r="6010" spans="1:11" x14ac:dyDescent="0.35">
      <c r="A6010" s="13"/>
      <c r="E6010" s="8"/>
      <c r="F6010" s="1"/>
      <c r="J6010" s="2"/>
      <c r="K6010" s="7"/>
    </row>
    <row r="6011" spans="1:11" x14ac:dyDescent="0.35">
      <c r="A6011" s="13"/>
      <c r="E6011" s="8"/>
      <c r="F6011" s="1"/>
      <c r="J6011" s="2"/>
      <c r="K6011" s="7"/>
    </row>
    <row r="6012" spans="1:11" x14ac:dyDescent="0.35">
      <c r="A6012" s="13"/>
      <c r="E6012" s="8"/>
      <c r="F6012" s="1"/>
      <c r="J6012" s="2"/>
      <c r="K6012" s="7"/>
    </row>
    <row r="6013" spans="1:11" x14ac:dyDescent="0.35">
      <c r="A6013" s="13"/>
      <c r="E6013" s="8"/>
      <c r="F6013" s="1"/>
      <c r="J6013" s="2"/>
      <c r="K6013" s="7"/>
    </row>
    <row r="6014" spans="1:11" x14ac:dyDescent="0.35">
      <c r="A6014" s="13"/>
      <c r="E6014" s="8"/>
      <c r="F6014" s="1"/>
      <c r="J6014" s="2"/>
      <c r="K6014" s="7"/>
    </row>
    <row r="6015" spans="1:11" x14ac:dyDescent="0.35">
      <c r="A6015" s="13"/>
      <c r="E6015" s="8"/>
      <c r="F6015" s="1"/>
      <c r="J6015" s="2"/>
      <c r="K6015" s="7"/>
    </row>
    <row r="6016" spans="1:11" x14ac:dyDescent="0.35">
      <c r="A6016" s="13"/>
      <c r="E6016" s="8"/>
      <c r="F6016" s="1"/>
      <c r="J6016" s="2"/>
      <c r="K6016" s="7"/>
    </row>
    <row r="6017" spans="1:11" x14ac:dyDescent="0.35">
      <c r="A6017" s="13"/>
      <c r="E6017" s="8"/>
      <c r="F6017" s="1"/>
      <c r="J6017" s="2"/>
      <c r="K6017" s="7"/>
    </row>
    <row r="6018" spans="1:11" x14ac:dyDescent="0.35">
      <c r="A6018" s="13"/>
      <c r="E6018" s="8"/>
      <c r="F6018" s="1"/>
      <c r="J6018" s="2"/>
      <c r="K6018" s="7"/>
    </row>
    <row r="6019" spans="1:11" x14ac:dyDescent="0.35">
      <c r="A6019" s="13"/>
      <c r="E6019" s="8"/>
      <c r="F6019" s="1"/>
      <c r="J6019" s="2"/>
      <c r="K6019" s="7"/>
    </row>
    <row r="6020" spans="1:11" x14ac:dyDescent="0.35">
      <c r="A6020" s="13"/>
      <c r="E6020" s="8"/>
      <c r="F6020" s="1"/>
      <c r="J6020" s="2"/>
      <c r="K6020" s="7"/>
    </row>
    <row r="6021" spans="1:11" x14ac:dyDescent="0.35">
      <c r="A6021" s="13"/>
      <c r="E6021" s="8"/>
      <c r="F6021" s="1"/>
      <c r="J6021" s="2"/>
      <c r="K6021" s="7"/>
    </row>
    <row r="6022" spans="1:11" x14ac:dyDescent="0.35">
      <c r="A6022" s="13"/>
      <c r="E6022" s="8"/>
      <c r="F6022" s="1"/>
      <c r="J6022" s="2"/>
      <c r="K6022" s="7"/>
    </row>
    <row r="6023" spans="1:11" x14ac:dyDescent="0.35">
      <c r="A6023" s="13"/>
      <c r="E6023" s="8"/>
      <c r="F6023" s="1"/>
      <c r="J6023" s="2"/>
      <c r="K6023" s="7"/>
    </row>
    <row r="6024" spans="1:11" x14ac:dyDescent="0.35">
      <c r="A6024" s="13"/>
      <c r="E6024" s="8"/>
      <c r="F6024" s="1"/>
      <c r="J6024" s="2"/>
      <c r="K6024" s="7"/>
    </row>
    <row r="6025" spans="1:11" x14ac:dyDescent="0.35">
      <c r="A6025" s="13"/>
      <c r="E6025" s="8"/>
      <c r="F6025" s="1"/>
      <c r="J6025" s="2"/>
      <c r="K6025" s="7"/>
    </row>
    <row r="6026" spans="1:11" x14ac:dyDescent="0.35">
      <c r="A6026" s="13"/>
      <c r="E6026" s="8"/>
      <c r="F6026" s="1"/>
      <c r="J6026" s="2"/>
      <c r="K6026" s="7"/>
    </row>
    <row r="6027" spans="1:11" x14ac:dyDescent="0.35">
      <c r="A6027" s="13"/>
      <c r="E6027" s="8"/>
      <c r="F6027" s="1"/>
      <c r="J6027" s="2"/>
      <c r="K6027" s="7"/>
    </row>
    <row r="6028" spans="1:11" x14ac:dyDescent="0.35">
      <c r="A6028" s="13"/>
      <c r="E6028" s="8"/>
      <c r="F6028" s="1"/>
      <c r="J6028" s="2"/>
      <c r="K6028" s="7"/>
    </row>
    <row r="6029" spans="1:11" x14ac:dyDescent="0.35">
      <c r="A6029" s="13"/>
      <c r="E6029" s="8"/>
      <c r="F6029" s="1"/>
      <c r="J6029" s="2"/>
      <c r="K6029" s="7"/>
    </row>
    <row r="6030" spans="1:11" x14ac:dyDescent="0.35">
      <c r="A6030" s="13"/>
      <c r="E6030" s="8"/>
      <c r="F6030" s="1"/>
      <c r="J6030" s="2"/>
      <c r="K6030" s="7"/>
    </row>
    <row r="6031" spans="1:11" x14ac:dyDescent="0.35">
      <c r="A6031" s="13"/>
      <c r="E6031" s="8"/>
      <c r="F6031" s="1"/>
      <c r="J6031" s="2"/>
      <c r="K6031" s="7"/>
    </row>
    <row r="6032" spans="1:11" x14ac:dyDescent="0.35">
      <c r="A6032" s="13"/>
      <c r="E6032" s="8"/>
      <c r="F6032" s="1"/>
      <c r="J6032" s="2"/>
      <c r="K6032" s="7"/>
    </row>
    <row r="6033" spans="1:11" x14ac:dyDescent="0.35">
      <c r="A6033" s="13"/>
      <c r="E6033" s="8"/>
      <c r="F6033" s="1"/>
      <c r="J6033" s="2"/>
      <c r="K6033" s="7"/>
    </row>
    <row r="6034" spans="1:11" x14ac:dyDescent="0.35">
      <c r="A6034" s="13"/>
      <c r="E6034" s="8"/>
      <c r="F6034" s="1"/>
      <c r="J6034" s="2"/>
      <c r="K6034" s="7"/>
    </row>
    <row r="6035" spans="1:11" x14ac:dyDescent="0.35">
      <c r="A6035" s="13"/>
      <c r="E6035" s="8"/>
      <c r="F6035" s="1"/>
      <c r="J6035" s="2"/>
      <c r="K6035" s="7"/>
    </row>
    <row r="6036" spans="1:11" x14ac:dyDescent="0.35">
      <c r="A6036" s="13"/>
      <c r="E6036" s="8"/>
      <c r="F6036" s="1"/>
      <c r="J6036" s="2"/>
      <c r="K6036" s="7"/>
    </row>
    <row r="6037" spans="1:11" x14ac:dyDescent="0.35">
      <c r="A6037" s="13"/>
      <c r="E6037" s="8"/>
      <c r="F6037" s="1"/>
      <c r="J6037" s="2"/>
      <c r="K6037" s="7"/>
    </row>
    <row r="6038" spans="1:11" x14ac:dyDescent="0.35">
      <c r="A6038" s="13"/>
      <c r="E6038" s="8"/>
      <c r="F6038" s="1"/>
      <c r="J6038" s="2"/>
      <c r="K6038" s="7"/>
    </row>
    <row r="6039" spans="1:11" x14ac:dyDescent="0.35">
      <c r="A6039" s="13"/>
      <c r="E6039" s="8"/>
      <c r="F6039" s="1"/>
      <c r="J6039" s="2"/>
      <c r="K6039" s="7"/>
    </row>
    <row r="6040" spans="1:11" x14ac:dyDescent="0.35">
      <c r="A6040" s="13"/>
      <c r="E6040" s="8"/>
      <c r="F6040" s="1"/>
      <c r="J6040" s="2"/>
      <c r="K6040" s="7"/>
    </row>
    <row r="6041" spans="1:11" x14ac:dyDescent="0.35">
      <c r="A6041" s="13"/>
      <c r="E6041" s="8"/>
      <c r="F6041" s="1"/>
      <c r="J6041" s="2"/>
      <c r="K6041" s="7"/>
    </row>
    <row r="6042" spans="1:11" x14ac:dyDescent="0.35">
      <c r="A6042" s="13"/>
      <c r="E6042" s="8"/>
      <c r="F6042" s="1"/>
      <c r="J6042" s="2"/>
      <c r="K6042" s="7"/>
    </row>
    <row r="6043" spans="1:11" x14ac:dyDescent="0.35">
      <c r="A6043" s="13"/>
      <c r="E6043" s="8"/>
      <c r="F6043" s="1"/>
      <c r="J6043" s="2"/>
      <c r="K6043" s="7"/>
    </row>
    <row r="6044" spans="1:11" x14ac:dyDescent="0.35">
      <c r="A6044" s="13"/>
      <c r="E6044" s="8"/>
      <c r="F6044" s="1"/>
      <c r="J6044" s="2"/>
      <c r="K6044" s="7"/>
    </row>
    <row r="6045" spans="1:11" x14ac:dyDescent="0.35">
      <c r="A6045" s="13"/>
      <c r="E6045" s="8"/>
      <c r="F6045" s="1"/>
      <c r="J6045" s="2"/>
      <c r="K6045" s="7"/>
    </row>
    <row r="6046" spans="1:11" x14ac:dyDescent="0.35">
      <c r="A6046" s="13"/>
      <c r="E6046" s="8"/>
      <c r="F6046" s="1"/>
      <c r="J6046" s="2"/>
      <c r="K6046" s="7"/>
    </row>
    <row r="6047" spans="1:11" x14ac:dyDescent="0.35">
      <c r="A6047" s="13"/>
      <c r="E6047" s="8"/>
      <c r="F6047" s="1"/>
      <c r="J6047" s="2"/>
      <c r="K6047" s="7"/>
    </row>
    <row r="6048" spans="1:11" x14ac:dyDescent="0.35">
      <c r="A6048" s="13"/>
      <c r="E6048" s="8"/>
      <c r="F6048" s="1"/>
      <c r="J6048" s="2"/>
      <c r="K6048" s="7"/>
    </row>
    <row r="6049" spans="1:11" x14ac:dyDescent="0.35">
      <c r="A6049" s="13"/>
      <c r="E6049" s="8"/>
      <c r="F6049" s="1"/>
      <c r="J6049" s="2"/>
      <c r="K6049" s="7"/>
    </row>
    <row r="6050" spans="1:11" x14ac:dyDescent="0.35">
      <c r="A6050" s="13"/>
      <c r="E6050" s="8"/>
      <c r="F6050" s="1"/>
      <c r="J6050" s="2"/>
      <c r="K6050" s="7"/>
    </row>
    <row r="6051" spans="1:11" x14ac:dyDescent="0.35">
      <c r="A6051" s="13"/>
      <c r="E6051" s="8"/>
      <c r="F6051" s="1"/>
      <c r="J6051" s="2"/>
      <c r="K6051" s="7"/>
    </row>
    <row r="6052" spans="1:11" x14ac:dyDescent="0.35">
      <c r="A6052" s="13"/>
      <c r="E6052" s="8"/>
      <c r="F6052" s="1"/>
      <c r="J6052" s="2"/>
      <c r="K6052" s="7"/>
    </row>
    <row r="6053" spans="1:11" x14ac:dyDescent="0.35">
      <c r="A6053" s="13"/>
      <c r="E6053" s="8"/>
      <c r="F6053" s="1"/>
      <c r="J6053" s="2"/>
      <c r="K6053" s="7"/>
    </row>
    <row r="6054" spans="1:11" x14ac:dyDescent="0.35">
      <c r="A6054" s="13"/>
      <c r="E6054" s="8"/>
      <c r="F6054" s="1"/>
      <c r="J6054" s="2"/>
      <c r="K6054" s="7"/>
    </row>
    <row r="6055" spans="1:11" x14ac:dyDescent="0.35">
      <c r="A6055" s="13"/>
      <c r="E6055" s="8"/>
      <c r="F6055" s="1"/>
      <c r="J6055" s="2"/>
      <c r="K6055" s="7"/>
    </row>
    <row r="6056" spans="1:11" x14ac:dyDescent="0.35">
      <c r="A6056" s="13"/>
      <c r="E6056" s="8"/>
      <c r="F6056" s="1"/>
      <c r="J6056" s="2"/>
      <c r="K6056" s="7"/>
    </row>
    <row r="6057" spans="1:11" x14ac:dyDescent="0.35">
      <c r="A6057" s="13"/>
      <c r="E6057" s="8"/>
      <c r="F6057" s="1"/>
      <c r="J6057" s="2"/>
      <c r="K6057" s="7"/>
    </row>
    <row r="6058" spans="1:11" x14ac:dyDescent="0.35">
      <c r="A6058" s="13"/>
      <c r="E6058" s="8"/>
      <c r="F6058" s="1"/>
      <c r="J6058" s="2"/>
      <c r="K6058" s="7"/>
    </row>
    <row r="6059" spans="1:11" x14ac:dyDescent="0.35">
      <c r="A6059" s="13"/>
      <c r="E6059" s="8"/>
      <c r="F6059" s="1"/>
      <c r="J6059" s="2"/>
      <c r="K6059" s="7"/>
    </row>
    <row r="6060" spans="1:11" x14ac:dyDescent="0.35">
      <c r="A6060" s="13"/>
      <c r="E6060" s="8"/>
      <c r="F6060" s="1"/>
      <c r="J6060" s="2"/>
      <c r="K6060" s="7"/>
    </row>
    <row r="6061" spans="1:11" x14ac:dyDescent="0.35">
      <c r="A6061" s="13"/>
      <c r="E6061" s="8"/>
      <c r="F6061" s="1"/>
      <c r="J6061" s="2"/>
      <c r="K6061" s="7"/>
    </row>
    <row r="6062" spans="1:11" x14ac:dyDescent="0.35">
      <c r="A6062" s="13"/>
      <c r="E6062" s="8"/>
      <c r="F6062" s="1"/>
      <c r="J6062" s="2"/>
      <c r="K6062" s="7"/>
    </row>
    <row r="6063" spans="1:11" x14ac:dyDescent="0.35">
      <c r="A6063" s="13"/>
      <c r="E6063" s="8"/>
      <c r="F6063" s="1"/>
      <c r="J6063" s="2"/>
      <c r="K6063" s="7"/>
    </row>
    <row r="6064" spans="1:11" x14ac:dyDescent="0.35">
      <c r="A6064" s="13"/>
      <c r="E6064" s="8"/>
      <c r="F6064" s="1"/>
      <c r="J6064" s="2"/>
      <c r="K6064" s="7"/>
    </row>
    <row r="6065" spans="1:11" x14ac:dyDescent="0.35">
      <c r="A6065" s="13"/>
      <c r="E6065" s="8"/>
      <c r="F6065" s="1"/>
      <c r="J6065" s="2"/>
      <c r="K6065" s="7"/>
    </row>
    <row r="6066" spans="1:11" x14ac:dyDescent="0.35">
      <c r="A6066" s="13"/>
      <c r="E6066" s="8"/>
      <c r="F6066" s="1"/>
      <c r="J6066" s="2"/>
      <c r="K6066" s="7"/>
    </row>
    <row r="6067" spans="1:11" x14ac:dyDescent="0.35">
      <c r="A6067" s="13"/>
      <c r="E6067" s="8"/>
      <c r="F6067" s="1"/>
      <c r="J6067" s="2"/>
      <c r="K6067" s="7"/>
    </row>
    <row r="6068" spans="1:11" x14ac:dyDescent="0.35">
      <c r="A6068" s="13"/>
      <c r="E6068" s="8"/>
      <c r="F6068" s="1"/>
      <c r="J6068" s="2"/>
      <c r="K6068" s="7"/>
    </row>
    <row r="6069" spans="1:11" x14ac:dyDescent="0.35">
      <c r="A6069" s="13"/>
      <c r="E6069" s="8"/>
      <c r="F6069" s="1"/>
      <c r="J6069" s="2"/>
      <c r="K6069" s="7"/>
    </row>
    <row r="6070" spans="1:11" x14ac:dyDescent="0.35">
      <c r="A6070" s="13"/>
      <c r="E6070" s="8"/>
      <c r="F6070" s="1"/>
      <c r="J6070" s="2"/>
      <c r="K6070" s="7"/>
    </row>
    <row r="6071" spans="1:11" x14ac:dyDescent="0.35">
      <c r="A6071" s="13"/>
      <c r="E6071" s="8"/>
      <c r="F6071" s="1"/>
      <c r="J6071" s="2"/>
      <c r="K6071" s="7"/>
    </row>
    <row r="6072" spans="1:11" x14ac:dyDescent="0.35">
      <c r="A6072" s="13"/>
      <c r="E6072" s="8"/>
      <c r="F6072" s="1"/>
      <c r="J6072" s="2"/>
      <c r="K6072" s="7"/>
    </row>
    <row r="6073" spans="1:11" x14ac:dyDescent="0.35">
      <c r="A6073" s="13"/>
      <c r="E6073" s="8"/>
      <c r="F6073" s="1"/>
      <c r="J6073" s="2"/>
      <c r="K6073" s="7"/>
    </row>
    <row r="6074" spans="1:11" x14ac:dyDescent="0.35">
      <c r="A6074" s="13"/>
      <c r="E6074" s="8"/>
      <c r="F6074" s="1"/>
      <c r="J6074" s="2"/>
      <c r="K6074" s="7"/>
    </row>
    <row r="6075" spans="1:11" x14ac:dyDescent="0.35">
      <c r="A6075" s="13"/>
      <c r="E6075" s="8"/>
      <c r="F6075" s="1"/>
      <c r="J6075" s="2"/>
      <c r="K6075" s="7"/>
    </row>
    <row r="6076" spans="1:11" x14ac:dyDescent="0.35">
      <c r="A6076" s="13"/>
      <c r="E6076" s="8"/>
      <c r="F6076" s="1"/>
      <c r="J6076" s="2"/>
      <c r="K6076" s="7"/>
    </row>
    <row r="6077" spans="1:11" x14ac:dyDescent="0.35">
      <c r="A6077" s="13"/>
      <c r="E6077" s="8"/>
      <c r="F6077" s="1"/>
      <c r="J6077" s="2"/>
      <c r="K6077" s="7"/>
    </row>
    <row r="6078" spans="1:11" x14ac:dyDescent="0.35">
      <c r="A6078" s="13"/>
      <c r="E6078" s="8"/>
      <c r="F6078" s="1"/>
      <c r="J6078" s="2"/>
      <c r="K6078" s="7"/>
    </row>
    <row r="6079" spans="1:11" x14ac:dyDescent="0.35">
      <c r="A6079" s="13"/>
      <c r="E6079" s="8"/>
      <c r="F6079" s="1"/>
      <c r="J6079" s="2"/>
      <c r="K6079" s="7"/>
    </row>
    <row r="6080" spans="1:11" x14ac:dyDescent="0.35">
      <c r="A6080" s="13"/>
      <c r="E6080" s="8"/>
      <c r="F6080" s="1"/>
      <c r="J6080" s="2"/>
      <c r="K6080" s="7"/>
    </row>
    <row r="6081" spans="1:11" x14ac:dyDescent="0.35">
      <c r="A6081" s="13"/>
      <c r="E6081" s="8"/>
      <c r="F6081" s="1"/>
      <c r="J6081" s="2"/>
      <c r="K6081" s="7"/>
    </row>
    <row r="6082" spans="1:11" x14ac:dyDescent="0.35">
      <c r="A6082" s="13"/>
      <c r="E6082" s="8"/>
      <c r="F6082" s="1"/>
      <c r="J6082" s="2"/>
      <c r="K6082" s="7"/>
    </row>
    <row r="6083" spans="1:11" x14ac:dyDescent="0.35">
      <c r="A6083" s="13"/>
      <c r="E6083" s="8"/>
      <c r="F6083" s="1"/>
      <c r="J6083" s="2"/>
      <c r="K6083" s="7"/>
    </row>
    <row r="6084" spans="1:11" x14ac:dyDescent="0.35">
      <c r="A6084" s="13"/>
      <c r="E6084" s="8"/>
      <c r="F6084" s="1"/>
      <c r="J6084" s="2"/>
      <c r="K6084" s="7"/>
    </row>
    <row r="6085" spans="1:11" x14ac:dyDescent="0.35">
      <c r="A6085" s="13"/>
      <c r="E6085" s="8"/>
      <c r="F6085" s="1"/>
      <c r="J6085" s="2"/>
      <c r="K6085" s="7"/>
    </row>
    <row r="6086" spans="1:11" x14ac:dyDescent="0.35">
      <c r="A6086" s="13"/>
      <c r="E6086" s="8"/>
      <c r="F6086" s="1"/>
      <c r="J6086" s="2"/>
      <c r="K6086" s="7"/>
    </row>
    <row r="6087" spans="1:11" x14ac:dyDescent="0.35">
      <c r="A6087" s="13"/>
      <c r="E6087" s="8"/>
      <c r="F6087" s="1"/>
      <c r="J6087" s="2"/>
      <c r="K6087" s="7"/>
    </row>
    <row r="6088" spans="1:11" x14ac:dyDescent="0.35">
      <c r="A6088" s="13"/>
      <c r="E6088" s="8"/>
      <c r="F6088" s="1"/>
      <c r="J6088" s="2"/>
      <c r="K6088" s="7"/>
    </row>
    <row r="6089" spans="1:11" x14ac:dyDescent="0.35">
      <c r="A6089" s="13"/>
      <c r="E6089" s="8"/>
      <c r="F6089" s="1"/>
      <c r="J6089" s="2"/>
      <c r="K6089" s="7"/>
    </row>
    <row r="6090" spans="1:11" x14ac:dyDescent="0.35">
      <c r="A6090" s="13"/>
      <c r="E6090" s="8"/>
      <c r="F6090" s="1"/>
      <c r="J6090" s="2"/>
      <c r="K6090" s="7"/>
    </row>
    <row r="6091" spans="1:11" x14ac:dyDescent="0.35">
      <c r="A6091" s="13"/>
      <c r="E6091" s="8"/>
      <c r="F6091" s="1"/>
      <c r="J6091" s="2"/>
      <c r="K6091" s="7"/>
    </row>
    <row r="6092" spans="1:11" x14ac:dyDescent="0.35">
      <c r="A6092" s="13"/>
      <c r="E6092" s="8"/>
      <c r="F6092" s="1"/>
      <c r="J6092" s="2"/>
      <c r="K6092" s="7"/>
    </row>
    <row r="6093" spans="1:11" x14ac:dyDescent="0.35">
      <c r="A6093" s="13"/>
      <c r="E6093" s="8"/>
      <c r="F6093" s="1"/>
      <c r="J6093" s="2"/>
      <c r="K6093" s="7"/>
    </row>
    <row r="6094" spans="1:11" x14ac:dyDescent="0.35">
      <c r="A6094" s="13"/>
      <c r="E6094" s="8"/>
      <c r="F6094" s="1"/>
      <c r="J6094" s="2"/>
      <c r="K6094" s="7"/>
    </row>
    <row r="6095" spans="1:11" x14ac:dyDescent="0.35">
      <c r="A6095" s="13"/>
      <c r="E6095" s="8"/>
      <c r="F6095" s="1"/>
      <c r="J6095" s="2"/>
      <c r="K6095" s="7"/>
    </row>
    <row r="6096" spans="1:11" x14ac:dyDescent="0.35">
      <c r="A6096" s="13"/>
      <c r="E6096" s="8"/>
      <c r="F6096" s="1"/>
      <c r="J6096" s="2"/>
      <c r="K6096" s="7"/>
    </row>
    <row r="6097" spans="1:11" x14ac:dyDescent="0.35">
      <c r="A6097" s="13"/>
      <c r="E6097" s="8"/>
      <c r="F6097" s="1"/>
      <c r="J6097" s="2"/>
      <c r="K6097" s="7"/>
    </row>
    <row r="6098" spans="1:11" x14ac:dyDescent="0.35">
      <c r="A6098" s="13"/>
      <c r="E6098" s="8"/>
      <c r="F6098" s="1"/>
      <c r="J6098" s="2"/>
      <c r="K6098" s="7"/>
    </row>
    <row r="6099" spans="1:11" x14ac:dyDescent="0.35">
      <c r="A6099" s="13"/>
      <c r="E6099" s="8"/>
      <c r="F6099" s="1"/>
      <c r="J6099" s="2"/>
      <c r="K6099" s="7"/>
    </row>
    <row r="6100" spans="1:11" x14ac:dyDescent="0.35">
      <c r="A6100" s="13"/>
      <c r="E6100" s="8"/>
      <c r="F6100" s="1"/>
      <c r="J6100" s="2"/>
      <c r="K6100" s="7"/>
    </row>
    <row r="6101" spans="1:11" x14ac:dyDescent="0.35">
      <c r="A6101" s="13"/>
      <c r="E6101" s="8"/>
      <c r="F6101" s="1"/>
      <c r="J6101" s="2"/>
      <c r="K6101" s="7"/>
    </row>
    <row r="6102" spans="1:11" x14ac:dyDescent="0.35">
      <c r="A6102" s="13"/>
      <c r="E6102" s="8"/>
      <c r="F6102" s="1"/>
      <c r="J6102" s="2"/>
      <c r="K6102" s="7"/>
    </row>
    <row r="6103" spans="1:11" x14ac:dyDescent="0.35">
      <c r="A6103" s="13"/>
      <c r="E6103" s="8"/>
      <c r="F6103" s="1"/>
      <c r="J6103" s="2"/>
      <c r="K6103" s="7"/>
    </row>
    <row r="6104" spans="1:11" x14ac:dyDescent="0.35">
      <c r="A6104" s="13"/>
      <c r="E6104" s="8"/>
      <c r="F6104" s="1"/>
      <c r="J6104" s="2"/>
      <c r="K6104" s="7"/>
    </row>
    <row r="6105" spans="1:11" x14ac:dyDescent="0.35">
      <c r="A6105" s="13"/>
      <c r="E6105" s="8"/>
      <c r="F6105" s="1"/>
      <c r="J6105" s="2"/>
      <c r="K6105" s="7"/>
    </row>
    <row r="6106" spans="1:11" x14ac:dyDescent="0.35">
      <c r="A6106" s="13"/>
      <c r="E6106" s="8"/>
      <c r="F6106" s="1"/>
      <c r="J6106" s="2"/>
      <c r="K6106" s="7"/>
    </row>
    <row r="6107" spans="1:11" x14ac:dyDescent="0.35">
      <c r="A6107" s="13"/>
      <c r="E6107" s="8"/>
      <c r="F6107" s="1"/>
      <c r="J6107" s="2"/>
      <c r="K6107" s="7"/>
    </row>
    <row r="6108" spans="1:11" x14ac:dyDescent="0.35">
      <c r="A6108" s="13"/>
      <c r="E6108" s="8"/>
      <c r="F6108" s="1"/>
      <c r="J6108" s="2"/>
      <c r="K6108" s="7"/>
    </row>
    <row r="6109" spans="1:11" x14ac:dyDescent="0.35">
      <c r="A6109" s="13"/>
      <c r="E6109" s="8"/>
      <c r="F6109" s="1"/>
      <c r="J6109" s="2"/>
      <c r="K6109" s="7"/>
    </row>
    <row r="6110" spans="1:11" x14ac:dyDescent="0.35">
      <c r="A6110" s="13"/>
      <c r="E6110" s="8"/>
      <c r="F6110" s="1"/>
      <c r="J6110" s="2"/>
      <c r="K6110" s="7"/>
    </row>
    <row r="6111" spans="1:11" x14ac:dyDescent="0.35">
      <c r="A6111" s="13"/>
      <c r="E6111" s="8"/>
      <c r="F6111" s="1"/>
      <c r="J6111" s="2"/>
      <c r="K6111" s="7"/>
    </row>
    <row r="6112" spans="1:11" x14ac:dyDescent="0.35">
      <c r="A6112" s="13"/>
      <c r="E6112" s="8"/>
      <c r="F6112" s="1"/>
      <c r="J6112" s="2"/>
      <c r="K6112" s="7"/>
    </row>
    <row r="6113" spans="1:11" x14ac:dyDescent="0.35">
      <c r="A6113" s="13"/>
      <c r="E6113" s="8"/>
      <c r="F6113" s="1"/>
      <c r="J6113" s="2"/>
      <c r="K6113" s="7"/>
    </row>
    <row r="6114" spans="1:11" x14ac:dyDescent="0.35">
      <c r="A6114" s="13"/>
      <c r="E6114" s="8"/>
      <c r="F6114" s="1"/>
      <c r="J6114" s="2"/>
      <c r="K6114" s="7"/>
    </row>
    <row r="6115" spans="1:11" x14ac:dyDescent="0.35">
      <c r="A6115" s="13"/>
      <c r="E6115" s="8"/>
      <c r="F6115" s="1"/>
      <c r="J6115" s="2"/>
      <c r="K6115" s="7"/>
    </row>
    <row r="6116" spans="1:11" x14ac:dyDescent="0.35">
      <c r="A6116" s="13"/>
      <c r="E6116" s="8"/>
      <c r="F6116" s="1"/>
      <c r="J6116" s="2"/>
      <c r="K6116" s="7"/>
    </row>
    <row r="6117" spans="1:11" x14ac:dyDescent="0.35">
      <c r="A6117" s="13"/>
      <c r="E6117" s="8"/>
      <c r="F6117" s="1"/>
      <c r="J6117" s="2"/>
      <c r="K6117" s="7"/>
    </row>
    <row r="6118" spans="1:11" x14ac:dyDescent="0.35">
      <c r="A6118" s="13"/>
      <c r="E6118" s="8"/>
      <c r="F6118" s="1"/>
      <c r="J6118" s="2"/>
      <c r="K6118" s="7"/>
    </row>
    <row r="6119" spans="1:11" x14ac:dyDescent="0.35">
      <c r="A6119" s="13"/>
      <c r="E6119" s="8"/>
      <c r="F6119" s="1"/>
      <c r="J6119" s="2"/>
      <c r="K6119" s="7"/>
    </row>
    <row r="6120" spans="1:11" x14ac:dyDescent="0.35">
      <c r="A6120" s="13"/>
      <c r="E6120" s="8"/>
      <c r="F6120" s="1"/>
      <c r="J6120" s="2"/>
      <c r="K6120" s="7"/>
    </row>
    <row r="6121" spans="1:11" x14ac:dyDescent="0.35">
      <c r="A6121" s="13"/>
      <c r="E6121" s="8"/>
      <c r="F6121" s="1"/>
      <c r="J6121" s="2"/>
      <c r="K6121" s="7"/>
    </row>
    <row r="6122" spans="1:11" x14ac:dyDescent="0.35">
      <c r="A6122" s="13"/>
      <c r="E6122" s="8"/>
      <c r="F6122" s="1"/>
      <c r="J6122" s="2"/>
      <c r="K6122" s="7"/>
    </row>
    <row r="6123" spans="1:11" x14ac:dyDescent="0.35">
      <c r="A6123" s="13"/>
      <c r="E6123" s="8"/>
      <c r="F6123" s="1"/>
      <c r="J6123" s="2"/>
      <c r="K6123" s="7"/>
    </row>
    <row r="6124" spans="1:11" x14ac:dyDescent="0.35">
      <c r="A6124" s="13"/>
      <c r="E6124" s="8"/>
      <c r="F6124" s="1"/>
      <c r="J6124" s="2"/>
      <c r="K6124" s="7"/>
    </row>
    <row r="6125" spans="1:11" x14ac:dyDescent="0.35">
      <c r="A6125" s="13"/>
      <c r="E6125" s="8"/>
      <c r="F6125" s="1"/>
      <c r="J6125" s="2"/>
      <c r="K6125" s="7"/>
    </row>
    <row r="6126" spans="1:11" x14ac:dyDescent="0.35">
      <c r="A6126" s="13"/>
      <c r="E6126" s="8"/>
      <c r="F6126" s="1"/>
      <c r="J6126" s="2"/>
      <c r="K6126" s="7"/>
    </row>
    <row r="6127" spans="1:11" x14ac:dyDescent="0.35">
      <c r="A6127" s="13"/>
      <c r="E6127" s="8"/>
      <c r="F6127" s="1"/>
      <c r="J6127" s="2"/>
      <c r="K6127" s="7"/>
    </row>
    <row r="6128" spans="1:11" x14ac:dyDescent="0.35">
      <c r="A6128" s="13"/>
      <c r="E6128" s="8"/>
      <c r="F6128" s="1"/>
      <c r="J6128" s="2"/>
      <c r="K6128" s="7"/>
    </row>
    <row r="6129" spans="1:11" x14ac:dyDescent="0.35">
      <c r="A6129" s="13"/>
      <c r="E6129" s="8"/>
      <c r="F6129" s="1"/>
      <c r="J6129" s="2"/>
      <c r="K6129" s="7"/>
    </row>
    <row r="6130" spans="1:11" x14ac:dyDescent="0.35">
      <c r="A6130" s="13"/>
      <c r="E6130" s="8"/>
      <c r="F6130" s="1"/>
      <c r="J6130" s="2"/>
      <c r="K6130" s="7"/>
    </row>
    <row r="6131" spans="1:11" x14ac:dyDescent="0.35">
      <c r="A6131" s="13"/>
      <c r="E6131" s="8"/>
      <c r="F6131" s="1"/>
      <c r="J6131" s="2"/>
      <c r="K6131" s="7"/>
    </row>
    <row r="6132" spans="1:11" x14ac:dyDescent="0.35">
      <c r="A6132" s="13"/>
      <c r="E6132" s="8"/>
      <c r="F6132" s="1"/>
      <c r="J6132" s="2"/>
      <c r="K6132" s="7"/>
    </row>
    <row r="6133" spans="1:11" x14ac:dyDescent="0.35">
      <c r="A6133" s="13"/>
      <c r="E6133" s="8"/>
      <c r="F6133" s="1"/>
      <c r="J6133" s="2"/>
      <c r="K6133" s="7"/>
    </row>
    <row r="6134" spans="1:11" x14ac:dyDescent="0.35">
      <c r="A6134" s="13"/>
      <c r="E6134" s="8"/>
      <c r="F6134" s="1"/>
      <c r="J6134" s="2"/>
      <c r="K6134" s="7"/>
    </row>
    <row r="6135" spans="1:11" x14ac:dyDescent="0.35">
      <c r="A6135" s="13"/>
      <c r="E6135" s="8"/>
      <c r="F6135" s="1"/>
      <c r="J6135" s="2"/>
      <c r="K6135" s="7"/>
    </row>
    <row r="6136" spans="1:11" x14ac:dyDescent="0.35">
      <c r="A6136" s="13"/>
      <c r="E6136" s="8"/>
      <c r="F6136" s="1"/>
      <c r="J6136" s="2"/>
      <c r="K6136" s="7"/>
    </row>
    <row r="6137" spans="1:11" x14ac:dyDescent="0.35">
      <c r="A6137" s="13"/>
      <c r="E6137" s="8"/>
      <c r="F6137" s="1"/>
      <c r="J6137" s="2"/>
      <c r="K6137" s="7"/>
    </row>
    <row r="6138" spans="1:11" x14ac:dyDescent="0.35">
      <c r="A6138" s="13"/>
      <c r="E6138" s="8"/>
      <c r="F6138" s="1"/>
      <c r="J6138" s="2"/>
      <c r="K6138" s="7"/>
    </row>
    <row r="6139" spans="1:11" x14ac:dyDescent="0.35">
      <c r="A6139" s="13"/>
      <c r="E6139" s="8"/>
      <c r="F6139" s="1"/>
      <c r="J6139" s="2"/>
      <c r="K6139" s="7"/>
    </row>
    <row r="6140" spans="1:11" x14ac:dyDescent="0.35">
      <c r="A6140" s="13"/>
      <c r="E6140" s="8"/>
      <c r="F6140" s="1"/>
      <c r="J6140" s="2"/>
      <c r="K6140" s="7"/>
    </row>
    <row r="6141" spans="1:11" x14ac:dyDescent="0.35">
      <c r="A6141" s="13"/>
      <c r="E6141" s="8"/>
      <c r="F6141" s="1"/>
      <c r="J6141" s="2"/>
      <c r="K6141" s="7"/>
    </row>
    <row r="6142" spans="1:11" x14ac:dyDescent="0.35">
      <c r="A6142" s="13"/>
      <c r="E6142" s="8"/>
      <c r="F6142" s="1"/>
      <c r="J6142" s="2"/>
      <c r="K6142" s="7"/>
    </row>
    <row r="6143" spans="1:11" x14ac:dyDescent="0.35">
      <c r="A6143" s="13"/>
      <c r="E6143" s="8"/>
      <c r="F6143" s="1"/>
      <c r="J6143" s="2"/>
      <c r="K6143" s="7"/>
    </row>
    <row r="6144" spans="1:11" x14ac:dyDescent="0.35">
      <c r="A6144" s="13"/>
      <c r="E6144" s="8"/>
      <c r="F6144" s="1"/>
      <c r="J6144" s="2"/>
      <c r="K6144" s="7"/>
    </row>
    <row r="6145" spans="1:11" x14ac:dyDescent="0.35">
      <c r="A6145" s="13"/>
      <c r="E6145" s="8"/>
      <c r="F6145" s="1"/>
      <c r="J6145" s="2"/>
      <c r="K6145" s="7"/>
    </row>
    <row r="6146" spans="1:11" x14ac:dyDescent="0.35">
      <c r="A6146" s="13"/>
      <c r="E6146" s="8"/>
      <c r="F6146" s="1"/>
      <c r="J6146" s="2"/>
      <c r="K6146" s="7"/>
    </row>
    <row r="6147" spans="1:11" x14ac:dyDescent="0.35">
      <c r="A6147" s="13"/>
      <c r="E6147" s="8"/>
      <c r="F6147" s="1"/>
      <c r="J6147" s="2"/>
      <c r="K6147" s="7"/>
    </row>
    <row r="6148" spans="1:11" x14ac:dyDescent="0.35">
      <c r="A6148" s="13"/>
      <c r="E6148" s="8"/>
      <c r="F6148" s="1"/>
      <c r="J6148" s="2"/>
      <c r="K6148" s="7"/>
    </row>
    <row r="6149" spans="1:11" x14ac:dyDescent="0.35">
      <c r="A6149" s="13"/>
      <c r="E6149" s="8"/>
      <c r="F6149" s="1"/>
      <c r="J6149" s="2"/>
      <c r="K6149" s="7"/>
    </row>
    <row r="6150" spans="1:11" x14ac:dyDescent="0.35">
      <c r="A6150" s="13"/>
      <c r="E6150" s="8"/>
      <c r="F6150" s="1"/>
      <c r="J6150" s="2"/>
      <c r="K6150" s="7"/>
    </row>
    <row r="6151" spans="1:11" x14ac:dyDescent="0.35">
      <c r="A6151" s="13"/>
      <c r="E6151" s="8"/>
      <c r="F6151" s="1"/>
      <c r="J6151" s="2"/>
      <c r="K6151" s="7"/>
    </row>
    <row r="6152" spans="1:11" x14ac:dyDescent="0.35">
      <c r="A6152" s="13"/>
      <c r="E6152" s="8"/>
      <c r="F6152" s="1"/>
      <c r="J6152" s="2"/>
      <c r="K6152" s="7"/>
    </row>
    <row r="6153" spans="1:11" x14ac:dyDescent="0.35">
      <c r="A6153" s="13"/>
      <c r="E6153" s="8"/>
      <c r="F6153" s="1"/>
      <c r="J6153" s="2"/>
      <c r="K6153" s="7"/>
    </row>
    <row r="6154" spans="1:11" x14ac:dyDescent="0.35">
      <c r="A6154" s="13"/>
      <c r="E6154" s="8"/>
      <c r="F6154" s="1"/>
      <c r="J6154" s="2"/>
      <c r="K6154" s="7"/>
    </row>
    <row r="6155" spans="1:11" x14ac:dyDescent="0.35">
      <c r="A6155" s="13"/>
      <c r="E6155" s="8"/>
      <c r="F6155" s="1"/>
      <c r="J6155" s="2"/>
      <c r="K6155" s="7"/>
    </row>
    <row r="6156" spans="1:11" x14ac:dyDescent="0.35">
      <c r="A6156" s="13"/>
      <c r="E6156" s="8"/>
      <c r="F6156" s="1"/>
      <c r="J6156" s="2"/>
      <c r="K6156" s="7"/>
    </row>
    <row r="6157" spans="1:11" x14ac:dyDescent="0.35">
      <c r="A6157" s="13"/>
      <c r="E6157" s="8"/>
      <c r="F6157" s="1"/>
      <c r="J6157" s="2"/>
      <c r="K6157" s="7"/>
    </row>
    <row r="6158" spans="1:11" x14ac:dyDescent="0.35">
      <c r="A6158" s="13"/>
      <c r="E6158" s="8"/>
      <c r="F6158" s="1"/>
      <c r="J6158" s="2"/>
      <c r="K6158" s="7"/>
    </row>
    <row r="6159" spans="1:11" x14ac:dyDescent="0.35">
      <c r="A6159" s="13"/>
      <c r="E6159" s="8"/>
      <c r="F6159" s="1"/>
      <c r="J6159" s="2"/>
      <c r="K6159" s="7"/>
    </row>
    <row r="6160" spans="1:11" x14ac:dyDescent="0.35">
      <c r="A6160" s="13"/>
      <c r="E6160" s="8"/>
      <c r="F6160" s="1"/>
      <c r="J6160" s="2"/>
      <c r="K6160" s="7"/>
    </row>
    <row r="6161" spans="1:11" x14ac:dyDescent="0.35">
      <c r="A6161" s="13"/>
      <c r="E6161" s="8"/>
      <c r="F6161" s="1"/>
      <c r="J6161" s="2"/>
      <c r="K6161" s="7"/>
    </row>
    <row r="6162" spans="1:11" x14ac:dyDescent="0.35">
      <c r="A6162" s="13"/>
      <c r="E6162" s="8"/>
      <c r="F6162" s="1"/>
      <c r="J6162" s="2"/>
      <c r="K6162" s="7"/>
    </row>
    <row r="6163" spans="1:11" x14ac:dyDescent="0.35">
      <c r="A6163" s="13"/>
      <c r="E6163" s="8"/>
      <c r="F6163" s="1"/>
      <c r="J6163" s="2"/>
      <c r="K6163" s="7"/>
    </row>
    <row r="6164" spans="1:11" x14ac:dyDescent="0.35">
      <c r="A6164" s="13"/>
      <c r="E6164" s="8"/>
      <c r="F6164" s="1"/>
      <c r="J6164" s="2"/>
      <c r="K6164" s="7"/>
    </row>
    <row r="6165" spans="1:11" x14ac:dyDescent="0.35">
      <c r="A6165" s="13"/>
      <c r="E6165" s="8"/>
      <c r="F6165" s="1"/>
      <c r="J6165" s="2"/>
      <c r="K6165" s="7"/>
    </row>
    <row r="6166" spans="1:11" x14ac:dyDescent="0.35">
      <c r="A6166" s="13"/>
      <c r="E6166" s="8"/>
      <c r="F6166" s="1"/>
      <c r="J6166" s="2"/>
      <c r="K6166" s="7"/>
    </row>
    <row r="6167" spans="1:11" x14ac:dyDescent="0.35">
      <c r="A6167" s="13"/>
      <c r="E6167" s="8"/>
      <c r="F6167" s="1"/>
      <c r="J6167" s="2"/>
      <c r="K6167" s="7"/>
    </row>
    <row r="6168" spans="1:11" x14ac:dyDescent="0.35">
      <c r="A6168" s="13"/>
      <c r="E6168" s="8"/>
      <c r="F6168" s="1"/>
      <c r="J6168" s="2"/>
      <c r="K6168" s="7"/>
    </row>
    <row r="6169" spans="1:11" x14ac:dyDescent="0.35">
      <c r="A6169" s="13"/>
      <c r="E6169" s="8"/>
      <c r="F6169" s="1"/>
      <c r="J6169" s="2"/>
      <c r="K6169" s="7"/>
    </row>
    <row r="6170" spans="1:11" x14ac:dyDescent="0.35">
      <c r="A6170" s="13"/>
      <c r="E6170" s="8"/>
      <c r="F6170" s="1"/>
      <c r="J6170" s="2"/>
      <c r="K6170" s="7"/>
    </row>
    <row r="6171" spans="1:11" x14ac:dyDescent="0.35">
      <c r="A6171" s="13"/>
      <c r="E6171" s="8"/>
      <c r="F6171" s="1"/>
      <c r="J6171" s="2"/>
      <c r="K6171" s="7"/>
    </row>
    <row r="6172" spans="1:11" x14ac:dyDescent="0.35">
      <c r="A6172" s="13"/>
      <c r="E6172" s="8"/>
      <c r="F6172" s="1"/>
      <c r="J6172" s="2"/>
      <c r="K6172" s="7"/>
    </row>
    <row r="6173" spans="1:11" x14ac:dyDescent="0.35">
      <c r="A6173" s="13"/>
      <c r="E6173" s="8"/>
      <c r="F6173" s="1"/>
      <c r="J6173" s="2"/>
      <c r="K6173" s="7"/>
    </row>
    <row r="6174" spans="1:11" x14ac:dyDescent="0.35">
      <c r="A6174" s="13"/>
      <c r="E6174" s="8"/>
      <c r="F6174" s="1"/>
      <c r="J6174" s="2"/>
      <c r="K6174" s="7"/>
    </row>
    <row r="6175" spans="1:11" x14ac:dyDescent="0.35">
      <c r="A6175" s="13"/>
      <c r="E6175" s="8"/>
      <c r="F6175" s="1"/>
      <c r="J6175" s="2"/>
      <c r="K6175" s="7"/>
    </row>
    <row r="6176" spans="1:11" x14ac:dyDescent="0.35">
      <c r="A6176" s="13"/>
      <c r="E6176" s="8"/>
      <c r="F6176" s="1"/>
      <c r="J6176" s="2"/>
      <c r="K6176" s="7"/>
    </row>
    <row r="6177" spans="1:11" x14ac:dyDescent="0.35">
      <c r="A6177" s="13"/>
      <c r="E6177" s="8"/>
      <c r="F6177" s="1"/>
      <c r="J6177" s="2"/>
      <c r="K6177" s="7"/>
    </row>
    <row r="6178" spans="1:11" x14ac:dyDescent="0.35">
      <c r="A6178" s="13"/>
      <c r="E6178" s="8"/>
      <c r="F6178" s="1"/>
      <c r="J6178" s="2"/>
      <c r="K6178" s="7"/>
    </row>
    <row r="6179" spans="1:11" x14ac:dyDescent="0.35">
      <c r="A6179" s="13"/>
      <c r="E6179" s="8"/>
      <c r="F6179" s="1"/>
      <c r="J6179" s="2"/>
      <c r="K6179" s="7"/>
    </row>
    <row r="6180" spans="1:11" x14ac:dyDescent="0.35">
      <c r="A6180" s="13"/>
      <c r="E6180" s="8"/>
      <c r="F6180" s="1"/>
      <c r="J6180" s="2"/>
      <c r="K6180" s="7"/>
    </row>
    <row r="6181" spans="1:11" x14ac:dyDescent="0.35">
      <c r="A6181" s="13"/>
      <c r="E6181" s="8"/>
      <c r="F6181" s="1"/>
      <c r="J6181" s="2"/>
      <c r="K6181" s="7"/>
    </row>
    <row r="6182" spans="1:11" x14ac:dyDescent="0.35">
      <c r="A6182" s="13"/>
      <c r="E6182" s="8"/>
      <c r="F6182" s="1"/>
      <c r="J6182" s="2"/>
      <c r="K6182" s="7"/>
    </row>
    <row r="6183" spans="1:11" x14ac:dyDescent="0.35">
      <c r="A6183" s="13"/>
      <c r="E6183" s="8"/>
      <c r="F6183" s="1"/>
      <c r="J6183" s="2"/>
      <c r="K6183" s="7"/>
    </row>
    <row r="6184" spans="1:11" x14ac:dyDescent="0.35">
      <c r="A6184" s="13"/>
      <c r="E6184" s="8"/>
      <c r="F6184" s="1"/>
      <c r="J6184" s="2"/>
      <c r="K6184" s="7"/>
    </row>
    <row r="6185" spans="1:11" x14ac:dyDescent="0.35">
      <c r="A6185" s="13"/>
      <c r="E6185" s="8"/>
      <c r="F6185" s="1"/>
      <c r="J6185" s="2"/>
      <c r="K6185" s="7"/>
    </row>
    <row r="6186" spans="1:11" x14ac:dyDescent="0.35">
      <c r="A6186" s="13"/>
      <c r="E6186" s="8"/>
      <c r="F6186" s="1"/>
      <c r="J6186" s="2"/>
      <c r="K6186" s="7"/>
    </row>
    <row r="6187" spans="1:11" x14ac:dyDescent="0.35">
      <c r="A6187" s="13"/>
      <c r="E6187" s="8"/>
      <c r="F6187" s="1"/>
      <c r="J6187" s="2"/>
      <c r="K6187" s="7"/>
    </row>
    <row r="6188" spans="1:11" x14ac:dyDescent="0.35">
      <c r="A6188" s="13"/>
      <c r="E6188" s="8"/>
      <c r="F6188" s="1"/>
      <c r="J6188" s="2"/>
      <c r="K6188" s="7"/>
    </row>
    <row r="6189" spans="1:11" x14ac:dyDescent="0.35">
      <c r="A6189" s="13"/>
      <c r="E6189" s="8"/>
      <c r="F6189" s="1"/>
      <c r="J6189" s="2"/>
      <c r="K6189" s="7"/>
    </row>
    <row r="6190" spans="1:11" x14ac:dyDescent="0.35">
      <c r="A6190" s="13"/>
      <c r="E6190" s="8"/>
      <c r="F6190" s="1"/>
      <c r="J6190" s="2"/>
      <c r="K6190" s="7"/>
    </row>
    <row r="6191" spans="1:11" x14ac:dyDescent="0.35">
      <c r="A6191" s="13"/>
      <c r="E6191" s="8"/>
      <c r="F6191" s="1"/>
      <c r="J6191" s="2"/>
      <c r="K6191" s="7"/>
    </row>
    <row r="6192" spans="1:11" x14ac:dyDescent="0.35">
      <c r="A6192" s="13"/>
      <c r="E6192" s="8"/>
      <c r="F6192" s="1"/>
      <c r="J6192" s="2"/>
      <c r="K6192" s="7"/>
    </row>
    <row r="6193" spans="1:11" x14ac:dyDescent="0.35">
      <c r="A6193" s="13"/>
      <c r="E6193" s="8"/>
      <c r="F6193" s="1"/>
      <c r="J6193" s="2"/>
      <c r="K6193" s="7"/>
    </row>
    <row r="6194" spans="1:11" x14ac:dyDescent="0.35">
      <c r="A6194" s="13"/>
      <c r="E6194" s="8"/>
      <c r="F6194" s="1"/>
      <c r="J6194" s="2"/>
      <c r="K6194" s="7"/>
    </row>
    <row r="6195" spans="1:11" x14ac:dyDescent="0.35">
      <c r="A6195" s="13"/>
      <c r="E6195" s="8"/>
      <c r="F6195" s="1"/>
      <c r="J6195" s="2"/>
      <c r="K6195" s="7"/>
    </row>
    <row r="6196" spans="1:11" x14ac:dyDescent="0.35">
      <c r="A6196" s="13"/>
      <c r="E6196" s="8"/>
      <c r="F6196" s="1"/>
      <c r="J6196" s="2"/>
      <c r="K6196" s="7"/>
    </row>
    <row r="6197" spans="1:11" x14ac:dyDescent="0.35">
      <c r="A6197" s="13"/>
      <c r="E6197" s="8"/>
      <c r="F6197" s="1"/>
      <c r="J6197" s="2"/>
      <c r="K6197" s="7"/>
    </row>
    <row r="6198" spans="1:11" x14ac:dyDescent="0.35">
      <c r="A6198" s="13"/>
      <c r="E6198" s="8"/>
      <c r="F6198" s="1"/>
      <c r="J6198" s="2"/>
      <c r="K6198" s="7"/>
    </row>
    <row r="6199" spans="1:11" x14ac:dyDescent="0.35">
      <c r="A6199" s="13"/>
      <c r="E6199" s="8"/>
      <c r="F6199" s="1"/>
      <c r="J6199" s="2"/>
      <c r="K6199" s="7"/>
    </row>
    <row r="6200" spans="1:11" x14ac:dyDescent="0.35">
      <c r="A6200" s="13"/>
      <c r="E6200" s="8"/>
      <c r="F6200" s="1"/>
      <c r="J6200" s="2"/>
      <c r="K6200" s="7"/>
    </row>
    <row r="6201" spans="1:11" x14ac:dyDescent="0.35">
      <c r="A6201" s="13"/>
      <c r="E6201" s="8"/>
      <c r="F6201" s="1"/>
      <c r="J6201" s="2"/>
      <c r="K6201" s="7"/>
    </row>
    <row r="6202" spans="1:11" x14ac:dyDescent="0.35">
      <c r="A6202" s="13"/>
      <c r="E6202" s="8"/>
      <c r="F6202" s="1"/>
      <c r="J6202" s="2"/>
      <c r="K6202" s="7"/>
    </row>
    <row r="6203" spans="1:11" x14ac:dyDescent="0.35">
      <c r="A6203" s="13"/>
      <c r="E6203" s="8"/>
      <c r="F6203" s="1"/>
      <c r="J6203" s="2"/>
      <c r="K6203" s="7"/>
    </row>
    <row r="6204" spans="1:11" x14ac:dyDescent="0.35">
      <c r="A6204" s="13"/>
      <c r="E6204" s="8"/>
      <c r="F6204" s="1"/>
      <c r="J6204" s="2"/>
      <c r="K6204" s="7"/>
    </row>
    <row r="6205" spans="1:11" x14ac:dyDescent="0.35">
      <c r="A6205" s="13"/>
      <c r="E6205" s="8"/>
      <c r="F6205" s="1"/>
      <c r="J6205" s="2"/>
      <c r="K6205" s="7"/>
    </row>
    <row r="6206" spans="1:11" x14ac:dyDescent="0.35">
      <c r="A6206" s="13"/>
      <c r="E6206" s="8"/>
      <c r="F6206" s="1"/>
      <c r="J6206" s="2"/>
      <c r="K6206" s="7"/>
    </row>
    <row r="6207" spans="1:11" x14ac:dyDescent="0.35">
      <c r="A6207" s="13"/>
      <c r="E6207" s="8"/>
      <c r="F6207" s="1"/>
      <c r="J6207" s="2"/>
      <c r="K6207" s="7"/>
    </row>
    <row r="6208" spans="1:11" x14ac:dyDescent="0.35">
      <c r="A6208" s="13"/>
      <c r="E6208" s="8"/>
      <c r="F6208" s="1"/>
      <c r="J6208" s="2"/>
      <c r="K6208" s="7"/>
    </row>
    <row r="6209" spans="1:11" x14ac:dyDescent="0.35">
      <c r="A6209" s="13"/>
      <c r="E6209" s="8"/>
      <c r="F6209" s="1"/>
      <c r="J6209" s="2"/>
      <c r="K6209" s="7"/>
    </row>
    <row r="6210" spans="1:11" x14ac:dyDescent="0.35">
      <c r="A6210" s="13"/>
      <c r="E6210" s="8"/>
      <c r="F6210" s="1"/>
      <c r="J6210" s="2"/>
      <c r="K6210" s="7"/>
    </row>
    <row r="6211" spans="1:11" x14ac:dyDescent="0.35">
      <c r="A6211" s="13"/>
      <c r="E6211" s="8"/>
      <c r="F6211" s="1"/>
      <c r="J6211" s="2"/>
      <c r="K6211" s="7"/>
    </row>
    <row r="6212" spans="1:11" x14ac:dyDescent="0.35">
      <c r="A6212" s="13"/>
      <c r="E6212" s="8"/>
      <c r="F6212" s="1"/>
      <c r="J6212" s="2"/>
      <c r="K6212" s="7"/>
    </row>
    <row r="6213" spans="1:11" x14ac:dyDescent="0.35">
      <c r="A6213" s="13"/>
      <c r="E6213" s="8"/>
      <c r="F6213" s="1"/>
      <c r="J6213" s="2"/>
      <c r="K6213" s="7"/>
    </row>
    <row r="6214" spans="1:11" x14ac:dyDescent="0.35">
      <c r="A6214" s="13"/>
      <c r="E6214" s="8"/>
      <c r="F6214" s="1"/>
      <c r="J6214" s="2"/>
      <c r="K6214" s="7"/>
    </row>
    <row r="6215" spans="1:11" x14ac:dyDescent="0.35">
      <c r="A6215" s="13"/>
      <c r="E6215" s="8"/>
      <c r="F6215" s="1"/>
      <c r="J6215" s="2"/>
      <c r="K6215" s="7"/>
    </row>
    <row r="6216" spans="1:11" x14ac:dyDescent="0.35">
      <c r="A6216" s="13"/>
      <c r="E6216" s="8"/>
      <c r="F6216" s="1"/>
      <c r="J6216" s="2"/>
      <c r="K6216" s="7"/>
    </row>
    <row r="6217" spans="1:11" x14ac:dyDescent="0.35">
      <c r="A6217" s="13"/>
      <c r="E6217" s="8"/>
      <c r="F6217" s="1"/>
      <c r="J6217" s="2"/>
      <c r="K6217" s="7"/>
    </row>
    <row r="6218" spans="1:11" x14ac:dyDescent="0.35">
      <c r="A6218" s="13"/>
      <c r="E6218" s="8"/>
      <c r="F6218" s="1"/>
      <c r="J6218" s="2"/>
      <c r="K6218" s="7"/>
    </row>
    <row r="6219" spans="1:11" x14ac:dyDescent="0.35">
      <c r="A6219" s="13"/>
      <c r="E6219" s="8"/>
      <c r="F6219" s="1"/>
      <c r="J6219" s="2"/>
      <c r="K6219" s="7"/>
    </row>
    <row r="6220" spans="1:11" x14ac:dyDescent="0.35">
      <c r="A6220" s="13"/>
      <c r="E6220" s="8"/>
      <c r="F6220" s="1"/>
      <c r="J6220" s="2"/>
      <c r="K6220" s="7"/>
    </row>
    <row r="6221" spans="1:11" x14ac:dyDescent="0.35">
      <c r="A6221" s="13"/>
      <c r="E6221" s="8"/>
      <c r="F6221" s="1"/>
      <c r="J6221" s="2"/>
      <c r="K6221" s="7"/>
    </row>
    <row r="6222" spans="1:11" x14ac:dyDescent="0.35">
      <c r="A6222" s="13"/>
      <c r="E6222" s="8"/>
      <c r="F6222" s="1"/>
      <c r="J6222" s="2"/>
      <c r="K6222" s="7"/>
    </row>
    <row r="6223" spans="1:11" x14ac:dyDescent="0.35">
      <c r="A6223" s="13"/>
      <c r="E6223" s="8"/>
      <c r="F6223" s="1"/>
      <c r="J6223" s="2"/>
      <c r="K6223" s="7"/>
    </row>
    <row r="6224" spans="1:11" x14ac:dyDescent="0.35">
      <c r="A6224" s="13"/>
      <c r="E6224" s="8"/>
      <c r="F6224" s="1"/>
      <c r="J6224" s="2"/>
      <c r="K6224" s="7"/>
    </row>
    <row r="6225" spans="1:11" x14ac:dyDescent="0.35">
      <c r="A6225" s="13"/>
      <c r="E6225" s="8"/>
      <c r="F6225" s="1"/>
      <c r="J6225" s="2"/>
      <c r="K6225" s="7"/>
    </row>
    <row r="6226" spans="1:11" x14ac:dyDescent="0.35">
      <c r="A6226" s="13"/>
      <c r="E6226" s="8"/>
      <c r="F6226" s="1"/>
      <c r="J6226" s="2"/>
      <c r="K6226" s="7"/>
    </row>
    <row r="6227" spans="1:11" x14ac:dyDescent="0.35">
      <c r="A6227" s="13"/>
      <c r="E6227" s="8"/>
      <c r="F6227" s="1"/>
      <c r="J6227" s="2"/>
      <c r="K6227" s="7"/>
    </row>
    <row r="6228" spans="1:11" x14ac:dyDescent="0.35">
      <c r="A6228" s="13"/>
      <c r="E6228" s="8"/>
      <c r="F6228" s="1"/>
      <c r="J6228" s="2"/>
      <c r="K6228" s="7"/>
    </row>
    <row r="6229" spans="1:11" x14ac:dyDescent="0.35">
      <c r="A6229" s="13"/>
      <c r="E6229" s="8"/>
      <c r="F6229" s="1"/>
      <c r="J6229" s="2"/>
      <c r="K6229" s="7"/>
    </row>
    <row r="6230" spans="1:11" x14ac:dyDescent="0.35">
      <c r="A6230" s="13"/>
      <c r="E6230" s="8"/>
      <c r="F6230" s="1"/>
      <c r="J6230" s="2"/>
      <c r="K6230" s="7"/>
    </row>
    <row r="6231" spans="1:11" x14ac:dyDescent="0.35">
      <c r="A6231" s="13"/>
      <c r="E6231" s="8"/>
      <c r="F6231" s="1"/>
      <c r="J6231" s="2"/>
      <c r="K6231" s="7"/>
    </row>
    <row r="6232" spans="1:11" x14ac:dyDescent="0.35">
      <c r="A6232" s="13"/>
      <c r="E6232" s="8"/>
      <c r="F6232" s="1"/>
      <c r="J6232" s="2"/>
      <c r="K6232" s="7"/>
    </row>
    <row r="6233" spans="1:11" x14ac:dyDescent="0.35">
      <c r="A6233" s="13"/>
      <c r="E6233" s="8"/>
      <c r="F6233" s="1"/>
      <c r="J6233" s="2"/>
      <c r="K6233" s="7"/>
    </row>
    <row r="6234" spans="1:11" x14ac:dyDescent="0.35">
      <c r="A6234" s="13"/>
      <c r="E6234" s="8"/>
      <c r="F6234" s="1"/>
      <c r="J6234" s="2"/>
      <c r="K6234" s="7"/>
    </row>
    <row r="6235" spans="1:11" x14ac:dyDescent="0.35">
      <c r="A6235" s="13"/>
      <c r="E6235" s="8"/>
      <c r="F6235" s="1"/>
      <c r="J6235" s="2"/>
      <c r="K6235" s="7"/>
    </row>
    <row r="6236" spans="1:11" x14ac:dyDescent="0.35">
      <c r="A6236" s="13"/>
      <c r="E6236" s="8"/>
      <c r="F6236" s="1"/>
      <c r="J6236" s="2"/>
      <c r="K6236" s="7"/>
    </row>
    <row r="6237" spans="1:11" x14ac:dyDescent="0.35">
      <c r="A6237" s="13"/>
      <c r="E6237" s="8"/>
      <c r="F6237" s="1"/>
      <c r="J6237" s="2"/>
      <c r="K6237" s="7"/>
    </row>
    <row r="6238" spans="1:11" x14ac:dyDescent="0.35">
      <c r="A6238" s="13"/>
      <c r="E6238" s="8"/>
      <c r="F6238" s="1"/>
      <c r="J6238" s="2"/>
      <c r="K6238" s="7"/>
    </row>
    <row r="6239" spans="1:11" x14ac:dyDescent="0.35">
      <c r="A6239" s="13"/>
      <c r="E6239" s="8"/>
      <c r="F6239" s="1"/>
      <c r="J6239" s="2"/>
      <c r="K6239" s="7"/>
    </row>
    <row r="6240" spans="1:11" x14ac:dyDescent="0.35">
      <c r="A6240" s="13"/>
      <c r="E6240" s="8"/>
      <c r="F6240" s="1"/>
      <c r="J6240" s="2"/>
      <c r="K6240" s="7"/>
    </row>
    <row r="6241" spans="1:11" x14ac:dyDescent="0.35">
      <c r="A6241" s="13"/>
      <c r="E6241" s="8"/>
      <c r="F6241" s="1"/>
      <c r="J6241" s="2"/>
      <c r="K6241" s="7"/>
    </row>
    <row r="6242" spans="1:11" x14ac:dyDescent="0.35">
      <c r="A6242" s="13"/>
      <c r="E6242" s="8"/>
      <c r="F6242" s="1"/>
      <c r="J6242" s="2"/>
      <c r="K6242" s="7"/>
    </row>
    <row r="6243" spans="1:11" x14ac:dyDescent="0.35">
      <c r="A6243" s="13"/>
      <c r="E6243" s="8"/>
      <c r="F6243" s="1"/>
      <c r="J6243" s="2"/>
      <c r="K6243" s="7"/>
    </row>
    <row r="6244" spans="1:11" x14ac:dyDescent="0.35">
      <c r="A6244" s="13"/>
      <c r="E6244" s="8"/>
      <c r="F6244" s="1"/>
      <c r="J6244" s="2"/>
      <c r="K6244" s="7"/>
    </row>
    <row r="6245" spans="1:11" x14ac:dyDescent="0.35">
      <c r="A6245" s="13"/>
      <c r="E6245" s="8"/>
      <c r="F6245" s="1"/>
      <c r="J6245" s="2"/>
      <c r="K6245" s="7"/>
    </row>
    <row r="6246" spans="1:11" x14ac:dyDescent="0.35">
      <c r="A6246" s="13"/>
      <c r="E6246" s="8"/>
      <c r="F6246" s="1"/>
      <c r="J6246" s="2"/>
      <c r="K6246" s="7"/>
    </row>
    <row r="6247" spans="1:11" x14ac:dyDescent="0.35">
      <c r="A6247" s="13"/>
      <c r="E6247" s="8"/>
      <c r="F6247" s="1"/>
      <c r="J6247" s="2"/>
      <c r="K6247" s="7"/>
    </row>
    <row r="6248" spans="1:11" x14ac:dyDescent="0.35">
      <c r="A6248" s="13"/>
      <c r="E6248" s="8"/>
      <c r="F6248" s="1"/>
      <c r="J6248" s="2"/>
      <c r="K6248" s="7"/>
    </row>
    <row r="6249" spans="1:11" x14ac:dyDescent="0.35">
      <c r="A6249" s="13"/>
      <c r="E6249" s="8"/>
      <c r="F6249" s="1"/>
      <c r="J6249" s="2"/>
      <c r="K6249" s="7"/>
    </row>
    <row r="6250" spans="1:11" x14ac:dyDescent="0.35">
      <c r="A6250" s="13"/>
      <c r="E6250" s="8"/>
      <c r="F6250" s="1"/>
      <c r="J6250" s="2"/>
      <c r="K6250" s="7"/>
    </row>
    <row r="6251" spans="1:11" x14ac:dyDescent="0.35">
      <c r="A6251" s="13"/>
      <c r="E6251" s="8"/>
      <c r="F6251" s="1"/>
      <c r="J6251" s="2"/>
      <c r="K6251" s="7"/>
    </row>
    <row r="6252" spans="1:11" x14ac:dyDescent="0.35">
      <c r="A6252" s="13"/>
      <c r="E6252" s="8"/>
      <c r="F6252" s="1"/>
      <c r="J6252" s="2"/>
      <c r="K6252" s="7"/>
    </row>
    <row r="6253" spans="1:11" x14ac:dyDescent="0.35">
      <c r="A6253" s="13"/>
      <c r="E6253" s="8"/>
      <c r="F6253" s="1"/>
      <c r="J6253" s="2"/>
      <c r="K6253" s="7"/>
    </row>
    <row r="6254" spans="1:11" x14ac:dyDescent="0.35">
      <c r="A6254" s="13"/>
      <c r="E6254" s="8"/>
      <c r="F6254" s="1"/>
      <c r="J6254" s="2"/>
      <c r="K6254" s="7"/>
    </row>
    <row r="6255" spans="1:11" x14ac:dyDescent="0.35">
      <c r="A6255" s="13"/>
      <c r="E6255" s="8"/>
      <c r="F6255" s="1"/>
      <c r="J6255" s="2"/>
      <c r="K6255" s="7"/>
    </row>
    <row r="6256" spans="1:11" x14ac:dyDescent="0.35">
      <c r="A6256" s="13"/>
      <c r="E6256" s="8"/>
      <c r="F6256" s="1"/>
      <c r="J6256" s="2"/>
      <c r="K6256" s="7"/>
    </row>
    <row r="6257" spans="1:11" x14ac:dyDescent="0.35">
      <c r="A6257" s="13"/>
      <c r="E6257" s="8"/>
      <c r="F6257" s="1"/>
      <c r="J6257" s="2"/>
      <c r="K6257" s="7"/>
    </row>
    <row r="6258" spans="1:11" x14ac:dyDescent="0.35">
      <c r="A6258" s="13"/>
      <c r="E6258" s="8"/>
      <c r="F6258" s="1"/>
      <c r="J6258" s="2"/>
      <c r="K6258" s="7"/>
    </row>
    <row r="6259" spans="1:11" x14ac:dyDescent="0.35">
      <c r="A6259" s="13"/>
      <c r="E6259" s="8"/>
      <c r="F6259" s="1"/>
      <c r="J6259" s="2"/>
      <c r="K6259" s="7"/>
    </row>
    <row r="6260" spans="1:11" x14ac:dyDescent="0.35">
      <c r="A6260" s="13"/>
      <c r="E6260" s="8"/>
      <c r="F6260" s="1"/>
      <c r="J6260" s="2"/>
      <c r="K6260" s="7"/>
    </row>
    <row r="6261" spans="1:11" x14ac:dyDescent="0.35">
      <c r="A6261" s="13"/>
      <c r="E6261" s="8"/>
      <c r="F6261" s="1"/>
      <c r="J6261" s="2"/>
      <c r="K6261" s="7"/>
    </row>
    <row r="6262" spans="1:11" x14ac:dyDescent="0.35">
      <c r="A6262" s="13"/>
      <c r="E6262" s="8"/>
      <c r="F6262" s="1"/>
      <c r="J6262" s="2"/>
      <c r="K6262" s="7"/>
    </row>
    <row r="6263" spans="1:11" x14ac:dyDescent="0.35">
      <c r="A6263" s="13"/>
      <c r="E6263" s="8"/>
      <c r="F6263" s="1"/>
      <c r="J6263" s="2"/>
      <c r="K6263" s="7"/>
    </row>
    <row r="6264" spans="1:11" x14ac:dyDescent="0.35">
      <c r="A6264" s="13"/>
      <c r="E6264" s="8"/>
      <c r="F6264" s="1"/>
      <c r="J6264" s="2"/>
      <c r="K6264" s="7"/>
    </row>
    <row r="6265" spans="1:11" x14ac:dyDescent="0.35">
      <c r="A6265" s="13"/>
      <c r="E6265" s="8"/>
      <c r="F6265" s="1"/>
      <c r="J6265" s="2"/>
      <c r="K6265" s="7"/>
    </row>
    <row r="6266" spans="1:11" x14ac:dyDescent="0.35">
      <c r="A6266" s="13"/>
      <c r="E6266" s="8"/>
      <c r="F6266" s="1"/>
      <c r="J6266" s="2"/>
      <c r="K6266" s="7"/>
    </row>
    <row r="6267" spans="1:11" x14ac:dyDescent="0.35">
      <c r="A6267" s="13"/>
      <c r="E6267" s="8"/>
      <c r="F6267" s="1"/>
      <c r="J6267" s="2"/>
      <c r="K6267" s="7"/>
    </row>
    <row r="6268" spans="1:11" x14ac:dyDescent="0.35">
      <c r="A6268" s="13"/>
      <c r="E6268" s="8"/>
      <c r="F6268" s="1"/>
      <c r="J6268" s="2"/>
      <c r="K6268" s="7"/>
    </row>
    <row r="6269" spans="1:11" x14ac:dyDescent="0.35">
      <c r="A6269" s="13"/>
      <c r="E6269" s="8"/>
      <c r="F6269" s="1"/>
      <c r="J6269" s="2"/>
      <c r="K6269" s="7"/>
    </row>
    <row r="6270" spans="1:11" x14ac:dyDescent="0.35">
      <c r="A6270" s="13"/>
      <c r="E6270" s="8"/>
      <c r="F6270" s="1"/>
      <c r="J6270" s="2"/>
      <c r="K6270" s="7"/>
    </row>
    <row r="6271" spans="1:11" x14ac:dyDescent="0.35">
      <c r="A6271" s="13"/>
      <c r="E6271" s="8"/>
      <c r="F6271" s="1"/>
      <c r="J6271" s="2"/>
      <c r="K6271" s="7"/>
    </row>
    <row r="6272" spans="1:11" x14ac:dyDescent="0.35">
      <c r="A6272" s="13"/>
      <c r="E6272" s="8"/>
      <c r="F6272" s="1"/>
      <c r="J6272" s="2"/>
      <c r="K6272" s="7"/>
    </row>
    <row r="6273" spans="1:11" x14ac:dyDescent="0.35">
      <c r="A6273" s="13"/>
      <c r="E6273" s="8"/>
      <c r="F6273" s="1"/>
      <c r="J6273" s="2"/>
      <c r="K6273" s="7"/>
    </row>
    <row r="6274" spans="1:11" x14ac:dyDescent="0.35">
      <c r="A6274" s="13"/>
      <c r="E6274" s="8"/>
      <c r="F6274" s="1"/>
      <c r="J6274" s="2"/>
      <c r="K6274" s="7"/>
    </row>
    <row r="6275" spans="1:11" x14ac:dyDescent="0.35">
      <c r="A6275" s="13"/>
      <c r="E6275" s="8"/>
      <c r="F6275" s="1"/>
      <c r="J6275" s="2"/>
      <c r="K6275" s="7"/>
    </row>
    <row r="6276" spans="1:11" x14ac:dyDescent="0.35">
      <c r="A6276" s="13"/>
      <c r="E6276" s="8"/>
      <c r="F6276" s="1"/>
      <c r="J6276" s="2"/>
      <c r="K6276" s="7"/>
    </row>
    <row r="6277" spans="1:11" x14ac:dyDescent="0.35">
      <c r="A6277" s="13"/>
      <c r="E6277" s="8"/>
      <c r="F6277" s="1"/>
      <c r="J6277" s="2"/>
      <c r="K6277" s="7"/>
    </row>
    <row r="6278" spans="1:11" x14ac:dyDescent="0.35">
      <c r="A6278" s="13"/>
      <c r="E6278" s="8"/>
      <c r="F6278" s="1"/>
      <c r="J6278" s="2"/>
      <c r="K6278" s="7"/>
    </row>
    <row r="6279" spans="1:11" x14ac:dyDescent="0.35">
      <c r="A6279" s="13"/>
      <c r="E6279" s="8"/>
      <c r="F6279" s="1"/>
      <c r="J6279" s="2"/>
      <c r="K6279" s="7"/>
    </row>
    <row r="6280" spans="1:11" x14ac:dyDescent="0.35">
      <c r="A6280" s="13"/>
      <c r="E6280" s="8"/>
      <c r="F6280" s="1"/>
      <c r="J6280" s="2"/>
      <c r="K6280" s="7"/>
    </row>
    <row r="6281" spans="1:11" x14ac:dyDescent="0.35">
      <c r="A6281" s="13"/>
      <c r="E6281" s="8"/>
      <c r="F6281" s="1"/>
      <c r="J6281" s="2"/>
      <c r="K6281" s="7"/>
    </row>
    <row r="6282" spans="1:11" x14ac:dyDescent="0.35">
      <c r="A6282" s="13"/>
      <c r="E6282" s="8"/>
      <c r="F6282" s="1"/>
      <c r="J6282" s="2"/>
      <c r="K6282" s="7"/>
    </row>
    <row r="6283" spans="1:11" x14ac:dyDescent="0.35">
      <c r="A6283" s="13"/>
      <c r="E6283" s="8"/>
      <c r="F6283" s="1"/>
      <c r="J6283" s="2"/>
      <c r="K6283" s="7"/>
    </row>
    <row r="6284" spans="1:11" x14ac:dyDescent="0.35">
      <c r="A6284" s="13"/>
      <c r="E6284" s="8"/>
      <c r="F6284" s="1"/>
      <c r="J6284" s="2"/>
      <c r="K6284" s="7"/>
    </row>
    <row r="6285" spans="1:11" x14ac:dyDescent="0.35">
      <c r="A6285" s="13"/>
      <c r="E6285" s="8"/>
      <c r="F6285" s="1"/>
      <c r="J6285" s="2"/>
      <c r="K6285" s="7"/>
    </row>
    <row r="6286" spans="1:11" x14ac:dyDescent="0.35">
      <c r="A6286" s="13"/>
      <c r="E6286" s="8"/>
      <c r="F6286" s="1"/>
      <c r="J6286" s="2"/>
      <c r="K6286" s="7"/>
    </row>
    <row r="6287" spans="1:11" x14ac:dyDescent="0.35">
      <c r="A6287" s="13"/>
      <c r="E6287" s="8"/>
      <c r="F6287" s="1"/>
      <c r="J6287" s="2"/>
      <c r="K6287" s="7"/>
    </row>
    <row r="6288" spans="1:11" x14ac:dyDescent="0.35">
      <c r="A6288" s="13"/>
      <c r="E6288" s="8"/>
      <c r="F6288" s="1"/>
      <c r="J6288" s="2"/>
      <c r="K6288" s="7"/>
    </row>
    <row r="6289" spans="1:11" x14ac:dyDescent="0.35">
      <c r="A6289" s="13"/>
      <c r="E6289" s="8"/>
      <c r="F6289" s="1"/>
      <c r="J6289" s="2"/>
      <c r="K6289" s="7"/>
    </row>
    <row r="6290" spans="1:11" x14ac:dyDescent="0.35">
      <c r="A6290" s="13"/>
      <c r="E6290" s="8"/>
      <c r="F6290" s="1"/>
      <c r="J6290" s="2"/>
      <c r="K6290" s="7"/>
    </row>
    <row r="6291" spans="1:11" x14ac:dyDescent="0.35">
      <c r="A6291" s="13"/>
      <c r="E6291" s="8"/>
      <c r="F6291" s="1"/>
      <c r="J6291" s="2"/>
      <c r="K6291" s="7"/>
    </row>
    <row r="6292" spans="1:11" x14ac:dyDescent="0.35">
      <c r="A6292" s="13"/>
      <c r="E6292" s="8"/>
      <c r="F6292" s="1"/>
      <c r="J6292" s="2"/>
      <c r="K6292" s="7"/>
    </row>
    <row r="6293" spans="1:11" x14ac:dyDescent="0.35">
      <c r="A6293" s="13"/>
      <c r="E6293" s="8"/>
      <c r="F6293" s="1"/>
      <c r="J6293" s="2"/>
      <c r="K6293" s="7"/>
    </row>
    <row r="6294" spans="1:11" x14ac:dyDescent="0.35">
      <c r="A6294" s="13"/>
      <c r="E6294" s="8"/>
      <c r="F6294" s="1"/>
      <c r="J6294" s="2"/>
      <c r="K6294" s="7"/>
    </row>
    <row r="6295" spans="1:11" x14ac:dyDescent="0.35">
      <c r="A6295" s="13"/>
      <c r="E6295" s="8"/>
      <c r="F6295" s="1"/>
      <c r="J6295" s="2"/>
      <c r="K6295" s="7"/>
    </row>
    <row r="6296" spans="1:11" x14ac:dyDescent="0.35">
      <c r="A6296" s="13"/>
      <c r="E6296" s="8"/>
      <c r="F6296" s="1"/>
      <c r="J6296" s="2"/>
      <c r="K6296" s="7"/>
    </row>
    <row r="6297" spans="1:11" x14ac:dyDescent="0.35">
      <c r="A6297" s="13"/>
      <c r="E6297" s="8"/>
      <c r="F6297" s="1"/>
      <c r="J6297" s="2"/>
      <c r="K6297" s="7"/>
    </row>
    <row r="6298" spans="1:11" x14ac:dyDescent="0.35">
      <c r="A6298" s="13"/>
      <c r="E6298" s="8"/>
      <c r="F6298" s="1"/>
      <c r="J6298" s="2"/>
      <c r="K6298" s="7"/>
    </row>
    <row r="6299" spans="1:11" x14ac:dyDescent="0.35">
      <c r="A6299" s="13"/>
      <c r="E6299" s="8"/>
      <c r="F6299" s="1"/>
      <c r="J6299" s="2"/>
      <c r="K6299" s="7"/>
    </row>
    <row r="6300" spans="1:11" x14ac:dyDescent="0.35">
      <c r="A6300" s="13"/>
      <c r="E6300" s="8"/>
      <c r="F6300" s="1"/>
      <c r="J6300" s="2"/>
      <c r="K6300" s="7"/>
    </row>
    <row r="6301" spans="1:11" x14ac:dyDescent="0.35">
      <c r="A6301" s="13"/>
      <c r="E6301" s="8"/>
      <c r="F6301" s="1"/>
      <c r="J6301" s="2"/>
      <c r="K6301" s="7"/>
    </row>
    <row r="6302" spans="1:11" x14ac:dyDescent="0.35">
      <c r="A6302" s="13"/>
      <c r="E6302" s="8"/>
      <c r="F6302" s="1"/>
      <c r="J6302" s="2"/>
      <c r="K6302" s="7"/>
    </row>
    <row r="6303" spans="1:11" x14ac:dyDescent="0.35">
      <c r="A6303" s="13"/>
      <c r="E6303" s="8"/>
      <c r="F6303" s="1"/>
      <c r="J6303" s="2"/>
      <c r="K6303" s="7"/>
    </row>
    <row r="6304" spans="1:11" x14ac:dyDescent="0.35">
      <c r="A6304" s="13"/>
      <c r="E6304" s="8"/>
      <c r="F6304" s="1"/>
      <c r="J6304" s="2"/>
      <c r="K6304" s="7"/>
    </row>
    <row r="6305" spans="1:11" x14ac:dyDescent="0.35">
      <c r="A6305" s="13"/>
      <c r="E6305" s="8"/>
      <c r="F6305" s="1"/>
      <c r="J6305" s="2"/>
      <c r="K6305" s="7"/>
    </row>
    <row r="6306" spans="1:11" x14ac:dyDescent="0.35">
      <c r="A6306" s="13"/>
      <c r="E6306" s="8"/>
      <c r="F6306" s="1"/>
      <c r="J6306" s="2"/>
      <c r="K6306" s="7"/>
    </row>
    <row r="6307" spans="1:11" x14ac:dyDescent="0.35">
      <c r="A6307" s="13"/>
      <c r="E6307" s="8"/>
      <c r="F6307" s="1"/>
      <c r="J6307" s="2"/>
      <c r="K6307" s="7"/>
    </row>
    <row r="6308" spans="1:11" x14ac:dyDescent="0.35">
      <c r="A6308" s="13"/>
      <c r="E6308" s="8"/>
      <c r="F6308" s="1"/>
      <c r="J6308" s="2"/>
      <c r="K6308" s="7"/>
    </row>
    <row r="6309" spans="1:11" x14ac:dyDescent="0.35">
      <c r="A6309" s="13"/>
      <c r="E6309" s="8"/>
      <c r="F6309" s="1"/>
      <c r="J6309" s="2"/>
      <c r="K6309" s="7"/>
    </row>
    <row r="6310" spans="1:11" x14ac:dyDescent="0.35">
      <c r="A6310" s="13"/>
      <c r="E6310" s="8"/>
      <c r="F6310" s="1"/>
      <c r="J6310" s="2"/>
      <c r="K6310" s="7"/>
    </row>
    <row r="6311" spans="1:11" x14ac:dyDescent="0.35">
      <c r="A6311" s="13"/>
      <c r="E6311" s="8"/>
      <c r="F6311" s="1"/>
      <c r="J6311" s="2"/>
      <c r="K6311" s="7"/>
    </row>
    <row r="6312" spans="1:11" x14ac:dyDescent="0.35">
      <c r="A6312" s="13"/>
      <c r="E6312" s="8"/>
      <c r="F6312" s="1"/>
      <c r="J6312" s="2"/>
      <c r="K6312" s="7"/>
    </row>
    <row r="6313" spans="1:11" x14ac:dyDescent="0.35">
      <c r="A6313" s="13"/>
      <c r="E6313" s="8"/>
      <c r="F6313" s="1"/>
      <c r="J6313" s="2"/>
      <c r="K6313" s="7"/>
    </row>
    <row r="6314" spans="1:11" x14ac:dyDescent="0.35">
      <c r="A6314" s="13"/>
      <c r="E6314" s="8"/>
      <c r="F6314" s="1"/>
      <c r="J6314" s="2"/>
      <c r="K6314" s="7"/>
    </row>
    <row r="6315" spans="1:11" x14ac:dyDescent="0.35">
      <c r="A6315" s="13"/>
      <c r="E6315" s="8"/>
      <c r="F6315" s="1"/>
      <c r="J6315" s="2"/>
      <c r="K6315" s="7"/>
    </row>
    <row r="6316" spans="1:11" x14ac:dyDescent="0.35">
      <c r="A6316" s="13"/>
      <c r="E6316" s="8"/>
      <c r="F6316" s="1"/>
      <c r="J6316" s="2"/>
      <c r="K6316" s="7"/>
    </row>
    <row r="6317" spans="1:11" x14ac:dyDescent="0.35">
      <c r="A6317" s="13"/>
      <c r="E6317" s="8"/>
      <c r="F6317" s="1"/>
      <c r="J6317" s="2"/>
      <c r="K6317" s="7"/>
    </row>
    <row r="6318" spans="1:11" x14ac:dyDescent="0.35">
      <c r="A6318" s="13"/>
      <c r="E6318" s="8"/>
      <c r="F6318" s="1"/>
      <c r="J6318" s="2"/>
      <c r="K6318" s="7"/>
    </row>
    <row r="6319" spans="1:11" x14ac:dyDescent="0.35">
      <c r="A6319" s="13"/>
      <c r="E6319" s="8"/>
      <c r="F6319" s="1"/>
      <c r="J6319" s="2"/>
      <c r="K6319" s="7"/>
    </row>
    <row r="6320" spans="1:11" x14ac:dyDescent="0.35">
      <c r="A6320" s="13"/>
      <c r="E6320" s="8"/>
      <c r="F6320" s="1"/>
      <c r="J6320" s="2"/>
      <c r="K6320" s="7"/>
    </row>
    <row r="6321" spans="1:11" x14ac:dyDescent="0.35">
      <c r="A6321" s="13"/>
      <c r="E6321" s="8"/>
      <c r="F6321" s="1"/>
      <c r="J6321" s="2"/>
      <c r="K6321" s="7"/>
    </row>
    <row r="6322" spans="1:11" x14ac:dyDescent="0.35">
      <c r="A6322" s="13"/>
      <c r="E6322" s="8"/>
      <c r="F6322" s="1"/>
      <c r="J6322" s="2"/>
      <c r="K6322" s="7"/>
    </row>
    <row r="6323" spans="1:11" x14ac:dyDescent="0.35">
      <c r="A6323" s="13"/>
      <c r="E6323" s="8"/>
      <c r="F6323" s="1"/>
      <c r="J6323" s="2"/>
      <c r="K6323" s="7"/>
    </row>
    <row r="6324" spans="1:11" x14ac:dyDescent="0.35">
      <c r="A6324" s="13"/>
      <c r="E6324" s="8"/>
      <c r="F6324" s="1"/>
      <c r="J6324" s="2"/>
      <c r="K6324" s="7"/>
    </row>
    <row r="6325" spans="1:11" x14ac:dyDescent="0.35">
      <c r="A6325" s="13"/>
      <c r="E6325" s="8"/>
      <c r="F6325" s="1"/>
      <c r="J6325" s="2"/>
      <c r="K6325" s="7"/>
    </row>
    <row r="6326" spans="1:11" x14ac:dyDescent="0.35">
      <c r="A6326" s="13"/>
      <c r="E6326" s="8"/>
      <c r="F6326" s="1"/>
      <c r="J6326" s="2"/>
      <c r="K6326" s="7"/>
    </row>
    <row r="6327" spans="1:11" x14ac:dyDescent="0.35">
      <c r="A6327" s="13"/>
      <c r="E6327" s="8"/>
      <c r="F6327" s="1"/>
      <c r="J6327" s="2"/>
      <c r="K6327" s="7"/>
    </row>
    <row r="6328" spans="1:11" x14ac:dyDescent="0.35">
      <c r="A6328" s="13"/>
      <c r="E6328" s="8"/>
      <c r="F6328" s="1"/>
      <c r="J6328" s="2"/>
      <c r="K6328" s="7"/>
    </row>
    <row r="6329" spans="1:11" x14ac:dyDescent="0.35">
      <c r="A6329" s="13"/>
      <c r="E6329" s="8"/>
      <c r="F6329" s="1"/>
      <c r="J6329" s="2"/>
      <c r="K6329" s="7"/>
    </row>
    <row r="6330" spans="1:11" x14ac:dyDescent="0.35">
      <c r="A6330" s="13"/>
      <c r="E6330" s="8"/>
      <c r="F6330" s="1"/>
      <c r="J6330" s="2"/>
      <c r="K6330" s="7"/>
    </row>
    <row r="6331" spans="1:11" x14ac:dyDescent="0.35">
      <c r="A6331" s="13"/>
      <c r="E6331" s="8"/>
      <c r="F6331" s="1"/>
      <c r="J6331" s="2"/>
      <c r="K6331" s="7"/>
    </row>
    <row r="6332" spans="1:11" x14ac:dyDescent="0.35">
      <c r="A6332" s="13"/>
      <c r="E6332" s="8"/>
      <c r="F6332" s="1"/>
      <c r="J6332" s="2"/>
      <c r="K6332" s="7"/>
    </row>
    <row r="6333" spans="1:11" x14ac:dyDescent="0.35">
      <c r="A6333" s="13"/>
      <c r="E6333" s="8"/>
      <c r="F6333" s="1"/>
      <c r="J6333" s="2"/>
      <c r="K6333" s="7"/>
    </row>
    <row r="6334" spans="1:11" x14ac:dyDescent="0.35">
      <c r="A6334" s="13"/>
      <c r="E6334" s="8"/>
      <c r="F6334" s="1"/>
      <c r="J6334" s="2"/>
      <c r="K6334" s="7"/>
    </row>
    <row r="6335" spans="1:11" x14ac:dyDescent="0.35">
      <c r="A6335" s="13"/>
      <c r="E6335" s="8"/>
      <c r="F6335" s="1"/>
      <c r="J6335" s="2"/>
      <c r="K6335" s="7"/>
    </row>
    <row r="6336" spans="1:11" x14ac:dyDescent="0.35">
      <c r="A6336" s="13"/>
      <c r="E6336" s="8"/>
      <c r="F6336" s="1"/>
      <c r="J6336" s="2"/>
      <c r="K6336" s="7"/>
    </row>
    <row r="6337" spans="1:11" x14ac:dyDescent="0.35">
      <c r="A6337" s="13"/>
      <c r="E6337" s="8"/>
      <c r="F6337" s="1"/>
      <c r="J6337" s="2"/>
      <c r="K6337" s="7"/>
    </row>
    <row r="6338" spans="1:11" x14ac:dyDescent="0.35">
      <c r="A6338" s="13"/>
      <c r="E6338" s="8"/>
      <c r="F6338" s="1"/>
      <c r="J6338" s="2"/>
      <c r="K6338" s="7"/>
    </row>
    <row r="6339" spans="1:11" x14ac:dyDescent="0.35">
      <c r="A6339" s="13"/>
      <c r="E6339" s="8"/>
      <c r="F6339" s="1"/>
      <c r="J6339" s="2"/>
      <c r="K6339" s="7"/>
    </row>
    <row r="6340" spans="1:11" x14ac:dyDescent="0.35">
      <c r="A6340" s="13"/>
      <c r="E6340" s="8"/>
      <c r="F6340" s="1"/>
      <c r="J6340" s="2"/>
      <c r="K6340" s="7"/>
    </row>
    <row r="6341" spans="1:11" x14ac:dyDescent="0.35">
      <c r="A6341" s="13"/>
      <c r="E6341" s="8"/>
      <c r="F6341" s="1"/>
      <c r="J6341" s="2"/>
      <c r="K6341" s="7"/>
    </row>
    <row r="6342" spans="1:11" x14ac:dyDescent="0.35">
      <c r="A6342" s="13"/>
      <c r="E6342" s="8"/>
      <c r="F6342" s="1"/>
      <c r="J6342" s="2"/>
      <c r="K6342" s="7"/>
    </row>
    <row r="6343" spans="1:11" x14ac:dyDescent="0.35">
      <c r="A6343" s="13"/>
      <c r="E6343" s="8"/>
      <c r="F6343" s="1"/>
      <c r="J6343" s="2"/>
      <c r="K6343" s="7"/>
    </row>
    <row r="6344" spans="1:11" x14ac:dyDescent="0.35">
      <c r="A6344" s="13"/>
      <c r="E6344" s="8"/>
      <c r="F6344" s="1"/>
      <c r="J6344" s="2"/>
      <c r="K6344" s="7"/>
    </row>
    <row r="6345" spans="1:11" x14ac:dyDescent="0.35">
      <c r="A6345" s="13"/>
      <c r="E6345" s="8"/>
      <c r="F6345" s="1"/>
      <c r="J6345" s="2"/>
      <c r="K6345" s="7"/>
    </row>
    <row r="6346" spans="1:11" x14ac:dyDescent="0.35">
      <c r="A6346" s="13"/>
      <c r="E6346" s="8"/>
      <c r="F6346" s="1"/>
      <c r="J6346" s="2"/>
      <c r="K6346" s="7"/>
    </row>
    <row r="6347" spans="1:11" x14ac:dyDescent="0.35">
      <c r="A6347" s="13"/>
      <c r="E6347" s="8"/>
      <c r="F6347" s="1"/>
      <c r="J6347" s="2"/>
      <c r="K6347" s="7"/>
    </row>
    <row r="6348" spans="1:11" x14ac:dyDescent="0.35">
      <c r="A6348" s="13"/>
      <c r="E6348" s="8"/>
      <c r="F6348" s="1"/>
      <c r="J6348" s="2"/>
      <c r="K6348" s="7"/>
    </row>
    <row r="6349" spans="1:11" x14ac:dyDescent="0.35">
      <c r="A6349" s="13"/>
      <c r="E6349" s="8"/>
      <c r="F6349" s="1"/>
      <c r="J6349" s="2"/>
      <c r="K6349" s="7"/>
    </row>
    <row r="6350" spans="1:11" x14ac:dyDescent="0.35">
      <c r="A6350" s="13"/>
      <c r="E6350" s="8"/>
      <c r="F6350" s="1"/>
      <c r="J6350" s="2"/>
      <c r="K6350" s="7"/>
    </row>
    <row r="6351" spans="1:11" x14ac:dyDescent="0.35">
      <c r="A6351" s="13"/>
      <c r="E6351" s="8"/>
      <c r="F6351" s="1"/>
      <c r="J6351" s="2"/>
      <c r="K6351" s="7"/>
    </row>
    <row r="6352" spans="1:11" x14ac:dyDescent="0.35">
      <c r="A6352" s="13"/>
      <c r="E6352" s="8"/>
      <c r="F6352" s="1"/>
      <c r="J6352" s="2"/>
      <c r="K6352" s="7"/>
    </row>
    <row r="6353" spans="1:11" x14ac:dyDescent="0.35">
      <c r="A6353" s="13"/>
      <c r="E6353" s="8"/>
      <c r="F6353" s="1"/>
      <c r="J6353" s="2"/>
      <c r="K6353" s="7"/>
    </row>
    <row r="6354" spans="1:11" x14ac:dyDescent="0.35">
      <c r="A6354" s="13"/>
      <c r="E6354" s="8"/>
      <c r="F6354" s="1"/>
      <c r="J6354" s="2"/>
      <c r="K6354" s="7"/>
    </row>
    <row r="6355" spans="1:11" x14ac:dyDescent="0.35">
      <c r="A6355" s="13"/>
      <c r="E6355" s="8"/>
      <c r="F6355" s="1"/>
      <c r="J6355" s="2"/>
      <c r="K6355" s="7"/>
    </row>
    <row r="6356" spans="1:11" x14ac:dyDescent="0.35">
      <c r="A6356" s="13"/>
      <c r="E6356" s="8"/>
      <c r="F6356" s="1"/>
      <c r="J6356" s="2"/>
      <c r="K6356" s="7"/>
    </row>
    <row r="6357" spans="1:11" x14ac:dyDescent="0.35">
      <c r="A6357" s="13"/>
      <c r="E6357" s="8"/>
      <c r="F6357" s="1"/>
      <c r="J6357" s="2"/>
      <c r="K6357" s="7"/>
    </row>
    <row r="6358" spans="1:11" x14ac:dyDescent="0.35">
      <c r="A6358" s="13"/>
      <c r="E6358" s="8"/>
      <c r="F6358" s="1"/>
      <c r="J6358" s="2"/>
      <c r="K6358" s="7"/>
    </row>
    <row r="6359" spans="1:11" x14ac:dyDescent="0.35">
      <c r="A6359" s="13"/>
      <c r="E6359" s="8"/>
      <c r="F6359" s="1"/>
      <c r="J6359" s="2"/>
      <c r="K6359" s="7"/>
    </row>
    <row r="6360" spans="1:11" x14ac:dyDescent="0.35">
      <c r="A6360" s="13"/>
      <c r="E6360" s="8"/>
      <c r="F6360" s="1"/>
      <c r="J6360" s="2"/>
      <c r="K6360" s="7"/>
    </row>
    <row r="6361" spans="1:11" x14ac:dyDescent="0.35">
      <c r="A6361" s="13"/>
      <c r="E6361" s="8"/>
      <c r="F6361" s="1"/>
      <c r="J6361" s="2"/>
      <c r="K6361" s="7"/>
    </row>
    <row r="6362" spans="1:11" x14ac:dyDescent="0.35">
      <c r="A6362" s="13"/>
      <c r="E6362" s="8"/>
      <c r="F6362" s="1"/>
      <c r="J6362" s="2"/>
      <c r="K6362" s="7"/>
    </row>
    <row r="6363" spans="1:11" x14ac:dyDescent="0.35">
      <c r="A6363" s="13"/>
      <c r="E6363" s="8"/>
      <c r="F6363" s="1"/>
      <c r="J6363" s="2"/>
      <c r="K6363" s="7"/>
    </row>
    <row r="6364" spans="1:11" x14ac:dyDescent="0.35">
      <c r="A6364" s="13"/>
      <c r="E6364" s="8"/>
      <c r="F6364" s="1"/>
      <c r="J6364" s="2"/>
      <c r="K6364" s="7"/>
    </row>
    <row r="6365" spans="1:11" x14ac:dyDescent="0.35">
      <c r="A6365" s="13"/>
      <c r="E6365" s="8"/>
      <c r="F6365" s="1"/>
      <c r="J6365" s="2"/>
      <c r="K6365" s="7"/>
    </row>
    <row r="6366" spans="1:11" x14ac:dyDescent="0.35">
      <c r="A6366" s="13"/>
      <c r="E6366" s="8"/>
      <c r="F6366" s="1"/>
      <c r="J6366" s="2"/>
      <c r="K6366" s="7"/>
    </row>
    <row r="6367" spans="1:11" x14ac:dyDescent="0.35">
      <c r="A6367" s="13"/>
      <c r="E6367" s="8"/>
      <c r="F6367" s="1"/>
      <c r="J6367" s="2"/>
      <c r="K6367" s="7"/>
    </row>
    <row r="6368" spans="1:11" x14ac:dyDescent="0.35">
      <c r="A6368" s="13"/>
      <c r="E6368" s="8"/>
      <c r="F6368" s="1"/>
      <c r="J6368" s="2"/>
      <c r="K6368" s="7"/>
    </row>
    <row r="6369" spans="1:11" x14ac:dyDescent="0.35">
      <c r="A6369" s="13"/>
      <c r="E6369" s="8"/>
      <c r="F6369" s="1"/>
      <c r="J6369" s="2"/>
      <c r="K6369" s="7"/>
    </row>
    <row r="6370" spans="1:11" x14ac:dyDescent="0.35">
      <c r="A6370" s="13"/>
      <c r="E6370" s="8"/>
      <c r="F6370" s="1"/>
      <c r="J6370" s="2"/>
      <c r="K6370" s="7"/>
    </row>
    <row r="6371" spans="1:11" x14ac:dyDescent="0.35">
      <c r="A6371" s="13"/>
      <c r="E6371" s="8"/>
      <c r="F6371" s="1"/>
      <c r="J6371" s="2"/>
      <c r="K6371" s="7"/>
    </row>
    <row r="6372" spans="1:11" x14ac:dyDescent="0.35">
      <c r="A6372" s="13"/>
      <c r="E6372" s="8"/>
      <c r="F6372" s="1"/>
      <c r="J6372" s="2"/>
      <c r="K6372" s="7"/>
    </row>
    <row r="6373" spans="1:11" x14ac:dyDescent="0.35">
      <c r="A6373" s="13"/>
      <c r="E6373" s="8"/>
      <c r="F6373" s="1"/>
      <c r="J6373" s="2"/>
      <c r="K6373" s="7"/>
    </row>
    <row r="6374" spans="1:11" x14ac:dyDescent="0.35">
      <c r="A6374" s="13"/>
      <c r="E6374" s="8"/>
      <c r="F6374" s="1"/>
      <c r="J6374" s="2"/>
      <c r="K6374" s="7"/>
    </row>
    <row r="6375" spans="1:11" x14ac:dyDescent="0.35">
      <c r="A6375" s="13"/>
      <c r="E6375" s="8"/>
      <c r="F6375" s="1"/>
      <c r="J6375" s="2"/>
      <c r="K6375" s="7"/>
    </row>
    <row r="6376" spans="1:11" x14ac:dyDescent="0.35">
      <c r="A6376" s="13"/>
      <c r="E6376" s="8"/>
      <c r="F6376" s="1"/>
      <c r="J6376" s="2"/>
      <c r="K6376" s="7"/>
    </row>
    <row r="6377" spans="1:11" x14ac:dyDescent="0.35">
      <c r="A6377" s="13"/>
      <c r="E6377" s="8"/>
      <c r="F6377" s="1"/>
      <c r="J6377" s="2"/>
      <c r="K6377" s="7"/>
    </row>
    <row r="6378" spans="1:11" x14ac:dyDescent="0.35">
      <c r="A6378" s="13"/>
      <c r="E6378" s="8"/>
      <c r="F6378" s="1"/>
      <c r="J6378" s="2"/>
      <c r="K6378" s="7"/>
    </row>
    <row r="6379" spans="1:11" x14ac:dyDescent="0.35">
      <c r="A6379" s="13"/>
      <c r="E6379" s="8"/>
      <c r="F6379" s="1"/>
      <c r="J6379" s="2"/>
      <c r="K6379" s="7"/>
    </row>
    <row r="6380" spans="1:11" x14ac:dyDescent="0.35">
      <c r="A6380" s="13"/>
      <c r="E6380" s="8"/>
      <c r="F6380" s="1"/>
      <c r="J6380" s="2"/>
      <c r="K6380" s="7"/>
    </row>
    <row r="6381" spans="1:11" x14ac:dyDescent="0.35">
      <c r="A6381" s="13"/>
      <c r="E6381" s="8"/>
      <c r="F6381" s="1"/>
      <c r="J6381" s="2"/>
      <c r="K6381" s="7"/>
    </row>
    <row r="6382" spans="1:11" x14ac:dyDescent="0.35">
      <c r="A6382" s="13"/>
      <c r="E6382" s="8"/>
      <c r="F6382" s="1"/>
      <c r="J6382" s="2"/>
      <c r="K6382" s="7"/>
    </row>
    <row r="6383" spans="1:11" x14ac:dyDescent="0.35">
      <c r="A6383" s="13"/>
      <c r="E6383" s="8"/>
      <c r="F6383" s="1"/>
      <c r="J6383" s="2"/>
      <c r="K6383" s="7"/>
    </row>
    <row r="6384" spans="1:11" x14ac:dyDescent="0.35">
      <c r="A6384" s="13"/>
      <c r="E6384" s="8"/>
      <c r="F6384" s="1"/>
      <c r="J6384" s="2"/>
      <c r="K6384" s="7"/>
    </row>
    <row r="6385" spans="1:11" x14ac:dyDescent="0.35">
      <c r="A6385" s="13"/>
      <c r="E6385" s="8"/>
      <c r="F6385" s="1"/>
      <c r="J6385" s="2"/>
      <c r="K6385" s="7"/>
    </row>
    <row r="6386" spans="1:11" x14ac:dyDescent="0.35">
      <c r="A6386" s="13"/>
      <c r="E6386" s="8"/>
      <c r="F6386" s="1"/>
      <c r="J6386" s="2"/>
      <c r="K6386" s="7"/>
    </row>
    <row r="6387" spans="1:11" x14ac:dyDescent="0.35">
      <c r="A6387" s="13"/>
      <c r="E6387" s="8"/>
      <c r="F6387" s="1"/>
      <c r="J6387" s="2"/>
      <c r="K6387" s="7"/>
    </row>
    <row r="6388" spans="1:11" x14ac:dyDescent="0.35">
      <c r="A6388" s="13"/>
      <c r="E6388" s="8"/>
      <c r="F6388" s="1"/>
      <c r="J6388" s="2"/>
      <c r="K6388" s="7"/>
    </row>
    <row r="6389" spans="1:11" x14ac:dyDescent="0.35">
      <c r="A6389" s="13"/>
      <c r="E6389" s="8"/>
      <c r="F6389" s="1"/>
      <c r="J6389" s="2"/>
      <c r="K6389" s="7"/>
    </row>
    <row r="6390" spans="1:11" x14ac:dyDescent="0.35">
      <c r="A6390" s="13"/>
      <c r="E6390" s="8"/>
      <c r="F6390" s="1"/>
      <c r="J6390" s="2"/>
      <c r="K6390" s="7"/>
    </row>
    <row r="6391" spans="1:11" x14ac:dyDescent="0.35">
      <c r="A6391" s="13"/>
      <c r="E6391" s="8"/>
      <c r="F6391" s="1"/>
      <c r="J6391" s="2"/>
      <c r="K6391" s="7"/>
    </row>
    <row r="6392" spans="1:11" x14ac:dyDescent="0.35">
      <c r="A6392" s="13"/>
      <c r="E6392" s="8"/>
      <c r="F6392" s="1"/>
      <c r="J6392" s="2"/>
      <c r="K6392" s="7"/>
    </row>
    <row r="6393" spans="1:11" x14ac:dyDescent="0.35">
      <c r="A6393" s="13"/>
      <c r="E6393" s="8"/>
      <c r="F6393" s="1"/>
      <c r="J6393" s="2"/>
      <c r="K6393" s="7"/>
    </row>
    <row r="6394" spans="1:11" x14ac:dyDescent="0.35">
      <c r="A6394" s="13"/>
      <c r="E6394" s="8"/>
      <c r="F6394" s="1"/>
      <c r="J6394" s="2"/>
      <c r="K6394" s="7"/>
    </row>
    <row r="6395" spans="1:11" x14ac:dyDescent="0.35">
      <c r="A6395" s="13"/>
      <c r="E6395" s="8"/>
      <c r="F6395" s="1"/>
      <c r="J6395" s="2"/>
      <c r="K6395" s="7"/>
    </row>
    <row r="6396" spans="1:11" x14ac:dyDescent="0.35">
      <c r="A6396" s="13"/>
      <c r="E6396" s="8"/>
      <c r="F6396" s="1"/>
      <c r="J6396" s="2"/>
      <c r="K6396" s="7"/>
    </row>
    <row r="6397" spans="1:11" x14ac:dyDescent="0.35">
      <c r="A6397" s="13"/>
      <c r="E6397" s="8"/>
      <c r="F6397" s="1"/>
      <c r="J6397" s="2"/>
      <c r="K6397" s="7"/>
    </row>
    <row r="6398" spans="1:11" x14ac:dyDescent="0.35">
      <c r="A6398" s="13"/>
      <c r="E6398" s="8"/>
      <c r="F6398" s="1"/>
      <c r="J6398" s="2"/>
      <c r="K6398" s="7"/>
    </row>
    <row r="6399" spans="1:11" x14ac:dyDescent="0.35">
      <c r="A6399" s="13"/>
      <c r="E6399" s="8"/>
      <c r="F6399" s="1"/>
      <c r="J6399" s="2"/>
      <c r="K6399" s="7"/>
    </row>
    <row r="6400" spans="1:11" x14ac:dyDescent="0.35">
      <c r="A6400" s="13"/>
      <c r="E6400" s="8"/>
      <c r="F6400" s="1"/>
      <c r="J6400" s="2"/>
      <c r="K6400" s="7"/>
    </row>
    <row r="6401" spans="1:11" x14ac:dyDescent="0.35">
      <c r="A6401" s="13"/>
      <c r="E6401" s="8"/>
      <c r="F6401" s="1"/>
      <c r="J6401" s="2"/>
      <c r="K6401" s="7"/>
    </row>
    <row r="6402" spans="1:11" x14ac:dyDescent="0.35">
      <c r="A6402" s="13"/>
      <c r="E6402" s="8"/>
      <c r="F6402" s="1"/>
      <c r="J6402" s="2"/>
      <c r="K6402" s="7"/>
    </row>
    <row r="6403" spans="1:11" x14ac:dyDescent="0.35">
      <c r="A6403" s="13"/>
      <c r="E6403" s="8"/>
      <c r="F6403" s="1"/>
      <c r="J6403" s="2"/>
      <c r="K6403" s="7"/>
    </row>
    <row r="6404" spans="1:11" x14ac:dyDescent="0.35">
      <c r="A6404" s="13"/>
      <c r="E6404" s="8"/>
      <c r="F6404" s="1"/>
      <c r="J6404" s="2"/>
      <c r="K6404" s="7"/>
    </row>
    <row r="6405" spans="1:11" x14ac:dyDescent="0.35">
      <c r="A6405" s="13"/>
      <c r="E6405" s="8"/>
      <c r="F6405" s="1"/>
      <c r="J6405" s="2"/>
      <c r="K6405" s="7"/>
    </row>
    <row r="6406" spans="1:11" x14ac:dyDescent="0.35">
      <c r="A6406" s="13"/>
      <c r="E6406" s="8"/>
      <c r="F6406" s="1"/>
      <c r="J6406" s="2"/>
      <c r="K6406" s="7"/>
    </row>
    <row r="6407" spans="1:11" x14ac:dyDescent="0.35">
      <c r="A6407" s="13"/>
      <c r="E6407" s="8"/>
      <c r="F6407" s="1"/>
      <c r="J6407" s="2"/>
      <c r="K6407" s="7"/>
    </row>
    <row r="6408" spans="1:11" x14ac:dyDescent="0.35">
      <c r="A6408" s="13"/>
      <c r="E6408" s="8"/>
      <c r="F6408" s="1"/>
      <c r="J6408" s="2"/>
      <c r="K6408" s="7"/>
    </row>
    <row r="6409" spans="1:11" x14ac:dyDescent="0.35">
      <c r="A6409" s="13"/>
      <c r="E6409" s="8"/>
      <c r="F6409" s="1"/>
      <c r="J6409" s="2"/>
      <c r="K6409" s="7"/>
    </row>
    <row r="6410" spans="1:11" x14ac:dyDescent="0.35">
      <c r="A6410" s="13"/>
      <c r="E6410" s="8"/>
      <c r="F6410" s="1"/>
      <c r="J6410" s="2"/>
      <c r="K6410" s="7"/>
    </row>
    <row r="6411" spans="1:11" x14ac:dyDescent="0.35">
      <c r="A6411" s="13"/>
      <c r="E6411" s="8"/>
      <c r="F6411" s="1"/>
      <c r="J6411" s="2"/>
      <c r="K6411" s="7"/>
    </row>
    <row r="6412" spans="1:11" x14ac:dyDescent="0.35">
      <c r="A6412" s="13"/>
      <c r="E6412" s="8"/>
      <c r="F6412" s="1"/>
      <c r="J6412" s="2"/>
      <c r="K6412" s="7"/>
    </row>
    <row r="6413" spans="1:11" x14ac:dyDescent="0.35">
      <c r="A6413" s="13"/>
      <c r="E6413" s="8"/>
      <c r="F6413" s="1"/>
      <c r="J6413" s="2"/>
      <c r="K6413" s="7"/>
    </row>
    <row r="6414" spans="1:11" x14ac:dyDescent="0.35">
      <c r="A6414" s="13"/>
      <c r="E6414" s="8"/>
      <c r="F6414" s="1"/>
      <c r="J6414" s="2"/>
      <c r="K6414" s="7"/>
    </row>
    <row r="6415" spans="1:11" x14ac:dyDescent="0.35">
      <c r="A6415" s="13"/>
      <c r="E6415" s="8"/>
      <c r="F6415" s="1"/>
      <c r="J6415" s="2"/>
      <c r="K6415" s="7"/>
    </row>
    <row r="6416" spans="1:11" x14ac:dyDescent="0.35">
      <c r="A6416" s="13"/>
      <c r="E6416" s="8"/>
      <c r="F6416" s="1"/>
      <c r="J6416" s="2"/>
      <c r="K6416" s="7"/>
    </row>
    <row r="6417" spans="1:11" x14ac:dyDescent="0.35">
      <c r="A6417" s="13"/>
      <c r="E6417" s="8"/>
      <c r="F6417" s="1"/>
      <c r="J6417" s="2"/>
      <c r="K6417" s="7"/>
    </row>
    <row r="6418" spans="1:11" x14ac:dyDescent="0.35">
      <c r="A6418" s="13"/>
      <c r="E6418" s="8"/>
      <c r="F6418" s="1"/>
      <c r="J6418" s="2"/>
      <c r="K6418" s="7"/>
    </row>
    <row r="6419" spans="1:11" x14ac:dyDescent="0.35">
      <c r="A6419" s="13"/>
      <c r="E6419" s="8"/>
      <c r="F6419" s="1"/>
      <c r="J6419" s="2"/>
      <c r="K6419" s="7"/>
    </row>
    <row r="6420" spans="1:11" x14ac:dyDescent="0.35">
      <c r="A6420" s="13"/>
      <c r="E6420" s="8"/>
      <c r="F6420" s="1"/>
      <c r="J6420" s="2"/>
      <c r="K6420" s="7"/>
    </row>
    <row r="6421" spans="1:11" x14ac:dyDescent="0.35">
      <c r="A6421" s="13"/>
      <c r="E6421" s="8"/>
      <c r="F6421" s="1"/>
      <c r="J6421" s="2"/>
      <c r="K6421" s="7"/>
    </row>
    <row r="6422" spans="1:11" x14ac:dyDescent="0.35">
      <c r="A6422" s="13"/>
      <c r="E6422" s="8"/>
      <c r="F6422" s="1"/>
      <c r="J6422" s="2"/>
      <c r="K6422" s="7"/>
    </row>
    <row r="6423" spans="1:11" x14ac:dyDescent="0.35">
      <c r="A6423" s="13"/>
      <c r="E6423" s="8"/>
      <c r="F6423" s="1"/>
      <c r="J6423" s="2"/>
      <c r="K6423" s="7"/>
    </row>
    <row r="6424" spans="1:11" x14ac:dyDescent="0.35">
      <c r="A6424" s="13"/>
      <c r="E6424" s="8"/>
      <c r="F6424" s="1"/>
      <c r="J6424" s="2"/>
      <c r="K6424" s="7"/>
    </row>
    <row r="6425" spans="1:11" x14ac:dyDescent="0.35">
      <c r="A6425" s="13"/>
      <c r="E6425" s="8"/>
      <c r="F6425" s="1"/>
      <c r="J6425" s="2"/>
      <c r="K6425" s="7"/>
    </row>
    <row r="6426" spans="1:11" x14ac:dyDescent="0.35">
      <c r="A6426" s="13"/>
      <c r="E6426" s="8"/>
      <c r="F6426" s="1"/>
      <c r="J6426" s="2"/>
      <c r="K6426" s="7"/>
    </row>
    <row r="6427" spans="1:11" x14ac:dyDescent="0.35">
      <c r="A6427" s="13"/>
      <c r="E6427" s="8"/>
      <c r="F6427" s="1"/>
      <c r="J6427" s="2"/>
      <c r="K6427" s="7"/>
    </row>
    <row r="6428" spans="1:11" x14ac:dyDescent="0.35">
      <c r="A6428" s="13"/>
      <c r="E6428" s="8"/>
      <c r="F6428" s="1"/>
      <c r="J6428" s="2"/>
      <c r="K6428" s="7"/>
    </row>
    <row r="6429" spans="1:11" x14ac:dyDescent="0.35">
      <c r="A6429" s="13"/>
      <c r="E6429" s="8"/>
      <c r="F6429" s="1"/>
      <c r="J6429" s="2"/>
      <c r="K6429" s="7"/>
    </row>
    <row r="6430" spans="1:11" x14ac:dyDescent="0.35">
      <c r="A6430" s="13"/>
      <c r="E6430" s="8"/>
      <c r="F6430" s="1"/>
      <c r="J6430" s="2"/>
      <c r="K6430" s="7"/>
    </row>
    <row r="6431" spans="1:11" x14ac:dyDescent="0.35">
      <c r="A6431" s="13"/>
      <c r="E6431" s="8"/>
      <c r="F6431" s="1"/>
      <c r="J6431" s="2"/>
      <c r="K6431" s="7"/>
    </row>
    <row r="6432" spans="1:11" x14ac:dyDescent="0.35">
      <c r="A6432" s="13"/>
      <c r="E6432" s="8"/>
      <c r="F6432" s="1"/>
      <c r="J6432" s="2"/>
      <c r="K6432" s="7"/>
    </row>
    <row r="6433" spans="1:11" x14ac:dyDescent="0.35">
      <c r="A6433" s="13"/>
      <c r="E6433" s="8"/>
      <c r="F6433" s="1"/>
      <c r="J6433" s="2"/>
      <c r="K6433" s="7"/>
    </row>
    <row r="6434" spans="1:11" x14ac:dyDescent="0.35">
      <c r="A6434" s="13"/>
      <c r="E6434" s="8"/>
      <c r="F6434" s="1"/>
      <c r="J6434" s="2"/>
      <c r="K6434" s="7"/>
    </row>
    <row r="6435" spans="1:11" x14ac:dyDescent="0.35">
      <c r="A6435" s="13"/>
      <c r="E6435" s="8"/>
      <c r="F6435" s="1"/>
      <c r="J6435" s="2"/>
      <c r="K6435" s="7"/>
    </row>
    <row r="6436" spans="1:11" x14ac:dyDescent="0.35">
      <c r="A6436" s="13"/>
      <c r="E6436" s="8"/>
      <c r="F6436" s="1"/>
      <c r="J6436" s="2"/>
      <c r="K6436" s="7"/>
    </row>
    <row r="6437" spans="1:11" x14ac:dyDescent="0.35">
      <c r="A6437" s="13"/>
      <c r="E6437" s="8"/>
      <c r="F6437" s="1"/>
      <c r="J6437" s="2"/>
      <c r="K6437" s="7"/>
    </row>
    <row r="6438" spans="1:11" x14ac:dyDescent="0.35">
      <c r="A6438" s="13"/>
      <c r="E6438" s="8"/>
      <c r="F6438" s="1"/>
      <c r="J6438" s="2"/>
      <c r="K6438" s="7"/>
    </row>
    <row r="6439" spans="1:11" x14ac:dyDescent="0.35">
      <c r="A6439" s="13"/>
      <c r="E6439" s="8"/>
      <c r="F6439" s="1"/>
      <c r="J6439" s="2"/>
      <c r="K6439" s="7"/>
    </row>
    <row r="6440" spans="1:11" x14ac:dyDescent="0.35">
      <c r="A6440" s="13"/>
      <c r="E6440" s="8"/>
      <c r="F6440" s="1"/>
      <c r="J6440" s="2"/>
      <c r="K6440" s="7"/>
    </row>
    <row r="6441" spans="1:11" x14ac:dyDescent="0.35">
      <c r="A6441" s="13"/>
      <c r="E6441" s="8"/>
      <c r="F6441" s="1"/>
      <c r="J6441" s="2"/>
      <c r="K6441" s="7"/>
    </row>
    <row r="6442" spans="1:11" x14ac:dyDescent="0.35">
      <c r="A6442" s="13"/>
      <c r="E6442" s="8"/>
      <c r="F6442" s="1"/>
      <c r="J6442" s="2"/>
      <c r="K6442" s="7"/>
    </row>
    <row r="6443" spans="1:11" x14ac:dyDescent="0.35">
      <c r="A6443" s="13"/>
      <c r="E6443" s="8"/>
      <c r="F6443" s="1"/>
      <c r="J6443" s="2"/>
      <c r="K6443" s="7"/>
    </row>
    <row r="6444" spans="1:11" x14ac:dyDescent="0.35">
      <c r="A6444" s="13"/>
      <c r="E6444" s="8"/>
      <c r="F6444" s="1"/>
      <c r="J6444" s="2"/>
      <c r="K6444" s="7"/>
    </row>
    <row r="6445" spans="1:11" x14ac:dyDescent="0.35">
      <c r="A6445" s="13"/>
      <c r="E6445" s="8"/>
      <c r="F6445" s="1"/>
      <c r="J6445" s="2"/>
      <c r="K6445" s="7"/>
    </row>
    <row r="6446" spans="1:11" x14ac:dyDescent="0.35">
      <c r="A6446" s="13"/>
      <c r="E6446" s="8"/>
      <c r="F6446" s="1"/>
      <c r="J6446" s="2"/>
      <c r="K6446" s="7"/>
    </row>
    <row r="6447" spans="1:11" x14ac:dyDescent="0.35">
      <c r="A6447" s="13"/>
      <c r="E6447" s="8"/>
      <c r="F6447" s="1"/>
      <c r="J6447" s="2"/>
      <c r="K6447" s="7"/>
    </row>
    <row r="6448" spans="1:11" x14ac:dyDescent="0.35">
      <c r="A6448" s="13"/>
      <c r="E6448" s="8"/>
      <c r="F6448" s="1"/>
      <c r="J6448" s="2"/>
      <c r="K6448" s="7"/>
    </row>
    <row r="6449" spans="1:11" x14ac:dyDescent="0.35">
      <c r="A6449" s="13"/>
      <c r="E6449" s="8"/>
      <c r="F6449" s="1"/>
      <c r="J6449" s="2"/>
      <c r="K6449" s="7"/>
    </row>
    <row r="6450" spans="1:11" x14ac:dyDescent="0.35">
      <c r="A6450" s="13"/>
      <c r="E6450" s="8"/>
      <c r="F6450" s="1"/>
      <c r="J6450" s="2"/>
      <c r="K6450" s="7"/>
    </row>
    <row r="6451" spans="1:11" x14ac:dyDescent="0.35">
      <c r="A6451" s="13"/>
      <c r="E6451" s="8"/>
      <c r="F6451" s="1"/>
      <c r="J6451" s="2"/>
      <c r="K6451" s="7"/>
    </row>
    <row r="6452" spans="1:11" x14ac:dyDescent="0.35">
      <c r="A6452" s="13"/>
      <c r="E6452" s="8"/>
      <c r="F6452" s="1"/>
      <c r="J6452" s="2"/>
      <c r="K6452" s="7"/>
    </row>
    <row r="6453" spans="1:11" x14ac:dyDescent="0.35">
      <c r="A6453" s="13"/>
      <c r="E6453" s="8"/>
      <c r="F6453" s="1"/>
      <c r="J6453" s="2"/>
      <c r="K6453" s="7"/>
    </row>
    <row r="6454" spans="1:11" x14ac:dyDescent="0.35">
      <c r="A6454" s="13"/>
      <c r="E6454" s="8"/>
      <c r="F6454" s="1"/>
      <c r="J6454" s="2"/>
      <c r="K6454" s="7"/>
    </row>
    <row r="6455" spans="1:11" x14ac:dyDescent="0.35">
      <c r="A6455" s="13"/>
      <c r="E6455" s="8"/>
      <c r="F6455" s="1"/>
      <c r="J6455" s="2"/>
      <c r="K6455" s="7"/>
    </row>
    <row r="6456" spans="1:11" x14ac:dyDescent="0.35">
      <c r="A6456" s="13"/>
      <c r="E6456" s="8"/>
      <c r="F6456" s="1"/>
      <c r="J6456" s="2"/>
      <c r="K6456" s="7"/>
    </row>
    <row r="6457" spans="1:11" x14ac:dyDescent="0.35">
      <c r="A6457" s="13"/>
      <c r="E6457" s="8"/>
      <c r="F6457" s="1"/>
      <c r="J6457" s="2"/>
      <c r="K6457" s="7"/>
    </row>
    <row r="6458" spans="1:11" x14ac:dyDescent="0.35">
      <c r="A6458" s="13"/>
      <c r="E6458" s="8"/>
      <c r="F6458" s="1"/>
      <c r="J6458" s="2"/>
      <c r="K6458" s="7"/>
    </row>
    <row r="6459" spans="1:11" x14ac:dyDescent="0.35">
      <c r="A6459" s="13"/>
      <c r="E6459" s="8"/>
      <c r="F6459" s="1"/>
      <c r="J6459" s="2"/>
      <c r="K6459" s="7"/>
    </row>
    <row r="6460" spans="1:11" x14ac:dyDescent="0.35">
      <c r="A6460" s="13"/>
      <c r="E6460" s="8"/>
      <c r="F6460" s="1"/>
      <c r="J6460" s="2"/>
      <c r="K6460" s="7"/>
    </row>
    <row r="6461" spans="1:11" x14ac:dyDescent="0.35">
      <c r="A6461" s="13"/>
      <c r="E6461" s="8"/>
      <c r="F6461" s="1"/>
      <c r="J6461" s="2"/>
      <c r="K6461" s="7"/>
    </row>
    <row r="6462" spans="1:11" x14ac:dyDescent="0.35">
      <c r="A6462" s="13"/>
      <c r="E6462" s="8"/>
      <c r="F6462" s="1"/>
      <c r="J6462" s="2"/>
      <c r="K6462" s="7"/>
    </row>
    <row r="6463" spans="1:11" x14ac:dyDescent="0.35">
      <c r="A6463" s="13"/>
      <c r="E6463" s="8"/>
      <c r="F6463" s="1"/>
      <c r="J6463" s="2"/>
      <c r="K6463" s="7"/>
    </row>
    <row r="6464" spans="1:11" x14ac:dyDescent="0.35">
      <c r="A6464" s="13"/>
      <c r="E6464" s="8"/>
      <c r="F6464" s="1"/>
      <c r="J6464" s="2"/>
      <c r="K6464" s="7"/>
    </row>
    <row r="6465" spans="1:11" x14ac:dyDescent="0.35">
      <c r="A6465" s="13"/>
      <c r="E6465" s="8"/>
      <c r="F6465" s="1"/>
      <c r="J6465" s="2"/>
      <c r="K6465" s="7"/>
    </row>
    <row r="6466" spans="1:11" x14ac:dyDescent="0.35">
      <c r="A6466" s="13"/>
      <c r="E6466" s="8"/>
      <c r="F6466" s="1"/>
      <c r="J6466" s="2"/>
      <c r="K6466" s="7"/>
    </row>
    <row r="6467" spans="1:11" x14ac:dyDescent="0.35">
      <c r="A6467" s="13"/>
      <c r="E6467" s="8"/>
      <c r="F6467" s="1"/>
      <c r="J6467" s="2"/>
      <c r="K6467" s="7"/>
    </row>
    <row r="6468" spans="1:11" x14ac:dyDescent="0.35">
      <c r="A6468" s="13"/>
      <c r="E6468" s="8"/>
      <c r="F6468" s="1"/>
      <c r="J6468" s="2"/>
      <c r="K6468" s="7"/>
    </row>
    <row r="6469" spans="1:11" x14ac:dyDescent="0.35">
      <c r="A6469" s="13"/>
      <c r="E6469" s="8"/>
      <c r="F6469" s="1"/>
      <c r="J6469" s="2"/>
      <c r="K6469" s="7"/>
    </row>
    <row r="6470" spans="1:11" x14ac:dyDescent="0.35">
      <c r="A6470" s="13"/>
      <c r="E6470" s="8"/>
      <c r="F6470" s="1"/>
      <c r="J6470" s="2"/>
      <c r="K6470" s="7"/>
    </row>
    <row r="6471" spans="1:11" x14ac:dyDescent="0.35">
      <c r="A6471" s="13"/>
      <c r="E6471" s="8"/>
      <c r="F6471" s="1"/>
      <c r="J6471" s="2"/>
      <c r="K6471" s="7"/>
    </row>
    <row r="6472" spans="1:11" x14ac:dyDescent="0.35">
      <c r="A6472" s="13"/>
      <c r="E6472" s="8"/>
      <c r="F6472" s="1"/>
      <c r="J6472" s="2"/>
      <c r="K6472" s="7"/>
    </row>
    <row r="6473" spans="1:11" x14ac:dyDescent="0.35">
      <c r="A6473" s="13"/>
      <c r="E6473" s="8"/>
      <c r="F6473" s="1"/>
      <c r="J6473" s="2"/>
      <c r="K6473" s="7"/>
    </row>
    <row r="6474" spans="1:11" x14ac:dyDescent="0.35">
      <c r="A6474" s="13"/>
      <c r="E6474" s="8"/>
      <c r="F6474" s="1"/>
      <c r="J6474" s="2"/>
      <c r="K6474" s="7"/>
    </row>
    <row r="6475" spans="1:11" x14ac:dyDescent="0.35">
      <c r="A6475" s="13"/>
      <c r="E6475" s="8"/>
      <c r="F6475" s="1"/>
      <c r="J6475" s="2"/>
      <c r="K6475" s="7"/>
    </row>
    <row r="6476" spans="1:11" x14ac:dyDescent="0.35">
      <c r="A6476" s="13"/>
      <c r="E6476" s="8"/>
      <c r="F6476" s="1"/>
      <c r="J6476" s="2"/>
      <c r="K6476" s="7"/>
    </row>
    <row r="6477" spans="1:11" x14ac:dyDescent="0.35">
      <c r="A6477" s="13"/>
      <c r="E6477" s="8"/>
      <c r="F6477" s="1"/>
      <c r="J6477" s="2"/>
      <c r="K6477" s="7"/>
    </row>
    <row r="6478" spans="1:11" x14ac:dyDescent="0.35">
      <c r="A6478" s="13"/>
      <c r="E6478" s="8"/>
      <c r="F6478" s="1"/>
      <c r="J6478" s="2"/>
      <c r="K6478" s="7"/>
    </row>
    <row r="6479" spans="1:11" x14ac:dyDescent="0.35">
      <c r="A6479" s="13"/>
      <c r="E6479" s="8"/>
      <c r="F6479" s="1"/>
      <c r="J6479" s="2"/>
      <c r="K6479" s="7"/>
    </row>
    <row r="6480" spans="1:11" x14ac:dyDescent="0.35">
      <c r="A6480" s="13"/>
      <c r="E6480" s="8"/>
      <c r="F6480" s="1"/>
      <c r="J6480" s="2"/>
      <c r="K6480" s="7"/>
    </row>
    <row r="6481" spans="1:11" x14ac:dyDescent="0.35">
      <c r="A6481" s="13"/>
      <c r="E6481" s="8"/>
      <c r="F6481" s="1"/>
      <c r="J6481" s="2"/>
      <c r="K6481" s="7"/>
    </row>
    <row r="6482" spans="1:11" x14ac:dyDescent="0.35">
      <c r="A6482" s="13"/>
      <c r="E6482" s="8"/>
      <c r="F6482" s="1"/>
      <c r="J6482" s="2"/>
      <c r="K6482" s="7"/>
    </row>
    <row r="6483" spans="1:11" x14ac:dyDescent="0.35">
      <c r="A6483" s="13"/>
      <c r="E6483" s="8"/>
      <c r="F6483" s="1"/>
      <c r="J6483" s="2"/>
      <c r="K6483" s="7"/>
    </row>
    <row r="6484" spans="1:11" x14ac:dyDescent="0.35">
      <c r="A6484" s="13"/>
      <c r="E6484" s="8"/>
      <c r="F6484" s="1"/>
      <c r="J6484" s="2"/>
      <c r="K6484" s="7"/>
    </row>
    <row r="6485" spans="1:11" x14ac:dyDescent="0.35">
      <c r="A6485" s="13"/>
      <c r="E6485" s="8"/>
      <c r="F6485" s="1"/>
      <c r="J6485" s="2"/>
      <c r="K6485" s="7"/>
    </row>
    <row r="6486" spans="1:11" x14ac:dyDescent="0.35">
      <c r="A6486" s="13"/>
      <c r="E6486" s="8"/>
      <c r="F6486" s="1"/>
      <c r="J6486" s="2"/>
      <c r="K6486" s="7"/>
    </row>
    <row r="6487" spans="1:11" x14ac:dyDescent="0.35">
      <c r="A6487" s="13"/>
      <c r="E6487" s="8"/>
      <c r="F6487" s="1"/>
      <c r="J6487" s="2"/>
      <c r="K6487" s="7"/>
    </row>
    <row r="6488" spans="1:11" x14ac:dyDescent="0.35">
      <c r="A6488" s="13"/>
      <c r="E6488" s="8"/>
      <c r="F6488" s="1"/>
      <c r="J6488" s="2"/>
      <c r="K6488" s="7"/>
    </row>
    <row r="6489" spans="1:11" x14ac:dyDescent="0.35">
      <c r="A6489" s="13"/>
      <c r="E6489" s="8"/>
      <c r="F6489" s="1"/>
      <c r="J6489" s="2"/>
      <c r="K6489" s="7"/>
    </row>
    <row r="6490" spans="1:11" x14ac:dyDescent="0.35">
      <c r="A6490" s="13"/>
      <c r="E6490" s="8"/>
      <c r="F6490" s="1"/>
      <c r="J6490" s="2"/>
      <c r="K6490" s="7"/>
    </row>
    <row r="6491" spans="1:11" x14ac:dyDescent="0.35">
      <c r="A6491" s="13"/>
      <c r="E6491" s="8"/>
      <c r="F6491" s="1"/>
      <c r="J6491" s="2"/>
      <c r="K6491" s="7"/>
    </row>
    <row r="6492" spans="1:11" x14ac:dyDescent="0.35">
      <c r="A6492" s="13"/>
      <c r="E6492" s="8"/>
      <c r="F6492" s="1"/>
      <c r="J6492" s="2"/>
      <c r="K6492" s="7"/>
    </row>
    <row r="6493" spans="1:11" x14ac:dyDescent="0.35">
      <c r="A6493" s="13"/>
      <c r="E6493" s="8"/>
      <c r="F6493" s="1"/>
      <c r="J6493" s="2"/>
      <c r="K6493" s="7"/>
    </row>
    <row r="6494" spans="1:11" x14ac:dyDescent="0.35">
      <c r="A6494" s="13"/>
      <c r="E6494" s="8"/>
      <c r="F6494" s="1"/>
      <c r="J6494" s="2"/>
      <c r="K6494" s="7"/>
    </row>
    <row r="6495" spans="1:11" x14ac:dyDescent="0.35">
      <c r="A6495" s="13"/>
      <c r="E6495" s="8"/>
      <c r="F6495" s="1"/>
      <c r="J6495" s="2"/>
      <c r="K6495" s="7"/>
    </row>
    <row r="6496" spans="1:11" x14ac:dyDescent="0.35">
      <c r="A6496" s="13"/>
      <c r="E6496" s="8"/>
      <c r="F6496" s="1"/>
      <c r="J6496" s="2"/>
      <c r="K6496" s="7"/>
    </row>
    <row r="6497" spans="1:11" x14ac:dyDescent="0.35">
      <c r="A6497" s="13"/>
      <c r="E6497" s="8"/>
      <c r="F6497" s="1"/>
      <c r="J6497" s="2"/>
      <c r="K6497" s="7"/>
    </row>
    <row r="6498" spans="1:11" x14ac:dyDescent="0.35">
      <c r="A6498" s="13"/>
      <c r="E6498" s="8"/>
      <c r="F6498" s="1"/>
      <c r="J6498" s="2"/>
      <c r="K6498" s="7"/>
    </row>
    <row r="6499" spans="1:11" x14ac:dyDescent="0.35">
      <c r="A6499" s="13"/>
      <c r="E6499" s="8"/>
      <c r="F6499" s="1"/>
      <c r="J6499" s="2"/>
      <c r="K6499" s="7"/>
    </row>
    <row r="6500" spans="1:11" x14ac:dyDescent="0.35">
      <c r="A6500" s="13"/>
      <c r="E6500" s="8"/>
      <c r="F6500" s="1"/>
      <c r="J6500" s="2"/>
      <c r="K6500" s="7"/>
    </row>
    <row r="6501" spans="1:11" x14ac:dyDescent="0.35">
      <c r="A6501" s="13"/>
      <c r="E6501" s="8"/>
      <c r="F6501" s="1"/>
      <c r="J6501" s="2"/>
      <c r="K6501" s="7"/>
    </row>
    <row r="6502" spans="1:11" x14ac:dyDescent="0.35">
      <c r="A6502" s="13"/>
      <c r="E6502" s="8"/>
      <c r="F6502" s="1"/>
      <c r="J6502" s="2"/>
      <c r="K6502" s="7"/>
    </row>
    <row r="6503" spans="1:11" x14ac:dyDescent="0.35">
      <c r="A6503" s="13"/>
      <c r="E6503" s="8"/>
      <c r="F6503" s="1"/>
      <c r="J6503" s="2"/>
      <c r="K6503" s="7"/>
    </row>
    <row r="6504" spans="1:11" x14ac:dyDescent="0.35">
      <c r="A6504" s="13"/>
      <c r="E6504" s="8"/>
      <c r="F6504" s="1"/>
      <c r="J6504" s="2"/>
      <c r="K6504" s="7"/>
    </row>
    <row r="6505" spans="1:11" x14ac:dyDescent="0.35">
      <c r="A6505" s="13"/>
      <c r="E6505" s="8"/>
      <c r="F6505" s="1"/>
      <c r="J6505" s="2"/>
      <c r="K6505" s="7"/>
    </row>
    <row r="6506" spans="1:11" x14ac:dyDescent="0.35">
      <c r="A6506" s="13"/>
      <c r="E6506" s="8"/>
      <c r="F6506" s="1"/>
      <c r="J6506" s="2"/>
      <c r="K6506" s="7"/>
    </row>
    <row r="6507" spans="1:11" x14ac:dyDescent="0.35">
      <c r="A6507" s="13"/>
      <c r="E6507" s="8"/>
      <c r="F6507" s="1"/>
      <c r="J6507" s="2"/>
      <c r="K6507" s="7"/>
    </row>
    <row r="6508" spans="1:11" x14ac:dyDescent="0.35">
      <c r="A6508" s="13"/>
      <c r="E6508" s="8"/>
      <c r="F6508" s="1"/>
      <c r="J6508" s="2"/>
      <c r="K6508" s="7"/>
    </row>
    <row r="6509" spans="1:11" x14ac:dyDescent="0.35">
      <c r="A6509" s="13"/>
      <c r="E6509" s="8"/>
      <c r="F6509" s="1"/>
      <c r="J6509" s="2"/>
      <c r="K6509" s="7"/>
    </row>
    <row r="6510" spans="1:11" x14ac:dyDescent="0.35">
      <c r="A6510" s="13"/>
      <c r="E6510" s="8"/>
      <c r="F6510" s="1"/>
      <c r="J6510" s="2"/>
      <c r="K6510" s="7"/>
    </row>
    <row r="6511" spans="1:11" x14ac:dyDescent="0.35">
      <c r="A6511" s="13"/>
      <c r="E6511" s="8"/>
      <c r="F6511" s="1"/>
      <c r="J6511" s="2"/>
      <c r="K6511" s="7"/>
    </row>
    <row r="6512" spans="1:11" x14ac:dyDescent="0.35">
      <c r="A6512" s="13"/>
      <c r="E6512" s="8"/>
      <c r="F6512" s="1"/>
      <c r="J6512" s="2"/>
      <c r="K6512" s="7"/>
    </row>
    <row r="6513" spans="1:11" x14ac:dyDescent="0.35">
      <c r="A6513" s="13"/>
      <c r="E6513" s="8"/>
      <c r="F6513" s="1"/>
      <c r="J6513" s="2"/>
      <c r="K6513" s="7"/>
    </row>
    <row r="6514" spans="1:11" x14ac:dyDescent="0.35">
      <c r="A6514" s="13"/>
      <c r="E6514" s="8"/>
      <c r="F6514" s="1"/>
      <c r="J6514" s="2"/>
      <c r="K6514" s="7"/>
    </row>
    <row r="6515" spans="1:11" x14ac:dyDescent="0.35">
      <c r="A6515" s="13"/>
      <c r="E6515" s="8"/>
      <c r="F6515" s="1"/>
      <c r="J6515" s="2"/>
      <c r="K6515" s="7"/>
    </row>
    <row r="6516" spans="1:11" x14ac:dyDescent="0.35">
      <c r="A6516" s="13"/>
      <c r="E6516" s="8"/>
      <c r="F6516" s="1"/>
      <c r="J6516" s="2"/>
      <c r="K6516" s="7"/>
    </row>
    <row r="6517" spans="1:11" x14ac:dyDescent="0.35">
      <c r="A6517" s="13"/>
      <c r="E6517" s="8"/>
      <c r="F6517" s="1"/>
      <c r="J6517" s="2"/>
      <c r="K6517" s="7"/>
    </row>
    <row r="6518" spans="1:11" x14ac:dyDescent="0.35">
      <c r="A6518" s="13"/>
      <c r="E6518" s="8"/>
      <c r="F6518" s="1"/>
      <c r="J6518" s="2"/>
      <c r="K6518" s="7"/>
    </row>
    <row r="6519" spans="1:11" x14ac:dyDescent="0.35">
      <c r="A6519" s="13"/>
      <c r="E6519" s="8"/>
      <c r="F6519" s="1"/>
      <c r="J6519" s="2"/>
      <c r="K6519" s="7"/>
    </row>
    <row r="6520" spans="1:11" x14ac:dyDescent="0.35">
      <c r="A6520" s="13"/>
      <c r="E6520" s="8"/>
      <c r="F6520" s="1"/>
      <c r="J6520" s="2"/>
      <c r="K6520" s="7"/>
    </row>
    <row r="6521" spans="1:11" x14ac:dyDescent="0.35">
      <c r="A6521" s="13"/>
      <c r="E6521" s="8"/>
      <c r="F6521" s="1"/>
      <c r="J6521" s="2"/>
      <c r="K6521" s="7"/>
    </row>
    <row r="6522" spans="1:11" x14ac:dyDescent="0.35">
      <c r="A6522" s="13"/>
      <c r="E6522" s="8"/>
      <c r="F6522" s="1"/>
      <c r="J6522" s="2"/>
      <c r="K6522" s="7"/>
    </row>
    <row r="6523" spans="1:11" x14ac:dyDescent="0.35">
      <c r="A6523" s="13"/>
      <c r="E6523" s="8"/>
      <c r="F6523" s="1"/>
      <c r="J6523" s="2"/>
      <c r="K6523" s="7"/>
    </row>
    <row r="6524" spans="1:11" x14ac:dyDescent="0.35">
      <c r="A6524" s="13"/>
      <c r="E6524" s="8"/>
      <c r="F6524" s="1"/>
      <c r="J6524" s="2"/>
      <c r="K6524" s="7"/>
    </row>
    <row r="6525" spans="1:11" x14ac:dyDescent="0.35">
      <c r="A6525" s="13"/>
      <c r="E6525" s="8"/>
      <c r="F6525" s="1"/>
      <c r="J6525" s="2"/>
      <c r="K6525" s="7"/>
    </row>
    <row r="6526" spans="1:11" x14ac:dyDescent="0.35">
      <c r="A6526" s="13"/>
      <c r="E6526" s="8"/>
      <c r="F6526" s="1"/>
      <c r="J6526" s="2"/>
      <c r="K6526" s="7"/>
    </row>
    <row r="6527" spans="1:11" x14ac:dyDescent="0.35">
      <c r="A6527" s="13"/>
      <c r="E6527" s="8"/>
      <c r="F6527" s="1"/>
      <c r="J6527" s="2"/>
      <c r="K6527" s="7"/>
    </row>
    <row r="6528" spans="1:11" x14ac:dyDescent="0.35">
      <c r="A6528" s="13"/>
      <c r="E6528" s="8"/>
      <c r="F6528" s="1"/>
      <c r="J6528" s="2"/>
      <c r="K6528" s="7"/>
    </row>
    <row r="6529" spans="1:11" x14ac:dyDescent="0.35">
      <c r="A6529" s="13"/>
      <c r="E6529" s="8"/>
      <c r="F6529" s="1"/>
      <c r="J6529" s="2"/>
      <c r="K6529" s="7"/>
    </row>
    <row r="6530" spans="1:11" x14ac:dyDescent="0.35">
      <c r="A6530" s="13"/>
      <c r="E6530" s="8"/>
      <c r="F6530" s="1"/>
      <c r="J6530" s="2"/>
      <c r="K6530" s="7"/>
    </row>
    <row r="6531" spans="1:11" x14ac:dyDescent="0.35">
      <c r="A6531" s="13"/>
      <c r="E6531" s="8"/>
      <c r="F6531" s="1"/>
      <c r="J6531" s="2"/>
      <c r="K6531" s="7"/>
    </row>
    <row r="6532" spans="1:11" x14ac:dyDescent="0.35">
      <c r="A6532" s="13"/>
      <c r="E6532" s="8"/>
      <c r="F6532" s="1"/>
      <c r="J6532" s="2"/>
      <c r="K6532" s="7"/>
    </row>
    <row r="6533" spans="1:11" x14ac:dyDescent="0.35">
      <c r="A6533" s="13"/>
      <c r="E6533" s="8"/>
      <c r="F6533" s="1"/>
      <c r="J6533" s="2"/>
      <c r="K6533" s="7"/>
    </row>
    <row r="6534" spans="1:11" x14ac:dyDescent="0.35">
      <c r="A6534" s="13"/>
      <c r="E6534" s="8"/>
      <c r="F6534" s="1"/>
      <c r="J6534" s="2"/>
      <c r="K6534" s="7"/>
    </row>
    <row r="6535" spans="1:11" x14ac:dyDescent="0.35">
      <c r="A6535" s="13"/>
      <c r="E6535" s="8"/>
      <c r="F6535" s="1"/>
      <c r="J6535" s="2"/>
      <c r="K6535" s="7"/>
    </row>
    <row r="6536" spans="1:11" x14ac:dyDescent="0.35">
      <c r="A6536" s="13"/>
      <c r="E6536" s="8"/>
      <c r="F6536" s="1"/>
      <c r="J6536" s="2"/>
      <c r="K6536" s="7"/>
    </row>
    <row r="6537" spans="1:11" x14ac:dyDescent="0.35">
      <c r="A6537" s="13"/>
      <c r="E6537" s="8"/>
      <c r="F6537" s="1"/>
      <c r="J6537" s="2"/>
      <c r="K6537" s="7"/>
    </row>
    <row r="6538" spans="1:11" x14ac:dyDescent="0.35">
      <c r="A6538" s="13"/>
      <c r="E6538" s="8"/>
      <c r="F6538" s="1"/>
      <c r="J6538" s="2"/>
      <c r="K6538" s="7"/>
    </row>
    <row r="6539" spans="1:11" x14ac:dyDescent="0.35">
      <c r="A6539" s="13"/>
      <c r="E6539" s="8"/>
      <c r="F6539" s="1"/>
      <c r="J6539" s="2"/>
      <c r="K6539" s="7"/>
    </row>
    <row r="6540" spans="1:11" x14ac:dyDescent="0.35">
      <c r="A6540" s="13"/>
      <c r="E6540" s="8"/>
      <c r="F6540" s="1"/>
      <c r="J6540" s="2"/>
      <c r="K6540" s="7"/>
    </row>
    <row r="6541" spans="1:11" x14ac:dyDescent="0.35">
      <c r="A6541" s="13"/>
      <c r="E6541" s="8"/>
      <c r="F6541" s="1"/>
      <c r="J6541" s="2"/>
      <c r="K6541" s="7"/>
    </row>
    <row r="6542" spans="1:11" x14ac:dyDescent="0.35">
      <c r="A6542" s="13"/>
      <c r="E6542" s="8"/>
      <c r="F6542" s="1"/>
      <c r="J6542" s="2"/>
      <c r="K6542" s="7"/>
    </row>
    <row r="6543" spans="1:11" x14ac:dyDescent="0.35">
      <c r="A6543" s="13"/>
      <c r="E6543" s="8"/>
      <c r="F6543" s="1"/>
      <c r="J6543" s="2"/>
      <c r="K6543" s="7"/>
    </row>
    <row r="6544" spans="1:11" x14ac:dyDescent="0.35">
      <c r="A6544" s="13"/>
      <c r="E6544" s="8"/>
      <c r="F6544" s="1"/>
      <c r="J6544" s="2"/>
      <c r="K6544" s="7"/>
    </row>
    <row r="6545" spans="1:11" x14ac:dyDescent="0.35">
      <c r="A6545" s="13"/>
      <c r="E6545" s="8"/>
      <c r="F6545" s="1"/>
      <c r="J6545" s="2"/>
      <c r="K6545" s="7"/>
    </row>
    <row r="6546" spans="1:11" x14ac:dyDescent="0.35">
      <c r="A6546" s="13"/>
      <c r="E6546" s="8"/>
      <c r="F6546" s="1"/>
      <c r="J6546" s="2"/>
      <c r="K6546" s="7"/>
    </row>
    <row r="6547" spans="1:11" x14ac:dyDescent="0.35">
      <c r="A6547" s="13"/>
      <c r="E6547" s="8"/>
      <c r="F6547" s="1"/>
      <c r="J6547" s="2"/>
      <c r="K6547" s="7"/>
    </row>
    <row r="6548" spans="1:11" x14ac:dyDescent="0.35">
      <c r="A6548" s="13"/>
      <c r="E6548" s="8"/>
      <c r="F6548" s="1"/>
      <c r="J6548" s="2"/>
      <c r="K6548" s="7"/>
    </row>
    <row r="6549" spans="1:11" x14ac:dyDescent="0.35">
      <c r="A6549" s="13"/>
      <c r="E6549" s="8"/>
      <c r="F6549" s="1"/>
      <c r="J6549" s="2"/>
      <c r="K6549" s="7"/>
    </row>
    <row r="6550" spans="1:11" x14ac:dyDescent="0.35">
      <c r="A6550" s="13"/>
      <c r="E6550" s="8"/>
      <c r="F6550" s="1"/>
      <c r="J6550" s="2"/>
      <c r="K6550" s="7"/>
    </row>
    <row r="6551" spans="1:11" x14ac:dyDescent="0.35">
      <c r="A6551" s="13"/>
      <c r="E6551" s="8"/>
      <c r="F6551" s="1"/>
      <c r="J6551" s="2"/>
      <c r="K6551" s="7"/>
    </row>
    <row r="6552" spans="1:11" x14ac:dyDescent="0.35">
      <c r="A6552" s="13"/>
      <c r="E6552" s="8"/>
      <c r="F6552" s="1"/>
      <c r="J6552" s="2"/>
      <c r="K6552" s="7"/>
    </row>
    <row r="6553" spans="1:11" x14ac:dyDescent="0.35">
      <c r="A6553" s="13"/>
      <c r="E6553" s="8"/>
      <c r="F6553" s="1"/>
      <c r="J6553" s="2"/>
      <c r="K6553" s="7"/>
    </row>
    <row r="6554" spans="1:11" x14ac:dyDescent="0.35">
      <c r="A6554" s="13"/>
      <c r="E6554" s="8"/>
      <c r="F6554" s="1"/>
      <c r="J6554" s="2"/>
      <c r="K6554" s="7"/>
    </row>
    <row r="6555" spans="1:11" x14ac:dyDescent="0.35">
      <c r="A6555" s="13"/>
      <c r="E6555" s="8"/>
      <c r="F6555" s="1"/>
      <c r="J6555" s="2"/>
      <c r="K6555" s="7"/>
    </row>
    <row r="6556" spans="1:11" x14ac:dyDescent="0.35">
      <c r="A6556" s="13"/>
      <c r="E6556" s="8"/>
      <c r="F6556" s="1"/>
      <c r="J6556" s="2"/>
      <c r="K6556" s="7"/>
    </row>
    <row r="6557" spans="1:11" x14ac:dyDescent="0.35">
      <c r="A6557" s="13"/>
      <c r="E6557" s="8"/>
      <c r="F6557" s="1"/>
      <c r="J6557" s="2"/>
      <c r="K6557" s="7"/>
    </row>
    <row r="6558" spans="1:11" x14ac:dyDescent="0.35">
      <c r="A6558" s="13"/>
      <c r="E6558" s="8"/>
      <c r="F6558" s="1"/>
      <c r="J6558" s="2"/>
      <c r="K6558" s="7"/>
    </row>
    <row r="6559" spans="1:11" x14ac:dyDescent="0.35">
      <c r="A6559" s="13"/>
      <c r="E6559" s="8"/>
      <c r="F6559" s="1"/>
      <c r="J6559" s="2"/>
      <c r="K6559" s="7"/>
    </row>
    <row r="6560" spans="1:11" x14ac:dyDescent="0.35">
      <c r="A6560" s="13"/>
      <c r="E6560" s="8"/>
      <c r="F6560" s="1"/>
      <c r="J6560" s="2"/>
      <c r="K6560" s="7"/>
    </row>
    <row r="6561" spans="1:11" x14ac:dyDescent="0.35">
      <c r="A6561" s="13"/>
      <c r="E6561" s="8"/>
      <c r="F6561" s="1"/>
      <c r="J6561" s="2"/>
      <c r="K6561" s="7"/>
    </row>
    <row r="6562" spans="1:11" x14ac:dyDescent="0.35">
      <c r="A6562" s="13"/>
      <c r="E6562" s="8"/>
      <c r="F6562" s="1"/>
      <c r="J6562" s="2"/>
      <c r="K6562" s="7"/>
    </row>
    <row r="6563" spans="1:11" x14ac:dyDescent="0.35">
      <c r="A6563" s="13"/>
      <c r="E6563" s="8"/>
      <c r="F6563" s="1"/>
      <c r="J6563" s="2"/>
      <c r="K6563" s="7"/>
    </row>
    <row r="6564" spans="1:11" x14ac:dyDescent="0.35">
      <c r="A6564" s="13"/>
      <c r="E6564" s="8"/>
      <c r="F6564" s="1"/>
      <c r="J6564" s="2"/>
      <c r="K6564" s="7"/>
    </row>
    <row r="6565" spans="1:11" x14ac:dyDescent="0.35">
      <c r="A6565" s="13"/>
      <c r="E6565" s="8"/>
      <c r="F6565" s="1"/>
      <c r="J6565" s="2"/>
      <c r="K6565" s="7"/>
    </row>
    <row r="6566" spans="1:11" x14ac:dyDescent="0.35">
      <c r="A6566" s="13"/>
      <c r="E6566" s="8"/>
      <c r="F6566" s="1"/>
      <c r="J6566" s="2"/>
      <c r="K6566" s="7"/>
    </row>
    <row r="6567" spans="1:11" x14ac:dyDescent="0.35">
      <c r="A6567" s="13"/>
      <c r="E6567" s="8"/>
      <c r="F6567" s="1"/>
      <c r="J6567" s="2"/>
      <c r="K6567" s="7"/>
    </row>
    <row r="6568" spans="1:11" x14ac:dyDescent="0.35">
      <c r="A6568" s="13"/>
      <c r="E6568" s="8"/>
      <c r="F6568" s="1"/>
      <c r="J6568" s="2"/>
      <c r="K6568" s="7"/>
    </row>
    <row r="6569" spans="1:11" x14ac:dyDescent="0.35">
      <c r="A6569" s="13"/>
      <c r="E6569" s="8"/>
      <c r="F6569" s="1"/>
      <c r="J6569" s="2"/>
      <c r="K6569" s="7"/>
    </row>
    <row r="6570" spans="1:11" x14ac:dyDescent="0.35">
      <c r="A6570" s="13"/>
      <c r="E6570" s="8"/>
      <c r="F6570" s="1"/>
      <c r="J6570" s="2"/>
      <c r="K6570" s="7"/>
    </row>
    <row r="6571" spans="1:11" x14ac:dyDescent="0.35">
      <c r="A6571" s="13"/>
      <c r="E6571" s="8"/>
      <c r="F6571" s="1"/>
      <c r="J6571" s="2"/>
      <c r="K6571" s="7"/>
    </row>
    <row r="6572" spans="1:11" x14ac:dyDescent="0.35">
      <c r="A6572" s="13"/>
      <c r="E6572" s="8"/>
      <c r="F6572" s="1"/>
      <c r="J6572" s="2"/>
      <c r="K6572" s="7"/>
    </row>
    <row r="6573" spans="1:11" x14ac:dyDescent="0.35">
      <c r="A6573" s="13"/>
      <c r="E6573" s="8"/>
      <c r="F6573" s="1"/>
      <c r="J6573" s="2"/>
      <c r="K6573" s="7"/>
    </row>
    <row r="6574" spans="1:11" x14ac:dyDescent="0.35">
      <c r="A6574" s="13"/>
      <c r="E6574" s="8"/>
      <c r="F6574" s="1"/>
      <c r="J6574" s="2"/>
      <c r="K6574" s="7"/>
    </row>
    <row r="6575" spans="1:11" x14ac:dyDescent="0.35">
      <c r="A6575" s="13"/>
      <c r="E6575" s="8"/>
      <c r="F6575" s="1"/>
      <c r="J6575" s="2"/>
      <c r="K6575" s="7"/>
    </row>
    <row r="6576" spans="1:11" x14ac:dyDescent="0.35">
      <c r="A6576" s="13"/>
      <c r="E6576" s="8"/>
      <c r="F6576" s="1"/>
      <c r="J6576" s="2"/>
      <c r="K6576" s="7"/>
    </row>
    <row r="6577" spans="1:11" x14ac:dyDescent="0.35">
      <c r="A6577" s="13"/>
      <c r="E6577" s="8"/>
      <c r="F6577" s="1"/>
      <c r="J6577" s="2"/>
      <c r="K6577" s="7"/>
    </row>
    <row r="6578" spans="1:11" x14ac:dyDescent="0.35">
      <c r="A6578" s="13"/>
      <c r="E6578" s="8"/>
      <c r="F6578" s="1"/>
      <c r="J6578" s="2"/>
      <c r="K6578" s="7"/>
    </row>
    <row r="6579" spans="1:11" x14ac:dyDescent="0.35">
      <c r="A6579" s="13"/>
      <c r="E6579" s="8"/>
      <c r="F6579" s="1"/>
      <c r="J6579" s="2"/>
      <c r="K6579" s="7"/>
    </row>
    <row r="6580" spans="1:11" x14ac:dyDescent="0.35">
      <c r="A6580" s="13"/>
      <c r="E6580" s="8"/>
      <c r="F6580" s="1"/>
      <c r="J6580" s="2"/>
      <c r="K6580" s="7"/>
    </row>
    <row r="6581" spans="1:11" x14ac:dyDescent="0.35">
      <c r="A6581" s="13"/>
      <c r="E6581" s="8"/>
      <c r="F6581" s="1"/>
      <c r="J6581" s="2"/>
      <c r="K6581" s="7"/>
    </row>
    <row r="6582" spans="1:11" x14ac:dyDescent="0.35">
      <c r="A6582" s="13"/>
      <c r="E6582" s="8"/>
      <c r="F6582" s="1"/>
      <c r="J6582" s="2"/>
      <c r="K6582" s="7"/>
    </row>
    <row r="6583" spans="1:11" x14ac:dyDescent="0.35">
      <c r="A6583" s="13"/>
      <c r="E6583" s="8"/>
      <c r="F6583" s="1"/>
      <c r="J6583" s="2"/>
      <c r="K6583" s="7"/>
    </row>
    <row r="6584" spans="1:11" x14ac:dyDescent="0.35">
      <c r="A6584" s="13"/>
      <c r="E6584" s="8"/>
      <c r="F6584" s="1"/>
      <c r="J6584" s="2"/>
      <c r="K6584" s="7"/>
    </row>
    <row r="6585" spans="1:11" x14ac:dyDescent="0.35">
      <c r="A6585" s="13"/>
      <c r="E6585" s="8"/>
      <c r="F6585" s="1"/>
      <c r="J6585" s="2"/>
      <c r="K6585" s="7"/>
    </row>
    <row r="6586" spans="1:11" x14ac:dyDescent="0.35">
      <c r="A6586" s="13"/>
      <c r="E6586" s="8"/>
      <c r="F6586" s="1"/>
      <c r="J6586" s="2"/>
      <c r="K6586" s="7"/>
    </row>
    <row r="6587" spans="1:11" x14ac:dyDescent="0.35">
      <c r="A6587" s="13"/>
      <c r="E6587" s="8"/>
      <c r="F6587" s="1"/>
      <c r="J6587" s="2"/>
      <c r="K6587" s="7"/>
    </row>
    <row r="6588" spans="1:11" x14ac:dyDescent="0.35">
      <c r="A6588" s="13"/>
      <c r="E6588" s="8"/>
      <c r="F6588" s="1"/>
      <c r="J6588" s="2"/>
      <c r="K6588" s="7"/>
    </row>
    <row r="6589" spans="1:11" x14ac:dyDescent="0.35">
      <c r="A6589" s="13"/>
      <c r="E6589" s="8"/>
      <c r="F6589" s="1"/>
      <c r="J6589" s="2"/>
      <c r="K6589" s="7"/>
    </row>
    <row r="6590" spans="1:11" x14ac:dyDescent="0.35">
      <c r="A6590" s="13"/>
      <c r="E6590" s="8"/>
      <c r="F6590" s="1"/>
      <c r="J6590" s="2"/>
      <c r="K6590" s="7"/>
    </row>
    <row r="6591" spans="1:11" x14ac:dyDescent="0.35">
      <c r="A6591" s="13"/>
      <c r="E6591" s="8"/>
      <c r="F6591" s="1"/>
      <c r="J6591" s="2"/>
      <c r="K6591" s="7"/>
    </row>
    <row r="6592" spans="1:11" x14ac:dyDescent="0.35">
      <c r="A6592" s="13"/>
      <c r="E6592" s="8"/>
      <c r="F6592" s="1"/>
      <c r="J6592" s="2"/>
      <c r="K6592" s="7"/>
    </row>
    <row r="6593" spans="1:11" x14ac:dyDescent="0.35">
      <c r="A6593" s="13"/>
      <c r="E6593" s="8"/>
      <c r="F6593" s="1"/>
      <c r="J6593" s="2"/>
      <c r="K6593" s="7"/>
    </row>
    <row r="6594" spans="1:11" x14ac:dyDescent="0.35">
      <c r="A6594" s="13"/>
      <c r="E6594" s="8"/>
      <c r="F6594" s="1"/>
      <c r="J6594" s="2"/>
      <c r="K6594" s="7"/>
    </row>
    <row r="6595" spans="1:11" x14ac:dyDescent="0.35">
      <c r="A6595" s="13"/>
      <c r="E6595" s="8"/>
      <c r="F6595" s="1"/>
      <c r="J6595" s="2"/>
      <c r="K6595" s="7"/>
    </row>
    <row r="6596" spans="1:11" x14ac:dyDescent="0.35">
      <c r="A6596" s="13"/>
      <c r="E6596" s="8"/>
      <c r="F6596" s="1"/>
      <c r="J6596" s="2"/>
      <c r="K6596" s="7"/>
    </row>
    <row r="6597" spans="1:11" x14ac:dyDescent="0.35">
      <c r="A6597" s="13"/>
      <c r="E6597" s="8"/>
      <c r="F6597" s="1"/>
      <c r="J6597" s="2"/>
      <c r="K6597" s="7"/>
    </row>
    <row r="6598" spans="1:11" x14ac:dyDescent="0.35">
      <c r="A6598" s="13"/>
      <c r="E6598" s="8"/>
      <c r="F6598" s="1"/>
      <c r="J6598" s="2"/>
      <c r="K6598" s="7"/>
    </row>
    <row r="6599" spans="1:11" x14ac:dyDescent="0.35">
      <c r="A6599" s="13"/>
      <c r="E6599" s="8"/>
      <c r="F6599" s="1"/>
      <c r="J6599" s="2"/>
      <c r="K6599" s="7"/>
    </row>
    <row r="6600" spans="1:11" x14ac:dyDescent="0.35">
      <c r="A6600" s="13"/>
      <c r="E6600" s="8"/>
      <c r="F6600" s="1"/>
      <c r="J6600" s="2"/>
      <c r="K6600" s="7"/>
    </row>
    <row r="6601" spans="1:11" x14ac:dyDescent="0.35">
      <c r="A6601" s="13"/>
      <c r="E6601" s="8"/>
      <c r="F6601" s="1"/>
      <c r="J6601" s="2"/>
      <c r="K6601" s="7"/>
    </row>
    <row r="6602" spans="1:11" x14ac:dyDescent="0.35">
      <c r="A6602" s="13"/>
      <c r="E6602" s="8"/>
      <c r="F6602" s="1"/>
      <c r="J6602" s="2"/>
      <c r="K6602" s="7"/>
    </row>
    <row r="6603" spans="1:11" x14ac:dyDescent="0.35">
      <c r="A6603" s="13"/>
      <c r="E6603" s="8"/>
      <c r="F6603" s="1"/>
      <c r="J6603" s="2"/>
      <c r="K6603" s="7"/>
    </row>
    <row r="6604" spans="1:11" x14ac:dyDescent="0.35">
      <c r="A6604" s="13"/>
      <c r="E6604" s="8"/>
      <c r="F6604" s="1"/>
      <c r="J6604" s="2"/>
      <c r="K6604" s="7"/>
    </row>
    <row r="6605" spans="1:11" x14ac:dyDescent="0.35">
      <c r="A6605" s="13"/>
      <c r="E6605" s="8"/>
      <c r="F6605" s="1"/>
      <c r="J6605" s="2"/>
      <c r="K6605" s="7"/>
    </row>
    <row r="6606" spans="1:11" x14ac:dyDescent="0.35">
      <c r="A6606" s="13"/>
      <c r="E6606" s="8"/>
      <c r="F6606" s="1"/>
      <c r="J6606" s="2"/>
      <c r="K6606" s="7"/>
    </row>
    <row r="6607" spans="1:11" x14ac:dyDescent="0.35">
      <c r="A6607" s="13"/>
      <c r="E6607" s="8"/>
      <c r="F6607" s="1"/>
      <c r="J6607" s="2"/>
      <c r="K6607" s="7"/>
    </row>
    <row r="6608" spans="1:11" x14ac:dyDescent="0.35">
      <c r="A6608" s="13"/>
      <c r="E6608" s="8"/>
      <c r="F6608" s="1"/>
      <c r="J6608" s="2"/>
      <c r="K6608" s="7"/>
    </row>
    <row r="6609" spans="1:11" x14ac:dyDescent="0.35">
      <c r="A6609" s="13"/>
      <c r="E6609" s="8"/>
      <c r="F6609" s="1"/>
      <c r="J6609" s="2"/>
      <c r="K6609" s="7"/>
    </row>
    <row r="6610" spans="1:11" x14ac:dyDescent="0.35">
      <c r="A6610" s="13"/>
      <c r="E6610" s="8"/>
      <c r="F6610" s="1"/>
      <c r="J6610" s="2"/>
      <c r="K6610" s="7"/>
    </row>
    <row r="6611" spans="1:11" x14ac:dyDescent="0.35">
      <c r="A6611" s="13"/>
      <c r="E6611" s="8"/>
      <c r="F6611" s="1"/>
      <c r="J6611" s="2"/>
      <c r="K6611" s="7"/>
    </row>
    <row r="6612" spans="1:11" x14ac:dyDescent="0.35">
      <c r="A6612" s="13"/>
      <c r="E6612" s="8"/>
      <c r="F6612" s="1"/>
      <c r="J6612" s="2"/>
      <c r="K6612" s="7"/>
    </row>
    <row r="6613" spans="1:11" x14ac:dyDescent="0.35">
      <c r="A6613" s="13"/>
      <c r="E6613" s="8"/>
      <c r="F6613" s="1"/>
      <c r="J6613" s="2"/>
      <c r="K6613" s="7"/>
    </row>
    <row r="6614" spans="1:11" x14ac:dyDescent="0.35">
      <c r="A6614" s="13"/>
      <c r="E6614" s="8"/>
      <c r="F6614" s="1"/>
      <c r="J6614" s="2"/>
      <c r="K6614" s="7"/>
    </row>
    <row r="6615" spans="1:11" x14ac:dyDescent="0.35">
      <c r="A6615" s="13"/>
      <c r="E6615" s="8"/>
      <c r="F6615" s="1"/>
      <c r="J6615" s="2"/>
      <c r="K6615" s="7"/>
    </row>
    <row r="6616" spans="1:11" x14ac:dyDescent="0.35">
      <c r="A6616" s="13"/>
      <c r="E6616" s="8"/>
      <c r="F6616" s="1"/>
      <c r="J6616" s="2"/>
      <c r="K6616" s="7"/>
    </row>
    <row r="6617" spans="1:11" x14ac:dyDescent="0.35">
      <c r="A6617" s="13"/>
      <c r="E6617" s="8"/>
      <c r="F6617" s="1"/>
      <c r="J6617" s="2"/>
      <c r="K6617" s="7"/>
    </row>
    <row r="6618" spans="1:11" x14ac:dyDescent="0.35">
      <c r="A6618" s="13"/>
      <c r="E6618" s="8"/>
      <c r="F6618" s="1"/>
      <c r="J6618" s="2"/>
      <c r="K6618" s="7"/>
    </row>
    <row r="6619" spans="1:11" x14ac:dyDescent="0.35">
      <c r="A6619" s="13"/>
      <c r="E6619" s="8"/>
      <c r="F6619" s="1"/>
      <c r="J6619" s="2"/>
      <c r="K6619" s="7"/>
    </row>
    <row r="6620" spans="1:11" x14ac:dyDescent="0.35">
      <c r="A6620" s="13"/>
      <c r="E6620" s="8"/>
      <c r="F6620" s="1"/>
      <c r="J6620" s="2"/>
      <c r="K6620" s="7"/>
    </row>
    <row r="6621" spans="1:11" x14ac:dyDescent="0.35">
      <c r="A6621" s="13"/>
      <c r="E6621" s="8"/>
      <c r="F6621" s="1"/>
      <c r="J6621" s="2"/>
      <c r="K6621" s="7"/>
    </row>
    <row r="6622" spans="1:11" x14ac:dyDescent="0.35">
      <c r="A6622" s="13"/>
      <c r="E6622" s="8"/>
      <c r="F6622" s="1"/>
      <c r="J6622" s="2"/>
      <c r="K6622" s="7"/>
    </row>
    <row r="6623" spans="1:11" x14ac:dyDescent="0.35">
      <c r="A6623" s="13"/>
      <c r="E6623" s="8"/>
      <c r="F6623" s="1"/>
      <c r="J6623" s="2"/>
      <c r="K6623" s="7"/>
    </row>
    <row r="6624" spans="1:11" x14ac:dyDescent="0.35">
      <c r="A6624" s="13"/>
      <c r="E6624" s="8"/>
      <c r="F6624" s="1"/>
      <c r="J6624" s="2"/>
      <c r="K6624" s="7"/>
    </row>
    <row r="6625" spans="1:11" x14ac:dyDescent="0.35">
      <c r="A6625" s="13"/>
      <c r="E6625" s="8"/>
      <c r="F6625" s="1"/>
      <c r="J6625" s="2"/>
      <c r="K6625" s="7"/>
    </row>
    <row r="6626" spans="1:11" x14ac:dyDescent="0.35">
      <c r="A6626" s="13"/>
      <c r="E6626" s="8"/>
      <c r="F6626" s="1"/>
      <c r="J6626" s="2"/>
      <c r="K6626" s="7"/>
    </row>
    <row r="6627" spans="1:11" x14ac:dyDescent="0.35">
      <c r="A6627" s="13"/>
      <c r="E6627" s="8"/>
      <c r="F6627" s="1"/>
      <c r="J6627" s="2"/>
      <c r="K6627" s="7"/>
    </row>
    <row r="6628" spans="1:11" x14ac:dyDescent="0.35">
      <c r="A6628" s="13"/>
      <c r="E6628" s="8"/>
      <c r="F6628" s="1"/>
      <c r="J6628" s="2"/>
      <c r="K6628" s="7"/>
    </row>
    <row r="6629" spans="1:11" x14ac:dyDescent="0.35">
      <c r="A6629" s="13"/>
      <c r="E6629" s="8"/>
      <c r="F6629" s="1"/>
      <c r="J6629" s="2"/>
      <c r="K6629" s="7"/>
    </row>
    <row r="6630" spans="1:11" x14ac:dyDescent="0.35">
      <c r="A6630" s="13"/>
      <c r="E6630" s="8"/>
      <c r="F6630" s="1"/>
      <c r="J6630" s="2"/>
      <c r="K6630" s="7"/>
    </row>
    <row r="6631" spans="1:11" x14ac:dyDescent="0.35">
      <c r="A6631" s="13"/>
      <c r="E6631" s="8"/>
      <c r="F6631" s="1"/>
      <c r="J6631" s="2"/>
      <c r="K6631" s="7"/>
    </row>
    <row r="6632" spans="1:11" x14ac:dyDescent="0.35">
      <c r="A6632" s="13"/>
      <c r="E6632" s="8"/>
      <c r="F6632" s="1"/>
      <c r="J6632" s="2"/>
      <c r="K6632" s="7"/>
    </row>
    <row r="6633" spans="1:11" x14ac:dyDescent="0.35">
      <c r="A6633" s="13"/>
      <c r="E6633" s="8"/>
      <c r="F6633" s="1"/>
      <c r="J6633" s="2"/>
      <c r="K6633" s="7"/>
    </row>
    <row r="6634" spans="1:11" x14ac:dyDescent="0.35">
      <c r="A6634" s="13"/>
      <c r="E6634" s="8"/>
      <c r="F6634" s="1"/>
      <c r="J6634" s="2"/>
      <c r="K6634" s="7"/>
    </row>
    <row r="6635" spans="1:11" x14ac:dyDescent="0.35">
      <c r="A6635" s="13"/>
      <c r="E6635" s="8"/>
      <c r="F6635" s="1"/>
      <c r="J6635" s="2"/>
      <c r="K6635" s="7"/>
    </row>
    <row r="6636" spans="1:11" x14ac:dyDescent="0.35">
      <c r="A6636" s="13"/>
      <c r="E6636" s="8"/>
      <c r="F6636" s="1"/>
      <c r="J6636" s="2"/>
      <c r="K6636" s="7"/>
    </row>
    <row r="6637" spans="1:11" x14ac:dyDescent="0.35">
      <c r="A6637" s="13"/>
      <c r="E6637" s="8"/>
      <c r="F6637" s="1"/>
      <c r="J6637" s="2"/>
      <c r="K6637" s="7"/>
    </row>
    <row r="6638" spans="1:11" x14ac:dyDescent="0.35">
      <c r="A6638" s="13"/>
      <c r="E6638" s="8"/>
      <c r="F6638" s="1"/>
      <c r="J6638" s="2"/>
      <c r="K6638" s="7"/>
    </row>
    <row r="6639" spans="1:11" x14ac:dyDescent="0.35">
      <c r="A6639" s="13"/>
      <c r="E6639" s="8"/>
      <c r="F6639" s="1"/>
      <c r="J6639" s="2"/>
      <c r="K6639" s="7"/>
    </row>
    <row r="6640" spans="1:11" x14ac:dyDescent="0.35">
      <c r="A6640" s="13"/>
      <c r="E6640" s="8"/>
      <c r="F6640" s="1"/>
      <c r="J6640" s="2"/>
      <c r="K6640" s="7"/>
    </row>
    <row r="6641" spans="1:11" x14ac:dyDescent="0.35">
      <c r="A6641" s="13"/>
      <c r="E6641" s="8"/>
      <c r="F6641" s="1"/>
      <c r="J6641" s="2"/>
      <c r="K6641" s="7"/>
    </row>
    <row r="6642" spans="1:11" x14ac:dyDescent="0.35">
      <c r="A6642" s="13"/>
      <c r="E6642" s="8"/>
      <c r="F6642" s="1"/>
      <c r="J6642" s="2"/>
      <c r="K6642" s="7"/>
    </row>
    <row r="6643" spans="1:11" x14ac:dyDescent="0.35">
      <c r="A6643" s="13"/>
      <c r="E6643" s="8"/>
      <c r="F6643" s="1"/>
      <c r="J6643" s="2"/>
      <c r="K6643" s="7"/>
    </row>
    <row r="6644" spans="1:11" x14ac:dyDescent="0.35">
      <c r="A6644" s="13"/>
      <c r="E6644" s="8"/>
      <c r="F6644" s="1"/>
      <c r="J6644" s="2"/>
      <c r="K6644" s="7"/>
    </row>
    <row r="6645" spans="1:11" x14ac:dyDescent="0.35">
      <c r="A6645" s="13"/>
      <c r="E6645" s="8"/>
      <c r="F6645" s="1"/>
      <c r="J6645" s="2"/>
      <c r="K6645" s="7"/>
    </row>
    <row r="6646" spans="1:11" x14ac:dyDescent="0.35">
      <c r="A6646" s="13"/>
      <c r="E6646" s="8"/>
      <c r="F6646" s="1"/>
      <c r="J6646" s="2"/>
      <c r="K6646" s="7"/>
    </row>
    <row r="6647" spans="1:11" x14ac:dyDescent="0.35">
      <c r="A6647" s="13"/>
      <c r="E6647" s="8"/>
      <c r="F6647" s="1"/>
      <c r="J6647" s="2"/>
      <c r="K6647" s="7"/>
    </row>
    <row r="6648" spans="1:11" x14ac:dyDescent="0.35">
      <c r="A6648" s="13"/>
      <c r="E6648" s="8"/>
      <c r="F6648" s="1"/>
      <c r="J6648" s="2"/>
      <c r="K6648" s="7"/>
    </row>
    <row r="6649" spans="1:11" x14ac:dyDescent="0.35">
      <c r="A6649" s="13"/>
      <c r="E6649" s="8"/>
      <c r="F6649" s="1"/>
      <c r="J6649" s="2"/>
      <c r="K6649" s="7"/>
    </row>
    <row r="6650" spans="1:11" x14ac:dyDescent="0.35">
      <c r="A6650" s="13"/>
      <c r="E6650" s="8"/>
      <c r="F6650" s="1"/>
      <c r="J6650" s="2"/>
      <c r="K6650" s="7"/>
    </row>
    <row r="6651" spans="1:11" x14ac:dyDescent="0.35">
      <c r="A6651" s="13"/>
      <c r="E6651" s="8"/>
      <c r="F6651" s="1"/>
      <c r="J6651" s="2"/>
      <c r="K6651" s="7"/>
    </row>
    <row r="6652" spans="1:11" x14ac:dyDescent="0.35">
      <c r="A6652" s="13"/>
      <c r="E6652" s="8"/>
      <c r="F6652" s="1"/>
      <c r="J6652" s="2"/>
      <c r="K6652" s="7"/>
    </row>
    <row r="6653" spans="1:11" x14ac:dyDescent="0.35">
      <c r="A6653" s="13"/>
      <c r="E6653" s="8"/>
      <c r="F6653" s="1"/>
      <c r="J6653" s="2"/>
      <c r="K6653" s="7"/>
    </row>
    <row r="6654" spans="1:11" x14ac:dyDescent="0.35">
      <c r="A6654" s="13"/>
      <c r="E6654" s="8"/>
      <c r="F6654" s="1"/>
      <c r="J6654" s="2"/>
      <c r="K6654" s="7"/>
    </row>
    <row r="6655" spans="1:11" x14ac:dyDescent="0.35">
      <c r="A6655" s="13"/>
      <c r="E6655" s="8"/>
      <c r="F6655" s="1"/>
      <c r="J6655" s="2"/>
      <c r="K6655" s="7"/>
    </row>
    <row r="6656" spans="1:11" x14ac:dyDescent="0.35">
      <c r="A6656" s="13"/>
      <c r="E6656" s="8"/>
      <c r="F6656" s="1"/>
      <c r="J6656" s="2"/>
      <c r="K6656" s="7"/>
    </row>
    <row r="6657" spans="1:11" x14ac:dyDescent="0.35">
      <c r="A6657" s="13"/>
      <c r="E6657" s="8"/>
      <c r="F6657" s="1"/>
      <c r="J6657" s="2"/>
      <c r="K6657" s="7"/>
    </row>
    <row r="6658" spans="1:11" x14ac:dyDescent="0.35">
      <c r="A6658" s="13"/>
      <c r="E6658" s="8"/>
      <c r="F6658" s="1"/>
      <c r="J6658" s="2"/>
      <c r="K6658" s="7"/>
    </row>
    <row r="6659" spans="1:11" x14ac:dyDescent="0.35">
      <c r="A6659" s="13"/>
      <c r="E6659" s="8"/>
      <c r="F6659" s="1"/>
      <c r="J6659" s="2"/>
      <c r="K6659" s="7"/>
    </row>
    <row r="6660" spans="1:11" x14ac:dyDescent="0.35">
      <c r="A6660" s="13"/>
      <c r="E6660" s="8"/>
      <c r="F6660" s="1"/>
      <c r="J6660" s="2"/>
      <c r="K6660" s="7"/>
    </row>
    <row r="6661" spans="1:11" x14ac:dyDescent="0.35">
      <c r="A6661" s="13"/>
      <c r="E6661" s="8"/>
      <c r="F6661" s="1"/>
      <c r="J6661" s="2"/>
      <c r="K6661" s="7"/>
    </row>
    <row r="6662" spans="1:11" x14ac:dyDescent="0.35">
      <c r="A6662" s="13"/>
      <c r="E6662" s="8"/>
      <c r="F6662" s="1"/>
      <c r="J6662" s="2"/>
      <c r="K6662" s="7"/>
    </row>
    <row r="6663" spans="1:11" x14ac:dyDescent="0.35">
      <c r="A6663" s="13"/>
      <c r="E6663" s="8"/>
      <c r="F6663" s="1"/>
      <c r="J6663" s="2"/>
      <c r="K6663" s="7"/>
    </row>
    <row r="6664" spans="1:11" x14ac:dyDescent="0.35">
      <c r="A6664" s="13"/>
      <c r="E6664" s="8"/>
      <c r="F6664" s="1"/>
      <c r="J6664" s="2"/>
      <c r="K6664" s="7"/>
    </row>
    <row r="6665" spans="1:11" x14ac:dyDescent="0.35">
      <c r="A6665" s="13"/>
      <c r="E6665" s="8"/>
      <c r="F6665" s="1"/>
      <c r="J6665" s="2"/>
      <c r="K6665" s="7"/>
    </row>
    <row r="6666" spans="1:11" x14ac:dyDescent="0.35">
      <c r="A6666" s="13"/>
      <c r="E6666" s="8"/>
      <c r="F6666" s="1"/>
      <c r="J6666" s="2"/>
      <c r="K6666" s="7"/>
    </row>
    <row r="6667" spans="1:11" x14ac:dyDescent="0.35">
      <c r="A6667" s="13"/>
      <c r="E6667" s="8"/>
      <c r="F6667" s="1"/>
      <c r="J6667" s="2"/>
      <c r="K6667" s="7"/>
    </row>
    <row r="6668" spans="1:11" x14ac:dyDescent="0.35">
      <c r="A6668" s="13"/>
      <c r="E6668" s="8"/>
      <c r="F6668" s="1"/>
      <c r="J6668" s="2"/>
      <c r="K6668" s="7"/>
    </row>
    <row r="6669" spans="1:11" x14ac:dyDescent="0.35">
      <c r="A6669" s="13"/>
      <c r="E6669" s="8"/>
      <c r="F6669" s="1"/>
      <c r="J6669" s="2"/>
      <c r="K6669" s="7"/>
    </row>
    <row r="6670" spans="1:11" x14ac:dyDescent="0.35">
      <c r="A6670" s="13"/>
      <c r="E6670" s="8"/>
      <c r="F6670" s="1"/>
      <c r="J6670" s="2"/>
      <c r="K6670" s="7"/>
    </row>
    <row r="6671" spans="1:11" x14ac:dyDescent="0.35">
      <c r="A6671" s="13"/>
      <c r="E6671" s="8"/>
      <c r="F6671" s="1"/>
      <c r="J6671" s="2"/>
      <c r="K6671" s="7"/>
    </row>
    <row r="6672" spans="1:11" x14ac:dyDescent="0.35">
      <c r="A6672" s="13"/>
      <c r="E6672" s="8"/>
      <c r="F6672" s="1"/>
      <c r="J6672" s="2"/>
      <c r="K6672" s="7"/>
    </row>
    <row r="6673" spans="1:11" x14ac:dyDescent="0.35">
      <c r="A6673" s="13"/>
      <c r="E6673" s="8"/>
      <c r="F6673" s="1"/>
      <c r="J6673" s="2"/>
      <c r="K6673" s="7"/>
    </row>
    <row r="6674" spans="1:11" x14ac:dyDescent="0.35">
      <c r="A6674" s="13"/>
      <c r="E6674" s="8"/>
      <c r="F6674" s="1"/>
      <c r="J6674" s="2"/>
      <c r="K6674" s="7"/>
    </row>
    <row r="6675" spans="1:11" x14ac:dyDescent="0.35">
      <c r="A6675" s="13"/>
      <c r="E6675" s="8"/>
      <c r="F6675" s="1"/>
      <c r="J6675" s="2"/>
      <c r="K6675" s="7"/>
    </row>
    <row r="6676" spans="1:11" x14ac:dyDescent="0.35">
      <c r="A6676" s="13"/>
      <c r="E6676" s="8"/>
      <c r="F6676" s="1"/>
      <c r="J6676" s="2"/>
      <c r="K6676" s="7"/>
    </row>
    <row r="6677" spans="1:11" x14ac:dyDescent="0.35">
      <c r="A6677" s="13"/>
      <c r="E6677" s="8"/>
      <c r="F6677" s="1"/>
      <c r="J6677" s="2"/>
      <c r="K6677" s="7"/>
    </row>
    <row r="6678" spans="1:11" x14ac:dyDescent="0.35">
      <c r="A6678" s="13"/>
      <c r="E6678" s="8"/>
      <c r="F6678" s="1"/>
      <c r="J6678" s="2"/>
      <c r="K6678" s="7"/>
    </row>
    <row r="6679" spans="1:11" x14ac:dyDescent="0.35">
      <c r="A6679" s="13"/>
      <c r="E6679" s="8"/>
      <c r="F6679" s="1"/>
      <c r="J6679" s="2"/>
      <c r="K6679" s="7"/>
    </row>
    <row r="6680" spans="1:11" x14ac:dyDescent="0.35">
      <c r="A6680" s="13"/>
      <c r="E6680" s="8"/>
      <c r="F6680" s="1"/>
      <c r="J6680" s="2"/>
      <c r="K6680" s="7"/>
    </row>
    <row r="6681" spans="1:11" x14ac:dyDescent="0.35">
      <c r="A6681" s="13"/>
      <c r="E6681" s="8"/>
      <c r="F6681" s="1"/>
      <c r="J6681" s="2"/>
      <c r="K6681" s="7"/>
    </row>
    <row r="6682" spans="1:11" x14ac:dyDescent="0.35">
      <c r="A6682" s="13"/>
      <c r="E6682" s="8"/>
      <c r="F6682" s="1"/>
      <c r="J6682" s="2"/>
      <c r="K6682" s="7"/>
    </row>
    <row r="6683" spans="1:11" x14ac:dyDescent="0.35">
      <c r="A6683" s="13"/>
      <c r="E6683" s="8"/>
      <c r="F6683" s="1"/>
      <c r="J6683" s="2"/>
      <c r="K6683" s="7"/>
    </row>
    <row r="6684" spans="1:11" x14ac:dyDescent="0.35">
      <c r="A6684" s="13"/>
      <c r="E6684" s="8"/>
      <c r="F6684" s="1"/>
      <c r="J6684" s="2"/>
      <c r="K6684" s="7"/>
    </row>
    <row r="6685" spans="1:11" x14ac:dyDescent="0.35">
      <c r="A6685" s="13"/>
      <c r="E6685" s="8"/>
      <c r="F6685" s="1"/>
      <c r="J6685" s="2"/>
      <c r="K6685" s="7"/>
    </row>
    <row r="6686" spans="1:11" x14ac:dyDescent="0.35">
      <c r="A6686" s="13"/>
      <c r="E6686" s="8"/>
      <c r="F6686" s="1"/>
      <c r="J6686" s="2"/>
      <c r="K6686" s="7"/>
    </row>
    <row r="6687" spans="1:11" x14ac:dyDescent="0.35">
      <c r="A6687" s="13"/>
      <c r="E6687" s="8"/>
      <c r="F6687" s="1"/>
      <c r="J6687" s="2"/>
      <c r="K6687" s="7"/>
    </row>
    <row r="6688" spans="1:11" x14ac:dyDescent="0.35">
      <c r="A6688" s="13"/>
      <c r="E6688" s="8"/>
      <c r="F6688" s="1"/>
      <c r="J6688" s="2"/>
      <c r="K6688" s="7"/>
    </row>
    <row r="6689" spans="1:11" x14ac:dyDescent="0.35">
      <c r="A6689" s="13"/>
      <c r="E6689" s="8"/>
      <c r="F6689" s="1"/>
      <c r="J6689" s="2"/>
      <c r="K6689" s="7"/>
    </row>
    <row r="6690" spans="1:11" x14ac:dyDescent="0.35">
      <c r="A6690" s="13"/>
      <c r="E6690" s="8"/>
      <c r="F6690" s="1"/>
      <c r="J6690" s="2"/>
      <c r="K6690" s="7"/>
    </row>
    <row r="6691" spans="1:11" x14ac:dyDescent="0.35">
      <c r="A6691" s="13"/>
      <c r="E6691" s="8"/>
      <c r="F6691" s="1"/>
      <c r="J6691" s="2"/>
      <c r="K6691" s="7"/>
    </row>
    <row r="6692" spans="1:11" x14ac:dyDescent="0.35">
      <c r="A6692" s="13"/>
      <c r="E6692" s="8"/>
      <c r="F6692" s="1"/>
      <c r="J6692" s="2"/>
      <c r="K6692" s="7"/>
    </row>
    <row r="6693" spans="1:11" x14ac:dyDescent="0.35">
      <c r="A6693" s="13"/>
      <c r="E6693" s="8"/>
      <c r="F6693" s="1"/>
      <c r="J6693" s="2"/>
      <c r="K6693" s="7"/>
    </row>
    <row r="6694" spans="1:11" x14ac:dyDescent="0.35">
      <c r="A6694" s="13"/>
      <c r="E6694" s="8"/>
      <c r="F6694" s="1"/>
      <c r="J6694" s="2"/>
      <c r="K6694" s="7"/>
    </row>
    <row r="6695" spans="1:11" x14ac:dyDescent="0.35">
      <c r="A6695" s="13"/>
      <c r="E6695" s="8"/>
      <c r="F6695" s="1"/>
      <c r="J6695" s="2"/>
      <c r="K6695" s="7"/>
    </row>
    <row r="6696" spans="1:11" x14ac:dyDescent="0.35">
      <c r="A6696" s="13"/>
      <c r="E6696" s="8"/>
      <c r="F6696" s="1"/>
      <c r="J6696" s="2"/>
      <c r="K6696" s="7"/>
    </row>
    <row r="6697" spans="1:11" x14ac:dyDescent="0.35">
      <c r="A6697" s="13"/>
      <c r="E6697" s="8"/>
      <c r="F6697" s="1"/>
      <c r="J6697" s="2"/>
      <c r="K6697" s="7"/>
    </row>
    <row r="6698" spans="1:11" x14ac:dyDescent="0.35">
      <c r="A6698" s="13"/>
      <c r="E6698" s="8"/>
      <c r="F6698" s="1"/>
      <c r="J6698" s="2"/>
      <c r="K6698" s="7"/>
    </row>
    <row r="6699" spans="1:11" x14ac:dyDescent="0.35">
      <c r="A6699" s="13"/>
      <c r="E6699" s="8"/>
      <c r="F6699" s="1"/>
      <c r="J6699" s="2"/>
      <c r="K6699" s="7"/>
    </row>
    <row r="6700" spans="1:11" x14ac:dyDescent="0.35">
      <c r="A6700" s="13"/>
      <c r="E6700" s="8"/>
      <c r="F6700" s="1"/>
      <c r="J6700" s="2"/>
      <c r="K6700" s="7"/>
    </row>
    <row r="6701" spans="1:11" x14ac:dyDescent="0.35">
      <c r="A6701" s="13"/>
      <c r="E6701" s="8"/>
      <c r="F6701" s="1"/>
      <c r="J6701" s="2"/>
      <c r="K6701" s="7"/>
    </row>
    <row r="6702" spans="1:11" x14ac:dyDescent="0.35">
      <c r="A6702" s="13"/>
      <c r="E6702" s="8"/>
      <c r="F6702" s="1"/>
      <c r="J6702" s="2"/>
      <c r="K6702" s="7"/>
    </row>
    <row r="6703" spans="1:11" x14ac:dyDescent="0.35">
      <c r="A6703" s="13"/>
      <c r="E6703" s="8"/>
      <c r="F6703" s="1"/>
      <c r="J6703" s="2"/>
      <c r="K6703" s="7"/>
    </row>
    <row r="6704" spans="1:11" x14ac:dyDescent="0.35">
      <c r="A6704" s="13"/>
      <c r="E6704" s="8"/>
      <c r="F6704" s="1"/>
      <c r="J6704" s="2"/>
      <c r="K6704" s="7"/>
    </row>
    <row r="6705" spans="1:11" x14ac:dyDescent="0.35">
      <c r="A6705" s="13"/>
      <c r="E6705" s="8"/>
      <c r="F6705" s="1"/>
      <c r="J6705" s="2"/>
      <c r="K6705" s="7"/>
    </row>
    <row r="6706" spans="1:11" x14ac:dyDescent="0.35">
      <c r="A6706" s="13"/>
      <c r="E6706" s="8"/>
      <c r="F6706" s="1"/>
      <c r="J6706" s="2"/>
      <c r="K6706" s="7"/>
    </row>
    <row r="6707" spans="1:11" x14ac:dyDescent="0.35">
      <c r="A6707" s="13"/>
      <c r="E6707" s="8"/>
      <c r="F6707" s="1"/>
      <c r="J6707" s="2"/>
      <c r="K6707" s="7"/>
    </row>
    <row r="6708" spans="1:11" x14ac:dyDescent="0.35">
      <c r="A6708" s="13"/>
      <c r="E6708" s="8"/>
      <c r="F6708" s="1"/>
      <c r="J6708" s="2"/>
      <c r="K6708" s="7"/>
    </row>
    <row r="6709" spans="1:11" x14ac:dyDescent="0.35">
      <c r="A6709" s="13"/>
      <c r="E6709" s="8"/>
      <c r="F6709" s="1"/>
      <c r="J6709" s="2"/>
      <c r="K6709" s="7"/>
    </row>
    <row r="6710" spans="1:11" x14ac:dyDescent="0.35">
      <c r="A6710" s="13"/>
      <c r="E6710" s="8"/>
      <c r="F6710" s="1"/>
      <c r="J6710" s="2"/>
      <c r="K6710" s="7"/>
    </row>
    <row r="6711" spans="1:11" x14ac:dyDescent="0.35">
      <c r="A6711" s="13"/>
      <c r="E6711" s="8"/>
      <c r="F6711" s="1"/>
      <c r="J6711" s="2"/>
      <c r="K6711" s="7"/>
    </row>
    <row r="6712" spans="1:11" x14ac:dyDescent="0.35">
      <c r="A6712" s="13"/>
      <c r="E6712" s="8"/>
      <c r="F6712" s="1"/>
      <c r="J6712" s="2"/>
      <c r="K6712" s="7"/>
    </row>
    <row r="6713" spans="1:11" x14ac:dyDescent="0.35">
      <c r="A6713" s="13"/>
      <c r="E6713" s="8"/>
      <c r="F6713" s="1"/>
      <c r="J6713" s="2"/>
      <c r="K6713" s="7"/>
    </row>
    <row r="6714" spans="1:11" x14ac:dyDescent="0.35">
      <c r="A6714" s="13"/>
      <c r="E6714" s="8"/>
      <c r="F6714" s="1"/>
      <c r="J6714" s="2"/>
      <c r="K6714" s="7"/>
    </row>
    <row r="6715" spans="1:11" x14ac:dyDescent="0.35">
      <c r="A6715" s="13"/>
      <c r="E6715" s="8"/>
      <c r="F6715" s="1"/>
      <c r="J6715" s="2"/>
      <c r="K6715" s="7"/>
    </row>
    <row r="6716" spans="1:11" x14ac:dyDescent="0.35">
      <c r="A6716" s="13"/>
      <c r="E6716" s="8"/>
      <c r="F6716" s="1"/>
      <c r="J6716" s="2"/>
      <c r="K6716" s="7"/>
    </row>
    <row r="6717" spans="1:11" x14ac:dyDescent="0.35">
      <c r="A6717" s="13"/>
      <c r="E6717" s="8"/>
      <c r="F6717" s="1"/>
      <c r="J6717" s="2"/>
      <c r="K6717" s="7"/>
    </row>
    <row r="6718" spans="1:11" x14ac:dyDescent="0.35">
      <c r="A6718" s="13"/>
      <c r="E6718" s="8"/>
      <c r="F6718" s="1"/>
      <c r="J6718" s="2"/>
      <c r="K6718" s="7"/>
    </row>
    <row r="6719" spans="1:11" x14ac:dyDescent="0.35">
      <c r="A6719" s="13"/>
      <c r="E6719" s="8"/>
      <c r="F6719" s="1"/>
      <c r="J6719" s="2"/>
      <c r="K6719" s="7"/>
    </row>
    <row r="6720" spans="1:11" x14ac:dyDescent="0.35">
      <c r="A6720" s="13"/>
      <c r="E6720" s="8"/>
      <c r="F6720" s="1"/>
      <c r="J6720" s="2"/>
      <c r="K6720" s="7"/>
    </row>
    <row r="6721" spans="1:11" x14ac:dyDescent="0.35">
      <c r="A6721" s="13"/>
      <c r="E6721" s="8"/>
      <c r="F6721" s="1"/>
      <c r="J6721" s="2"/>
      <c r="K6721" s="7"/>
    </row>
    <row r="6722" spans="1:11" x14ac:dyDescent="0.35">
      <c r="A6722" s="13"/>
      <c r="E6722" s="8"/>
      <c r="F6722" s="1"/>
      <c r="J6722" s="2"/>
      <c r="K6722" s="7"/>
    </row>
    <row r="6723" spans="1:11" x14ac:dyDescent="0.35">
      <c r="A6723" s="13"/>
      <c r="E6723" s="8"/>
      <c r="F6723" s="1"/>
      <c r="J6723" s="2"/>
      <c r="K6723" s="7"/>
    </row>
    <row r="6724" spans="1:11" x14ac:dyDescent="0.35">
      <c r="A6724" s="13"/>
      <c r="E6724" s="8"/>
      <c r="F6724" s="1"/>
      <c r="J6724" s="2"/>
      <c r="K6724" s="7"/>
    </row>
    <row r="6725" spans="1:11" x14ac:dyDescent="0.35">
      <c r="A6725" s="13"/>
      <c r="E6725" s="8"/>
      <c r="F6725" s="1"/>
      <c r="J6725" s="2"/>
      <c r="K6725" s="7"/>
    </row>
    <row r="6726" spans="1:11" x14ac:dyDescent="0.35">
      <c r="A6726" s="13"/>
      <c r="E6726" s="8"/>
      <c r="F6726" s="1"/>
      <c r="J6726" s="2"/>
      <c r="K6726" s="7"/>
    </row>
    <row r="6727" spans="1:11" x14ac:dyDescent="0.35">
      <c r="A6727" s="13"/>
      <c r="E6727" s="8"/>
      <c r="F6727" s="1"/>
      <c r="J6727" s="2"/>
      <c r="K6727" s="7"/>
    </row>
    <row r="6728" spans="1:11" x14ac:dyDescent="0.35">
      <c r="A6728" s="13"/>
      <c r="E6728" s="8"/>
      <c r="F6728" s="1"/>
      <c r="J6728" s="2"/>
      <c r="K6728" s="7"/>
    </row>
    <row r="6729" spans="1:11" x14ac:dyDescent="0.35">
      <c r="A6729" s="13"/>
      <c r="E6729" s="8"/>
      <c r="F6729" s="1"/>
      <c r="J6729" s="2"/>
      <c r="K6729" s="7"/>
    </row>
    <row r="6730" spans="1:11" x14ac:dyDescent="0.35">
      <c r="A6730" s="13"/>
      <c r="E6730" s="8"/>
      <c r="F6730" s="1"/>
      <c r="J6730" s="2"/>
      <c r="K6730" s="7"/>
    </row>
    <row r="6731" spans="1:11" x14ac:dyDescent="0.35">
      <c r="A6731" s="13"/>
      <c r="E6731" s="8"/>
      <c r="F6731" s="1"/>
      <c r="J6731" s="2"/>
      <c r="K6731" s="7"/>
    </row>
    <row r="6732" spans="1:11" x14ac:dyDescent="0.35">
      <c r="A6732" s="13"/>
      <c r="E6732" s="8"/>
      <c r="F6732" s="1"/>
      <c r="J6732" s="2"/>
      <c r="K6732" s="7"/>
    </row>
    <row r="6733" spans="1:11" x14ac:dyDescent="0.35">
      <c r="A6733" s="13"/>
      <c r="E6733" s="8"/>
      <c r="F6733" s="1"/>
      <c r="J6733" s="2"/>
      <c r="K6733" s="7"/>
    </row>
    <row r="6734" spans="1:11" x14ac:dyDescent="0.35">
      <c r="A6734" s="13"/>
      <c r="E6734" s="8"/>
      <c r="F6734" s="1"/>
      <c r="J6734" s="2"/>
      <c r="K6734" s="7"/>
    </row>
    <row r="6735" spans="1:11" x14ac:dyDescent="0.35">
      <c r="A6735" s="13"/>
      <c r="E6735" s="8"/>
      <c r="F6735" s="1"/>
      <c r="J6735" s="2"/>
      <c r="K6735" s="7"/>
    </row>
    <row r="6736" spans="1:11" x14ac:dyDescent="0.35">
      <c r="A6736" s="13"/>
      <c r="E6736" s="8"/>
      <c r="F6736" s="1"/>
      <c r="J6736" s="2"/>
      <c r="K6736" s="7"/>
    </row>
    <row r="6737" spans="1:11" x14ac:dyDescent="0.35">
      <c r="A6737" s="13"/>
      <c r="E6737" s="8"/>
      <c r="F6737" s="1"/>
      <c r="J6737" s="2"/>
      <c r="K6737" s="7"/>
    </row>
    <row r="6738" spans="1:11" x14ac:dyDescent="0.35">
      <c r="A6738" s="13"/>
      <c r="E6738" s="8"/>
      <c r="F6738" s="1"/>
      <c r="J6738" s="2"/>
      <c r="K6738" s="7"/>
    </row>
    <row r="6739" spans="1:11" x14ac:dyDescent="0.35">
      <c r="A6739" s="13"/>
      <c r="E6739" s="8"/>
      <c r="F6739" s="1"/>
      <c r="J6739" s="2"/>
      <c r="K6739" s="7"/>
    </row>
    <row r="6740" spans="1:11" x14ac:dyDescent="0.35">
      <c r="A6740" s="13"/>
      <c r="E6740" s="8"/>
      <c r="F6740" s="1"/>
      <c r="J6740" s="2"/>
      <c r="K6740" s="7"/>
    </row>
    <row r="6741" spans="1:11" x14ac:dyDescent="0.35">
      <c r="A6741" s="13"/>
      <c r="E6741" s="8"/>
      <c r="F6741" s="1"/>
      <c r="J6741" s="2"/>
      <c r="K6741" s="7"/>
    </row>
    <row r="6742" spans="1:11" x14ac:dyDescent="0.35">
      <c r="A6742" s="13"/>
      <c r="E6742" s="8"/>
      <c r="F6742" s="1"/>
      <c r="J6742" s="2"/>
      <c r="K6742" s="7"/>
    </row>
    <row r="6743" spans="1:11" x14ac:dyDescent="0.35">
      <c r="A6743" s="13"/>
      <c r="E6743" s="8"/>
      <c r="F6743" s="1"/>
      <c r="J6743" s="2"/>
      <c r="K6743" s="7"/>
    </row>
    <row r="6744" spans="1:11" x14ac:dyDescent="0.35">
      <c r="A6744" s="13"/>
      <c r="E6744" s="8"/>
      <c r="F6744" s="1"/>
      <c r="J6744" s="2"/>
      <c r="K6744" s="7"/>
    </row>
    <row r="6745" spans="1:11" x14ac:dyDescent="0.35">
      <c r="A6745" s="13"/>
      <c r="E6745" s="8"/>
      <c r="F6745" s="1"/>
      <c r="J6745" s="2"/>
      <c r="K6745" s="7"/>
    </row>
    <row r="6746" spans="1:11" x14ac:dyDescent="0.35">
      <c r="A6746" s="13"/>
      <c r="E6746" s="8"/>
      <c r="F6746" s="1"/>
      <c r="J6746" s="2"/>
      <c r="K6746" s="7"/>
    </row>
    <row r="6747" spans="1:11" x14ac:dyDescent="0.35">
      <c r="A6747" s="13"/>
      <c r="E6747" s="8"/>
      <c r="F6747" s="1"/>
      <c r="J6747" s="2"/>
      <c r="K6747" s="7"/>
    </row>
    <row r="6748" spans="1:11" x14ac:dyDescent="0.35">
      <c r="A6748" s="13"/>
      <c r="E6748" s="8"/>
      <c r="F6748" s="1"/>
      <c r="J6748" s="2"/>
      <c r="K6748" s="7"/>
    </row>
    <row r="6749" spans="1:11" x14ac:dyDescent="0.35">
      <c r="A6749" s="13"/>
      <c r="E6749" s="8"/>
      <c r="F6749" s="1"/>
      <c r="J6749" s="2"/>
      <c r="K6749" s="7"/>
    </row>
    <row r="6750" spans="1:11" x14ac:dyDescent="0.35">
      <c r="A6750" s="13"/>
      <c r="E6750" s="8"/>
      <c r="F6750" s="1"/>
      <c r="J6750" s="2"/>
      <c r="K6750" s="7"/>
    </row>
    <row r="6751" spans="1:11" x14ac:dyDescent="0.35">
      <c r="A6751" s="13"/>
      <c r="E6751" s="8"/>
      <c r="F6751" s="1"/>
      <c r="J6751" s="2"/>
      <c r="K6751" s="7"/>
    </row>
    <row r="6752" spans="1:11" x14ac:dyDescent="0.35">
      <c r="A6752" s="13"/>
      <c r="E6752" s="8"/>
      <c r="F6752" s="1"/>
      <c r="J6752" s="2"/>
      <c r="K6752" s="7"/>
    </row>
    <row r="6753" spans="1:11" x14ac:dyDescent="0.35">
      <c r="A6753" s="13"/>
      <c r="E6753" s="8"/>
      <c r="F6753" s="1"/>
      <c r="J6753" s="2"/>
      <c r="K6753" s="7"/>
    </row>
    <row r="6754" spans="1:11" x14ac:dyDescent="0.35">
      <c r="A6754" s="13"/>
      <c r="E6754" s="8"/>
      <c r="F6754" s="1"/>
      <c r="J6754" s="2"/>
      <c r="K6754" s="7"/>
    </row>
    <row r="6755" spans="1:11" x14ac:dyDescent="0.35">
      <c r="A6755" s="13"/>
      <c r="E6755" s="8"/>
      <c r="F6755" s="1"/>
      <c r="J6755" s="2"/>
      <c r="K6755" s="7"/>
    </row>
    <row r="6756" spans="1:11" x14ac:dyDescent="0.35">
      <c r="A6756" s="13"/>
      <c r="E6756" s="8"/>
      <c r="F6756" s="1"/>
      <c r="J6756" s="2"/>
      <c r="K6756" s="7"/>
    </row>
    <row r="6757" spans="1:11" x14ac:dyDescent="0.35">
      <c r="A6757" s="13"/>
      <c r="E6757" s="8"/>
      <c r="F6757" s="1"/>
      <c r="J6757" s="2"/>
      <c r="K6757" s="7"/>
    </row>
    <row r="6758" spans="1:11" x14ac:dyDescent="0.35">
      <c r="A6758" s="13"/>
      <c r="E6758" s="8"/>
      <c r="F6758" s="1"/>
      <c r="J6758" s="2"/>
      <c r="K6758" s="7"/>
    </row>
    <row r="6759" spans="1:11" x14ac:dyDescent="0.35">
      <c r="A6759" s="13"/>
      <c r="E6759" s="8"/>
      <c r="F6759" s="1"/>
      <c r="J6759" s="2"/>
      <c r="K6759" s="7"/>
    </row>
    <row r="6760" spans="1:11" x14ac:dyDescent="0.35">
      <c r="A6760" s="13"/>
      <c r="E6760" s="8"/>
      <c r="F6760" s="1"/>
      <c r="J6760" s="2"/>
      <c r="K6760" s="7"/>
    </row>
    <row r="6761" spans="1:11" x14ac:dyDescent="0.35">
      <c r="A6761" s="13"/>
      <c r="E6761" s="8"/>
      <c r="F6761" s="1"/>
      <c r="J6761" s="2"/>
      <c r="K6761" s="7"/>
    </row>
    <row r="6762" spans="1:11" x14ac:dyDescent="0.35">
      <c r="A6762" s="13"/>
      <c r="E6762" s="8"/>
      <c r="F6762" s="1"/>
      <c r="J6762" s="2"/>
      <c r="K6762" s="7"/>
    </row>
    <row r="6763" spans="1:11" x14ac:dyDescent="0.35">
      <c r="A6763" s="13"/>
      <c r="E6763" s="8"/>
      <c r="F6763" s="1"/>
      <c r="J6763" s="2"/>
      <c r="K6763" s="7"/>
    </row>
    <row r="6764" spans="1:11" x14ac:dyDescent="0.35">
      <c r="A6764" s="13"/>
      <c r="E6764" s="8"/>
      <c r="F6764" s="1"/>
      <c r="J6764" s="2"/>
      <c r="K6764" s="7"/>
    </row>
    <row r="6765" spans="1:11" x14ac:dyDescent="0.35">
      <c r="A6765" s="13"/>
      <c r="E6765" s="8"/>
      <c r="F6765" s="1"/>
      <c r="J6765" s="2"/>
      <c r="K6765" s="7"/>
    </row>
    <row r="6766" spans="1:11" x14ac:dyDescent="0.35">
      <c r="A6766" s="13"/>
      <c r="E6766" s="8"/>
      <c r="F6766" s="1"/>
      <c r="J6766" s="2"/>
      <c r="K6766" s="7"/>
    </row>
    <row r="6767" spans="1:11" x14ac:dyDescent="0.35">
      <c r="A6767" s="13"/>
      <c r="E6767" s="8"/>
      <c r="F6767" s="1"/>
      <c r="J6767" s="2"/>
      <c r="K6767" s="7"/>
    </row>
    <row r="6768" spans="1:11" x14ac:dyDescent="0.35">
      <c r="A6768" s="13"/>
      <c r="E6768" s="8"/>
      <c r="F6768" s="1"/>
      <c r="J6768" s="2"/>
      <c r="K6768" s="7"/>
    </row>
    <row r="6769" spans="1:11" x14ac:dyDescent="0.35">
      <c r="A6769" s="13"/>
      <c r="E6769" s="8"/>
      <c r="F6769" s="1"/>
      <c r="J6769" s="2"/>
      <c r="K6769" s="7"/>
    </row>
    <row r="6770" spans="1:11" x14ac:dyDescent="0.35">
      <c r="A6770" s="13"/>
      <c r="E6770" s="8"/>
      <c r="F6770" s="1"/>
      <c r="J6770" s="2"/>
      <c r="K6770" s="7"/>
    </row>
    <row r="6771" spans="1:11" x14ac:dyDescent="0.35">
      <c r="A6771" s="13"/>
      <c r="E6771" s="8"/>
      <c r="F6771" s="1"/>
      <c r="J6771" s="2"/>
      <c r="K6771" s="7"/>
    </row>
    <row r="6772" spans="1:11" x14ac:dyDescent="0.35">
      <c r="A6772" s="13"/>
      <c r="E6772" s="8"/>
      <c r="F6772" s="1"/>
      <c r="J6772" s="2"/>
      <c r="K6772" s="7"/>
    </row>
    <row r="6773" spans="1:11" x14ac:dyDescent="0.35">
      <c r="A6773" s="13"/>
      <c r="E6773" s="8"/>
      <c r="F6773" s="1"/>
      <c r="J6773" s="2"/>
      <c r="K6773" s="7"/>
    </row>
    <row r="6774" spans="1:11" x14ac:dyDescent="0.35">
      <c r="A6774" s="13"/>
      <c r="E6774" s="8"/>
      <c r="F6774" s="1"/>
      <c r="J6774" s="2"/>
      <c r="K6774" s="7"/>
    </row>
    <row r="6775" spans="1:11" x14ac:dyDescent="0.35">
      <c r="A6775" s="13"/>
      <c r="E6775" s="8"/>
      <c r="F6775" s="1"/>
      <c r="J6775" s="2"/>
      <c r="K6775" s="7"/>
    </row>
    <row r="6776" spans="1:11" x14ac:dyDescent="0.35">
      <c r="A6776" s="13"/>
      <c r="E6776" s="8"/>
      <c r="F6776" s="1"/>
      <c r="J6776" s="2"/>
      <c r="K6776" s="7"/>
    </row>
    <row r="6777" spans="1:11" x14ac:dyDescent="0.35">
      <c r="A6777" s="13"/>
      <c r="E6777" s="8"/>
      <c r="F6777" s="1"/>
      <c r="J6777" s="2"/>
      <c r="K6777" s="7"/>
    </row>
    <row r="6778" spans="1:11" x14ac:dyDescent="0.35">
      <c r="A6778" s="13"/>
      <c r="E6778" s="8"/>
      <c r="F6778" s="1"/>
      <c r="J6778" s="2"/>
      <c r="K6778" s="7"/>
    </row>
    <row r="6779" spans="1:11" x14ac:dyDescent="0.35">
      <c r="A6779" s="13"/>
      <c r="E6779" s="8"/>
      <c r="F6779" s="1"/>
      <c r="J6779" s="2"/>
      <c r="K6779" s="7"/>
    </row>
    <row r="6780" spans="1:11" x14ac:dyDescent="0.35">
      <c r="A6780" s="13"/>
      <c r="E6780" s="8"/>
      <c r="F6780" s="1"/>
      <c r="J6780" s="2"/>
      <c r="K6780" s="7"/>
    </row>
    <row r="6781" spans="1:11" x14ac:dyDescent="0.35">
      <c r="A6781" s="13"/>
      <c r="E6781" s="8"/>
      <c r="F6781" s="1"/>
      <c r="J6781" s="2"/>
      <c r="K6781" s="7"/>
    </row>
    <row r="6782" spans="1:11" x14ac:dyDescent="0.35">
      <c r="A6782" s="13"/>
      <c r="E6782" s="8"/>
      <c r="F6782" s="1"/>
      <c r="J6782" s="2"/>
      <c r="K6782" s="7"/>
    </row>
    <row r="6783" spans="1:11" x14ac:dyDescent="0.35">
      <c r="A6783" s="13"/>
      <c r="E6783" s="8"/>
      <c r="F6783" s="1"/>
      <c r="J6783" s="2"/>
      <c r="K6783" s="7"/>
    </row>
    <row r="6784" spans="1:11" x14ac:dyDescent="0.35">
      <c r="A6784" s="13"/>
      <c r="E6784" s="8"/>
      <c r="F6784" s="1"/>
      <c r="J6784" s="2"/>
      <c r="K6784" s="7"/>
    </row>
    <row r="6785" spans="1:11" x14ac:dyDescent="0.35">
      <c r="A6785" s="13"/>
      <c r="E6785" s="8"/>
      <c r="F6785" s="1"/>
      <c r="J6785" s="2"/>
      <c r="K6785" s="7"/>
    </row>
    <row r="6786" spans="1:11" x14ac:dyDescent="0.35">
      <c r="A6786" s="13"/>
      <c r="E6786" s="8"/>
      <c r="F6786" s="1"/>
      <c r="J6786" s="2"/>
      <c r="K6786" s="7"/>
    </row>
    <row r="6787" spans="1:11" x14ac:dyDescent="0.35">
      <c r="A6787" s="13"/>
      <c r="E6787" s="8"/>
      <c r="F6787" s="1"/>
      <c r="J6787" s="2"/>
      <c r="K6787" s="7"/>
    </row>
    <row r="6788" spans="1:11" x14ac:dyDescent="0.35">
      <c r="A6788" s="13"/>
      <c r="E6788" s="8"/>
      <c r="F6788" s="1"/>
      <c r="J6788" s="2"/>
      <c r="K6788" s="7"/>
    </row>
    <row r="6789" spans="1:11" x14ac:dyDescent="0.35">
      <c r="A6789" s="13"/>
      <c r="E6789" s="8"/>
      <c r="F6789" s="1"/>
      <c r="J6789" s="2"/>
      <c r="K6789" s="7"/>
    </row>
    <row r="6790" spans="1:11" x14ac:dyDescent="0.35">
      <c r="A6790" s="13"/>
      <c r="E6790" s="8"/>
      <c r="F6790" s="1"/>
      <c r="J6790" s="2"/>
      <c r="K6790" s="7"/>
    </row>
    <row r="6791" spans="1:11" x14ac:dyDescent="0.35">
      <c r="A6791" s="13"/>
      <c r="E6791" s="8"/>
      <c r="F6791" s="1"/>
      <c r="J6791" s="2"/>
      <c r="K6791" s="7"/>
    </row>
    <row r="6792" spans="1:11" x14ac:dyDescent="0.35">
      <c r="A6792" s="13"/>
      <c r="E6792" s="8"/>
      <c r="F6792" s="1"/>
      <c r="J6792" s="2"/>
      <c r="K6792" s="7"/>
    </row>
    <row r="6793" spans="1:11" x14ac:dyDescent="0.35">
      <c r="A6793" s="13"/>
      <c r="E6793" s="8"/>
      <c r="F6793" s="1"/>
      <c r="J6793" s="2"/>
      <c r="K6793" s="7"/>
    </row>
    <row r="6794" spans="1:11" x14ac:dyDescent="0.35">
      <c r="A6794" s="13"/>
      <c r="E6794" s="8"/>
      <c r="F6794" s="1"/>
      <c r="J6794" s="2"/>
      <c r="K6794" s="7"/>
    </row>
    <row r="6795" spans="1:11" x14ac:dyDescent="0.35">
      <c r="A6795" s="13"/>
      <c r="E6795" s="8"/>
      <c r="F6795" s="1"/>
      <c r="J6795" s="2"/>
      <c r="K6795" s="7"/>
    </row>
    <row r="6796" spans="1:11" x14ac:dyDescent="0.35">
      <c r="A6796" s="13"/>
      <c r="E6796" s="8"/>
      <c r="F6796" s="1"/>
      <c r="J6796" s="2"/>
      <c r="K6796" s="7"/>
    </row>
    <row r="6797" spans="1:11" x14ac:dyDescent="0.35">
      <c r="A6797" s="13"/>
      <c r="E6797" s="8"/>
      <c r="F6797" s="1"/>
      <c r="J6797" s="2"/>
      <c r="K6797" s="7"/>
    </row>
    <row r="6798" spans="1:11" x14ac:dyDescent="0.35">
      <c r="A6798" s="13"/>
      <c r="E6798" s="8"/>
      <c r="F6798" s="1"/>
      <c r="J6798" s="2"/>
      <c r="K6798" s="7"/>
    </row>
    <row r="6799" spans="1:11" x14ac:dyDescent="0.35">
      <c r="A6799" s="13"/>
      <c r="E6799" s="8"/>
      <c r="F6799" s="1"/>
      <c r="J6799" s="2"/>
      <c r="K6799" s="7"/>
    </row>
    <row r="6800" spans="1:11" x14ac:dyDescent="0.35">
      <c r="A6800" s="13"/>
      <c r="E6800" s="8"/>
      <c r="F6800" s="1"/>
      <c r="J6800" s="2"/>
      <c r="K6800" s="7"/>
    </row>
    <row r="6801" spans="1:11" x14ac:dyDescent="0.35">
      <c r="A6801" s="13"/>
      <c r="E6801" s="8"/>
      <c r="F6801" s="1"/>
      <c r="J6801" s="2"/>
      <c r="K6801" s="7"/>
    </row>
    <row r="6802" spans="1:11" x14ac:dyDescent="0.35">
      <c r="A6802" s="13"/>
      <c r="E6802" s="8"/>
      <c r="F6802" s="1"/>
      <c r="J6802" s="2"/>
      <c r="K6802" s="7"/>
    </row>
    <row r="6803" spans="1:11" x14ac:dyDescent="0.35">
      <c r="A6803" s="13"/>
      <c r="E6803" s="8"/>
      <c r="F6803" s="1"/>
      <c r="J6803" s="2"/>
      <c r="K6803" s="7"/>
    </row>
    <row r="6804" spans="1:11" x14ac:dyDescent="0.35">
      <c r="A6804" s="13"/>
      <c r="E6804" s="8"/>
      <c r="F6804" s="1"/>
      <c r="J6804" s="2"/>
      <c r="K6804" s="7"/>
    </row>
    <row r="6805" spans="1:11" x14ac:dyDescent="0.35">
      <c r="A6805" s="13"/>
      <c r="E6805" s="8"/>
      <c r="F6805" s="1"/>
      <c r="J6805" s="2"/>
      <c r="K6805" s="7"/>
    </row>
    <row r="6806" spans="1:11" x14ac:dyDescent="0.35">
      <c r="A6806" s="13"/>
      <c r="E6806" s="8"/>
      <c r="F6806" s="1"/>
      <c r="J6806" s="2"/>
      <c r="K6806" s="7"/>
    </row>
    <row r="6807" spans="1:11" x14ac:dyDescent="0.35">
      <c r="A6807" s="13"/>
      <c r="E6807" s="8"/>
      <c r="F6807" s="1"/>
      <c r="J6807" s="2"/>
      <c r="K6807" s="7"/>
    </row>
    <row r="6808" spans="1:11" x14ac:dyDescent="0.35">
      <c r="A6808" s="13"/>
      <c r="E6808" s="8"/>
      <c r="F6808" s="1"/>
      <c r="J6808" s="2"/>
      <c r="K6808" s="7"/>
    </row>
    <row r="6809" spans="1:11" x14ac:dyDescent="0.35">
      <c r="A6809" s="13"/>
      <c r="E6809" s="8"/>
      <c r="F6809" s="1"/>
      <c r="J6809" s="2"/>
      <c r="K6809" s="7"/>
    </row>
    <row r="6810" spans="1:11" x14ac:dyDescent="0.35">
      <c r="A6810" s="13"/>
      <c r="E6810" s="8"/>
      <c r="F6810" s="1"/>
      <c r="J6810" s="2"/>
      <c r="K6810" s="7"/>
    </row>
    <row r="6811" spans="1:11" x14ac:dyDescent="0.35">
      <c r="A6811" s="13"/>
      <c r="E6811" s="8"/>
      <c r="F6811" s="1"/>
      <c r="J6811" s="2"/>
      <c r="K6811" s="7"/>
    </row>
    <row r="6812" spans="1:11" x14ac:dyDescent="0.35">
      <c r="A6812" s="13"/>
      <c r="E6812" s="8"/>
      <c r="F6812" s="1"/>
      <c r="J6812" s="2"/>
      <c r="K6812" s="7"/>
    </row>
    <row r="6813" spans="1:11" x14ac:dyDescent="0.35">
      <c r="A6813" s="13"/>
      <c r="E6813" s="8"/>
      <c r="F6813" s="1"/>
      <c r="J6813" s="2"/>
      <c r="K6813" s="7"/>
    </row>
    <row r="6814" spans="1:11" x14ac:dyDescent="0.35">
      <c r="A6814" s="13"/>
      <c r="E6814" s="8"/>
      <c r="F6814" s="1"/>
      <c r="J6814" s="2"/>
      <c r="K6814" s="7"/>
    </row>
    <row r="6815" spans="1:11" x14ac:dyDescent="0.35">
      <c r="A6815" s="13"/>
      <c r="E6815" s="8"/>
      <c r="F6815" s="1"/>
      <c r="J6815" s="2"/>
      <c r="K6815" s="7"/>
    </row>
    <row r="6816" spans="1:11" x14ac:dyDescent="0.35">
      <c r="A6816" s="13"/>
      <c r="E6816" s="8"/>
      <c r="F6816" s="1"/>
      <c r="J6816" s="2"/>
      <c r="K6816" s="7"/>
    </row>
    <row r="6817" spans="1:11" x14ac:dyDescent="0.35">
      <c r="A6817" s="13"/>
      <c r="E6817" s="8"/>
      <c r="F6817" s="1"/>
      <c r="J6817" s="2"/>
      <c r="K6817" s="7"/>
    </row>
    <row r="6818" spans="1:11" x14ac:dyDescent="0.35">
      <c r="A6818" s="13"/>
      <c r="E6818" s="8"/>
      <c r="F6818" s="1"/>
      <c r="J6818" s="2"/>
      <c r="K6818" s="7"/>
    </row>
    <row r="6819" spans="1:11" x14ac:dyDescent="0.35">
      <c r="A6819" s="13"/>
      <c r="E6819" s="8"/>
      <c r="F6819" s="1"/>
      <c r="J6819" s="2"/>
      <c r="K6819" s="7"/>
    </row>
    <row r="6820" spans="1:11" x14ac:dyDescent="0.35">
      <c r="A6820" s="13"/>
      <c r="E6820" s="8"/>
      <c r="F6820" s="1"/>
      <c r="J6820" s="2"/>
      <c r="K6820" s="7"/>
    </row>
    <row r="6821" spans="1:11" x14ac:dyDescent="0.35">
      <c r="A6821" s="13"/>
      <c r="E6821" s="8"/>
      <c r="F6821" s="1"/>
      <c r="J6821" s="2"/>
      <c r="K6821" s="7"/>
    </row>
    <row r="6822" spans="1:11" x14ac:dyDescent="0.35">
      <c r="A6822" s="13"/>
      <c r="E6822" s="8"/>
      <c r="F6822" s="1"/>
      <c r="J6822" s="2"/>
      <c r="K6822" s="7"/>
    </row>
    <row r="6823" spans="1:11" x14ac:dyDescent="0.35">
      <c r="A6823" s="13"/>
      <c r="E6823" s="8"/>
      <c r="F6823" s="1"/>
      <c r="J6823" s="2"/>
      <c r="K6823" s="7"/>
    </row>
    <row r="6824" spans="1:11" x14ac:dyDescent="0.35">
      <c r="A6824" s="13"/>
      <c r="E6824" s="8"/>
      <c r="F6824" s="1"/>
      <c r="J6824" s="2"/>
      <c r="K6824" s="7"/>
    </row>
    <row r="6825" spans="1:11" x14ac:dyDescent="0.35">
      <c r="A6825" s="13"/>
      <c r="E6825" s="8"/>
      <c r="F6825" s="1"/>
      <c r="J6825" s="2"/>
      <c r="K6825" s="7"/>
    </row>
    <row r="6826" spans="1:11" x14ac:dyDescent="0.35">
      <c r="A6826" s="13"/>
      <c r="E6826" s="8"/>
      <c r="F6826" s="1"/>
      <c r="J6826" s="2"/>
      <c r="K6826" s="7"/>
    </row>
    <row r="6827" spans="1:11" x14ac:dyDescent="0.35">
      <c r="A6827" s="13"/>
      <c r="E6827" s="8"/>
      <c r="F6827" s="1"/>
      <c r="J6827" s="2"/>
      <c r="K6827" s="7"/>
    </row>
    <row r="6828" spans="1:11" x14ac:dyDescent="0.35">
      <c r="A6828" s="13"/>
      <c r="E6828" s="8"/>
      <c r="F6828" s="1"/>
      <c r="J6828" s="2"/>
      <c r="K6828" s="7"/>
    </row>
    <row r="6829" spans="1:11" x14ac:dyDescent="0.35">
      <c r="A6829" s="13"/>
      <c r="E6829" s="8"/>
      <c r="F6829" s="1"/>
      <c r="J6829" s="2"/>
      <c r="K6829" s="7"/>
    </row>
    <row r="6830" spans="1:11" x14ac:dyDescent="0.35">
      <c r="A6830" s="13"/>
      <c r="E6830" s="8"/>
      <c r="F6830" s="1"/>
      <c r="J6830" s="2"/>
      <c r="K6830" s="7"/>
    </row>
    <row r="6831" spans="1:11" x14ac:dyDescent="0.35">
      <c r="A6831" s="13"/>
      <c r="E6831" s="8"/>
      <c r="F6831" s="1"/>
      <c r="J6831" s="2"/>
      <c r="K6831" s="7"/>
    </row>
    <row r="6832" spans="1:11" x14ac:dyDescent="0.35">
      <c r="A6832" s="13"/>
      <c r="E6832" s="8"/>
      <c r="F6832" s="1"/>
      <c r="J6832" s="2"/>
      <c r="K6832" s="7"/>
    </row>
    <row r="6833" spans="1:11" x14ac:dyDescent="0.35">
      <c r="A6833" s="13"/>
      <c r="E6833" s="8"/>
      <c r="F6833" s="1"/>
      <c r="J6833" s="2"/>
      <c r="K6833" s="7"/>
    </row>
    <row r="6834" spans="1:11" x14ac:dyDescent="0.35">
      <c r="A6834" s="13"/>
      <c r="E6834" s="8"/>
      <c r="F6834" s="1"/>
      <c r="J6834" s="2"/>
      <c r="K6834" s="7"/>
    </row>
    <row r="6835" spans="1:11" x14ac:dyDescent="0.35">
      <c r="A6835" s="13"/>
      <c r="E6835" s="8"/>
      <c r="F6835" s="1"/>
      <c r="J6835" s="2"/>
      <c r="K6835" s="7"/>
    </row>
    <row r="6836" spans="1:11" x14ac:dyDescent="0.35">
      <c r="A6836" s="13"/>
      <c r="E6836" s="8"/>
      <c r="F6836" s="1"/>
      <c r="J6836" s="2"/>
      <c r="K6836" s="7"/>
    </row>
    <row r="6837" spans="1:11" x14ac:dyDescent="0.35">
      <c r="A6837" s="13"/>
      <c r="E6837" s="8"/>
      <c r="F6837" s="1"/>
      <c r="J6837" s="2"/>
      <c r="K6837" s="7"/>
    </row>
    <row r="6838" spans="1:11" x14ac:dyDescent="0.35">
      <c r="A6838" s="13"/>
      <c r="E6838" s="8"/>
      <c r="F6838" s="1"/>
      <c r="J6838" s="2"/>
      <c r="K6838" s="7"/>
    </row>
    <row r="6839" spans="1:11" x14ac:dyDescent="0.35">
      <c r="A6839" s="13"/>
      <c r="E6839" s="8"/>
      <c r="F6839" s="1"/>
      <c r="J6839" s="2"/>
      <c r="K6839" s="7"/>
    </row>
    <row r="6840" spans="1:11" x14ac:dyDescent="0.35">
      <c r="A6840" s="13"/>
      <c r="E6840" s="8"/>
      <c r="F6840" s="1"/>
      <c r="J6840" s="2"/>
      <c r="K6840" s="7"/>
    </row>
    <row r="6841" spans="1:11" x14ac:dyDescent="0.35">
      <c r="A6841" s="13"/>
      <c r="E6841" s="8"/>
      <c r="F6841" s="1"/>
      <c r="J6841" s="2"/>
      <c r="K6841" s="7"/>
    </row>
    <row r="6842" spans="1:11" x14ac:dyDescent="0.35">
      <c r="A6842" s="13"/>
      <c r="E6842" s="8"/>
      <c r="F6842" s="1"/>
      <c r="J6842" s="2"/>
      <c r="K6842" s="7"/>
    </row>
    <row r="6843" spans="1:11" x14ac:dyDescent="0.35">
      <c r="A6843" s="13"/>
      <c r="E6843" s="8"/>
      <c r="F6843" s="1"/>
      <c r="J6843" s="2"/>
      <c r="K6843" s="7"/>
    </row>
    <row r="6844" spans="1:11" x14ac:dyDescent="0.35">
      <c r="A6844" s="13"/>
      <c r="E6844" s="8"/>
      <c r="F6844" s="1"/>
      <c r="J6844" s="2"/>
      <c r="K6844" s="7"/>
    </row>
    <row r="6845" spans="1:11" x14ac:dyDescent="0.35">
      <c r="A6845" s="13"/>
      <c r="E6845" s="8"/>
      <c r="F6845" s="1"/>
      <c r="J6845" s="2"/>
      <c r="K6845" s="7"/>
    </row>
    <row r="6846" spans="1:11" x14ac:dyDescent="0.35">
      <c r="A6846" s="13"/>
      <c r="E6846" s="8"/>
      <c r="F6846" s="1"/>
      <c r="J6846" s="2"/>
      <c r="K6846" s="7"/>
    </row>
    <row r="6847" spans="1:11" x14ac:dyDescent="0.35">
      <c r="A6847" s="13"/>
      <c r="E6847" s="8"/>
      <c r="F6847" s="1"/>
      <c r="J6847" s="2"/>
      <c r="K6847" s="7"/>
    </row>
    <row r="6848" spans="1:11" x14ac:dyDescent="0.35">
      <c r="A6848" s="13"/>
      <c r="E6848" s="8"/>
      <c r="F6848" s="1"/>
      <c r="J6848" s="2"/>
      <c r="K6848" s="7"/>
    </row>
    <row r="6849" spans="1:11" x14ac:dyDescent="0.35">
      <c r="A6849" s="13"/>
      <c r="E6849" s="8"/>
      <c r="F6849" s="1"/>
      <c r="J6849" s="2"/>
      <c r="K6849" s="7"/>
    </row>
    <row r="6850" spans="1:11" x14ac:dyDescent="0.35">
      <c r="A6850" s="13"/>
      <c r="E6850" s="8"/>
      <c r="F6850" s="1"/>
      <c r="J6850" s="2"/>
      <c r="K6850" s="7"/>
    </row>
    <row r="6851" spans="1:11" x14ac:dyDescent="0.35">
      <c r="A6851" s="13"/>
      <c r="E6851" s="8"/>
      <c r="F6851" s="1"/>
      <c r="J6851" s="2"/>
      <c r="K6851" s="7"/>
    </row>
    <row r="6852" spans="1:11" x14ac:dyDescent="0.35">
      <c r="A6852" s="13"/>
      <c r="E6852" s="8"/>
      <c r="F6852" s="1"/>
      <c r="J6852" s="2"/>
      <c r="K6852" s="7"/>
    </row>
    <row r="6853" spans="1:11" x14ac:dyDescent="0.35">
      <c r="A6853" s="13"/>
      <c r="E6853" s="8"/>
      <c r="F6853" s="1"/>
      <c r="J6853" s="2"/>
      <c r="K6853" s="7"/>
    </row>
    <row r="6854" spans="1:11" x14ac:dyDescent="0.35">
      <c r="A6854" s="13"/>
      <c r="E6854" s="8"/>
      <c r="F6854" s="1"/>
      <c r="J6854" s="2"/>
      <c r="K6854" s="7"/>
    </row>
    <row r="6855" spans="1:11" x14ac:dyDescent="0.35">
      <c r="A6855" s="13"/>
      <c r="E6855" s="8"/>
      <c r="F6855" s="1"/>
      <c r="J6855" s="2"/>
      <c r="K6855" s="7"/>
    </row>
    <row r="6856" spans="1:11" x14ac:dyDescent="0.35">
      <c r="A6856" s="13"/>
      <c r="E6856" s="8"/>
      <c r="F6856" s="1"/>
      <c r="J6856" s="2"/>
      <c r="K6856" s="7"/>
    </row>
    <row r="6857" spans="1:11" x14ac:dyDescent="0.35">
      <c r="A6857" s="13"/>
      <c r="E6857" s="8"/>
      <c r="F6857" s="1"/>
      <c r="J6857" s="2"/>
      <c r="K6857" s="7"/>
    </row>
    <row r="6858" spans="1:11" x14ac:dyDescent="0.35">
      <c r="A6858" s="13"/>
      <c r="E6858" s="8"/>
      <c r="F6858" s="1"/>
      <c r="J6858" s="2"/>
      <c r="K6858" s="7"/>
    </row>
    <row r="6859" spans="1:11" x14ac:dyDescent="0.35">
      <c r="A6859" s="13"/>
      <c r="E6859" s="8"/>
      <c r="F6859" s="1"/>
      <c r="J6859" s="2"/>
      <c r="K6859" s="7"/>
    </row>
    <row r="6860" spans="1:11" x14ac:dyDescent="0.35">
      <c r="A6860" s="13"/>
      <c r="E6860" s="8"/>
      <c r="F6860" s="1"/>
      <c r="J6860" s="2"/>
      <c r="K6860" s="7"/>
    </row>
    <row r="6861" spans="1:11" x14ac:dyDescent="0.35">
      <c r="A6861" s="13"/>
      <c r="E6861" s="8"/>
      <c r="F6861" s="1"/>
      <c r="J6861" s="2"/>
      <c r="K6861" s="7"/>
    </row>
    <row r="6862" spans="1:11" x14ac:dyDescent="0.35">
      <c r="A6862" s="13"/>
      <c r="E6862" s="8"/>
      <c r="F6862" s="1"/>
      <c r="J6862" s="2"/>
      <c r="K6862" s="7"/>
    </row>
    <row r="6863" spans="1:11" x14ac:dyDescent="0.35">
      <c r="A6863" s="13"/>
      <c r="E6863" s="8"/>
      <c r="F6863" s="1"/>
      <c r="J6863" s="2"/>
      <c r="K6863" s="7"/>
    </row>
    <row r="6864" spans="1:11" x14ac:dyDescent="0.35">
      <c r="A6864" s="13"/>
      <c r="E6864" s="8"/>
      <c r="F6864" s="1"/>
      <c r="J6864" s="2"/>
      <c r="K6864" s="7"/>
    </row>
    <row r="6865" spans="1:11" x14ac:dyDescent="0.35">
      <c r="A6865" s="13"/>
      <c r="E6865" s="8"/>
      <c r="F6865" s="1"/>
      <c r="J6865" s="2"/>
      <c r="K6865" s="7"/>
    </row>
    <row r="6866" spans="1:11" x14ac:dyDescent="0.35">
      <c r="A6866" s="13"/>
      <c r="E6866" s="8"/>
      <c r="F6866" s="1"/>
      <c r="J6866" s="2"/>
      <c r="K6866" s="7"/>
    </row>
    <row r="6867" spans="1:11" x14ac:dyDescent="0.35">
      <c r="A6867" s="13"/>
      <c r="E6867" s="8"/>
      <c r="F6867" s="1"/>
      <c r="J6867" s="2"/>
      <c r="K6867" s="7"/>
    </row>
    <row r="6868" spans="1:11" x14ac:dyDescent="0.35">
      <c r="A6868" s="13"/>
      <c r="E6868" s="8"/>
      <c r="F6868" s="1"/>
      <c r="J6868" s="2"/>
      <c r="K6868" s="7"/>
    </row>
    <row r="6869" spans="1:11" x14ac:dyDescent="0.35">
      <c r="A6869" s="13"/>
      <c r="E6869" s="8"/>
      <c r="F6869" s="1"/>
      <c r="J6869" s="2"/>
      <c r="K6869" s="7"/>
    </row>
    <row r="6870" spans="1:11" x14ac:dyDescent="0.35">
      <c r="A6870" s="13"/>
      <c r="E6870" s="8"/>
      <c r="F6870" s="1"/>
      <c r="J6870" s="2"/>
      <c r="K6870" s="7"/>
    </row>
    <row r="6871" spans="1:11" x14ac:dyDescent="0.35">
      <c r="A6871" s="13"/>
      <c r="E6871" s="8"/>
      <c r="F6871" s="1"/>
      <c r="J6871" s="2"/>
      <c r="K6871" s="7"/>
    </row>
    <row r="6872" spans="1:11" x14ac:dyDescent="0.35">
      <c r="A6872" s="13"/>
      <c r="E6872" s="8"/>
      <c r="F6872" s="1"/>
      <c r="J6872" s="2"/>
      <c r="K6872" s="7"/>
    </row>
    <row r="6873" spans="1:11" x14ac:dyDescent="0.35">
      <c r="A6873" s="13"/>
      <c r="E6873" s="8"/>
      <c r="F6873" s="1"/>
      <c r="J6873" s="2"/>
      <c r="K6873" s="7"/>
    </row>
    <row r="6874" spans="1:11" x14ac:dyDescent="0.35">
      <c r="A6874" s="13"/>
      <c r="E6874" s="8"/>
      <c r="F6874" s="1"/>
      <c r="J6874" s="2"/>
      <c r="K6874" s="7"/>
    </row>
    <row r="6875" spans="1:11" x14ac:dyDescent="0.35">
      <c r="A6875" s="13"/>
      <c r="E6875" s="8"/>
      <c r="F6875" s="1"/>
      <c r="J6875" s="2"/>
      <c r="K6875" s="7"/>
    </row>
    <row r="6876" spans="1:11" x14ac:dyDescent="0.35">
      <c r="A6876" s="13"/>
      <c r="E6876" s="8"/>
      <c r="F6876" s="1"/>
      <c r="J6876" s="2"/>
      <c r="K6876" s="7"/>
    </row>
    <row r="6877" spans="1:11" x14ac:dyDescent="0.35">
      <c r="A6877" s="13"/>
      <c r="E6877" s="8"/>
      <c r="F6877" s="1"/>
      <c r="J6877" s="2"/>
      <c r="K6877" s="7"/>
    </row>
    <row r="6878" spans="1:11" x14ac:dyDescent="0.35">
      <c r="A6878" s="13"/>
      <c r="E6878" s="8"/>
      <c r="F6878" s="1"/>
      <c r="J6878" s="2"/>
      <c r="K6878" s="7"/>
    </row>
    <row r="6879" spans="1:11" x14ac:dyDescent="0.35">
      <c r="A6879" s="13"/>
      <c r="E6879" s="8"/>
      <c r="F6879" s="1"/>
      <c r="J6879" s="2"/>
      <c r="K6879" s="7"/>
    </row>
    <row r="6880" spans="1:11" x14ac:dyDescent="0.35">
      <c r="A6880" s="13"/>
      <c r="E6880" s="8"/>
      <c r="F6880" s="1"/>
      <c r="J6880" s="2"/>
      <c r="K6880" s="7"/>
    </row>
    <row r="6881" spans="1:11" x14ac:dyDescent="0.35">
      <c r="A6881" s="13"/>
      <c r="E6881" s="8"/>
      <c r="F6881" s="1"/>
      <c r="J6881" s="2"/>
      <c r="K6881" s="7"/>
    </row>
    <row r="6882" spans="1:11" x14ac:dyDescent="0.35">
      <c r="A6882" s="13"/>
      <c r="E6882" s="8"/>
      <c r="F6882" s="1"/>
      <c r="J6882" s="2"/>
      <c r="K6882" s="7"/>
    </row>
    <row r="6883" spans="1:11" x14ac:dyDescent="0.35">
      <c r="A6883" s="13"/>
      <c r="E6883" s="8"/>
      <c r="F6883" s="1"/>
      <c r="J6883" s="2"/>
      <c r="K6883" s="7"/>
    </row>
    <row r="6884" spans="1:11" x14ac:dyDescent="0.35">
      <c r="A6884" s="13"/>
      <c r="E6884" s="8"/>
      <c r="F6884" s="1"/>
      <c r="J6884" s="2"/>
      <c r="K6884" s="7"/>
    </row>
    <row r="6885" spans="1:11" x14ac:dyDescent="0.35">
      <c r="A6885" s="13"/>
      <c r="E6885" s="8"/>
      <c r="F6885" s="1"/>
      <c r="J6885" s="2"/>
      <c r="K6885" s="7"/>
    </row>
    <row r="6886" spans="1:11" x14ac:dyDescent="0.35">
      <c r="A6886" s="13"/>
      <c r="E6886" s="8"/>
      <c r="F6886" s="1"/>
      <c r="J6886" s="2"/>
      <c r="K6886" s="7"/>
    </row>
    <row r="6887" spans="1:11" x14ac:dyDescent="0.35">
      <c r="A6887" s="13"/>
      <c r="E6887" s="8"/>
      <c r="F6887" s="1"/>
      <c r="J6887" s="2"/>
      <c r="K6887" s="7"/>
    </row>
    <row r="6888" spans="1:11" x14ac:dyDescent="0.35">
      <c r="A6888" s="13"/>
      <c r="E6888" s="8"/>
      <c r="F6888" s="1"/>
      <c r="J6888" s="2"/>
      <c r="K6888" s="7"/>
    </row>
    <row r="6889" spans="1:11" x14ac:dyDescent="0.35">
      <c r="A6889" s="13"/>
      <c r="E6889" s="8"/>
      <c r="F6889" s="1"/>
      <c r="J6889" s="2"/>
      <c r="K6889" s="7"/>
    </row>
    <row r="6890" spans="1:11" x14ac:dyDescent="0.35">
      <c r="A6890" s="13"/>
      <c r="E6890" s="8"/>
      <c r="F6890" s="1"/>
      <c r="J6890" s="2"/>
      <c r="K6890" s="7"/>
    </row>
    <row r="6891" spans="1:11" x14ac:dyDescent="0.35">
      <c r="A6891" s="13"/>
      <c r="E6891" s="8"/>
      <c r="F6891" s="1"/>
      <c r="J6891" s="2"/>
      <c r="K6891" s="7"/>
    </row>
    <row r="6892" spans="1:11" x14ac:dyDescent="0.35">
      <c r="A6892" s="13"/>
      <c r="E6892" s="8"/>
      <c r="F6892" s="1"/>
      <c r="J6892" s="2"/>
      <c r="K6892" s="7"/>
    </row>
    <row r="6893" spans="1:11" x14ac:dyDescent="0.35">
      <c r="A6893" s="13"/>
      <c r="E6893" s="8"/>
      <c r="F6893" s="1"/>
      <c r="J6893" s="2"/>
      <c r="K6893" s="7"/>
    </row>
    <row r="6894" spans="1:11" x14ac:dyDescent="0.35">
      <c r="A6894" s="13"/>
      <c r="E6894" s="8"/>
      <c r="F6894" s="1"/>
      <c r="J6894" s="2"/>
      <c r="K6894" s="7"/>
    </row>
    <row r="6895" spans="1:11" x14ac:dyDescent="0.35">
      <c r="A6895" s="13"/>
      <c r="E6895" s="8"/>
      <c r="F6895" s="1"/>
      <c r="J6895" s="2"/>
      <c r="K6895" s="7"/>
    </row>
    <row r="6896" spans="1:11" x14ac:dyDescent="0.35">
      <c r="A6896" s="13"/>
      <c r="E6896" s="8"/>
      <c r="F6896" s="1"/>
      <c r="J6896" s="2"/>
      <c r="K6896" s="7"/>
    </row>
    <row r="6897" spans="1:11" x14ac:dyDescent="0.35">
      <c r="A6897" s="13"/>
      <c r="E6897" s="8"/>
      <c r="F6897" s="1"/>
      <c r="J6897" s="2"/>
      <c r="K6897" s="7"/>
    </row>
    <row r="6898" spans="1:11" x14ac:dyDescent="0.35">
      <c r="A6898" s="13"/>
      <c r="E6898" s="8"/>
      <c r="F6898" s="1"/>
      <c r="J6898" s="2"/>
      <c r="K6898" s="7"/>
    </row>
    <row r="6899" spans="1:11" x14ac:dyDescent="0.35">
      <c r="A6899" s="13"/>
      <c r="E6899" s="8"/>
      <c r="F6899" s="1"/>
      <c r="J6899" s="2"/>
      <c r="K6899" s="7"/>
    </row>
    <row r="6900" spans="1:11" x14ac:dyDescent="0.35">
      <c r="A6900" s="13"/>
      <c r="E6900" s="8"/>
      <c r="F6900" s="1"/>
      <c r="J6900" s="2"/>
      <c r="K6900" s="7"/>
    </row>
    <row r="6901" spans="1:11" x14ac:dyDescent="0.35">
      <c r="A6901" s="13"/>
      <c r="E6901" s="8"/>
      <c r="F6901" s="1"/>
      <c r="J6901" s="2"/>
      <c r="K6901" s="7"/>
    </row>
    <row r="6902" spans="1:11" x14ac:dyDescent="0.35">
      <c r="A6902" s="13"/>
      <c r="E6902" s="8"/>
      <c r="F6902" s="1"/>
      <c r="J6902" s="2"/>
      <c r="K6902" s="7"/>
    </row>
    <row r="6903" spans="1:11" x14ac:dyDescent="0.35">
      <c r="A6903" s="13"/>
      <c r="E6903" s="8"/>
      <c r="F6903" s="1"/>
      <c r="J6903" s="2"/>
      <c r="K6903" s="7"/>
    </row>
    <row r="6904" spans="1:11" x14ac:dyDescent="0.35">
      <c r="A6904" s="13"/>
      <c r="E6904" s="8"/>
      <c r="F6904" s="1"/>
      <c r="J6904" s="2"/>
      <c r="K6904" s="7"/>
    </row>
    <row r="6905" spans="1:11" x14ac:dyDescent="0.35">
      <c r="A6905" s="13"/>
      <c r="E6905" s="8"/>
      <c r="F6905" s="1"/>
      <c r="J6905" s="2"/>
      <c r="K6905" s="7"/>
    </row>
    <row r="6906" spans="1:11" x14ac:dyDescent="0.35">
      <c r="A6906" s="13"/>
      <c r="E6906" s="8"/>
      <c r="F6906" s="1"/>
      <c r="J6906" s="2"/>
      <c r="K6906" s="7"/>
    </row>
    <row r="6907" spans="1:11" x14ac:dyDescent="0.35">
      <c r="A6907" s="13"/>
      <c r="E6907" s="8"/>
      <c r="F6907" s="1"/>
      <c r="J6907" s="2"/>
      <c r="K6907" s="7"/>
    </row>
    <row r="6908" spans="1:11" x14ac:dyDescent="0.35">
      <c r="A6908" s="13"/>
      <c r="E6908" s="8"/>
      <c r="F6908" s="1"/>
      <c r="J6908" s="2"/>
      <c r="K6908" s="7"/>
    </row>
    <row r="6909" spans="1:11" x14ac:dyDescent="0.35">
      <c r="A6909" s="13"/>
      <c r="E6909" s="8"/>
      <c r="F6909" s="1"/>
      <c r="J6909" s="2"/>
      <c r="K6909" s="7"/>
    </row>
    <row r="6910" spans="1:11" x14ac:dyDescent="0.35">
      <c r="A6910" s="13"/>
      <c r="E6910" s="8"/>
      <c r="F6910" s="1"/>
      <c r="J6910" s="2"/>
      <c r="K6910" s="7"/>
    </row>
    <row r="6911" spans="1:11" x14ac:dyDescent="0.35">
      <c r="A6911" s="13"/>
      <c r="E6911" s="8"/>
      <c r="F6911" s="1"/>
      <c r="J6911" s="2"/>
      <c r="K6911" s="7"/>
    </row>
    <row r="6912" spans="1:11" x14ac:dyDescent="0.35">
      <c r="A6912" s="13"/>
      <c r="E6912" s="8"/>
      <c r="F6912" s="1"/>
      <c r="J6912" s="2"/>
      <c r="K6912" s="7"/>
    </row>
    <row r="6913" spans="1:11" x14ac:dyDescent="0.35">
      <c r="A6913" s="13"/>
      <c r="E6913" s="8"/>
      <c r="F6913" s="1"/>
      <c r="J6913" s="2"/>
      <c r="K6913" s="7"/>
    </row>
    <row r="6914" spans="1:11" x14ac:dyDescent="0.35">
      <c r="A6914" s="13"/>
      <c r="E6914" s="8"/>
      <c r="F6914" s="1"/>
      <c r="J6914" s="2"/>
      <c r="K6914" s="7"/>
    </row>
    <row r="6915" spans="1:11" x14ac:dyDescent="0.35">
      <c r="A6915" s="13"/>
      <c r="E6915" s="8"/>
      <c r="F6915" s="1"/>
      <c r="J6915" s="2"/>
      <c r="K6915" s="7"/>
    </row>
    <row r="6916" spans="1:11" x14ac:dyDescent="0.35">
      <c r="A6916" s="13"/>
      <c r="E6916" s="8"/>
      <c r="F6916" s="1"/>
      <c r="J6916" s="2"/>
      <c r="K6916" s="7"/>
    </row>
    <row r="6917" spans="1:11" x14ac:dyDescent="0.35">
      <c r="A6917" s="13"/>
      <c r="E6917" s="8"/>
      <c r="F6917" s="1"/>
      <c r="J6917" s="2"/>
      <c r="K6917" s="7"/>
    </row>
    <row r="6918" spans="1:11" x14ac:dyDescent="0.35">
      <c r="A6918" s="13"/>
      <c r="E6918" s="8"/>
      <c r="F6918" s="1"/>
      <c r="J6918" s="2"/>
      <c r="K6918" s="7"/>
    </row>
    <row r="6919" spans="1:11" x14ac:dyDescent="0.35">
      <c r="A6919" s="13"/>
      <c r="E6919" s="8"/>
      <c r="F6919" s="1"/>
      <c r="J6919" s="2"/>
      <c r="K6919" s="7"/>
    </row>
    <row r="6920" spans="1:11" x14ac:dyDescent="0.35">
      <c r="A6920" s="13"/>
      <c r="E6920" s="8"/>
      <c r="F6920" s="1"/>
      <c r="J6920" s="2"/>
      <c r="K6920" s="7"/>
    </row>
    <row r="6921" spans="1:11" x14ac:dyDescent="0.35">
      <c r="A6921" s="13"/>
      <c r="E6921" s="8"/>
      <c r="F6921" s="1"/>
      <c r="J6921" s="2"/>
      <c r="K6921" s="7"/>
    </row>
    <row r="6922" spans="1:11" x14ac:dyDescent="0.35">
      <c r="A6922" s="13"/>
      <c r="E6922" s="8"/>
      <c r="F6922" s="1"/>
      <c r="J6922" s="2"/>
      <c r="K6922" s="7"/>
    </row>
    <row r="6923" spans="1:11" x14ac:dyDescent="0.35">
      <c r="A6923" s="13"/>
      <c r="E6923" s="8"/>
      <c r="F6923" s="1"/>
      <c r="J6923" s="2"/>
      <c r="K6923" s="7"/>
    </row>
    <row r="6924" spans="1:11" x14ac:dyDescent="0.35">
      <c r="A6924" s="13"/>
      <c r="E6924" s="8"/>
      <c r="F6924" s="1"/>
      <c r="J6924" s="2"/>
      <c r="K6924" s="7"/>
    </row>
    <row r="6925" spans="1:11" x14ac:dyDescent="0.35">
      <c r="A6925" s="13"/>
      <c r="E6925" s="8"/>
      <c r="F6925" s="1"/>
      <c r="J6925" s="2"/>
      <c r="K6925" s="7"/>
    </row>
    <row r="6926" spans="1:11" x14ac:dyDescent="0.35">
      <c r="A6926" s="13"/>
      <c r="E6926" s="8"/>
      <c r="F6926" s="1"/>
      <c r="J6926" s="2"/>
      <c r="K6926" s="7"/>
    </row>
    <row r="6927" spans="1:11" x14ac:dyDescent="0.35">
      <c r="A6927" s="13"/>
      <c r="E6927" s="8"/>
      <c r="F6927" s="1"/>
      <c r="J6927" s="2"/>
      <c r="K6927" s="7"/>
    </row>
    <row r="6928" spans="1:11" x14ac:dyDescent="0.35">
      <c r="A6928" s="13"/>
      <c r="E6928" s="8"/>
      <c r="F6928" s="1"/>
      <c r="J6928" s="2"/>
      <c r="K6928" s="7"/>
    </row>
    <row r="6929" spans="1:11" x14ac:dyDescent="0.35">
      <c r="A6929" s="13"/>
      <c r="E6929" s="8"/>
      <c r="F6929" s="1"/>
      <c r="J6929" s="2"/>
      <c r="K6929" s="7"/>
    </row>
    <row r="6930" spans="1:11" x14ac:dyDescent="0.35">
      <c r="A6930" s="13"/>
      <c r="E6930" s="8"/>
      <c r="F6930" s="1"/>
      <c r="J6930" s="2"/>
      <c r="K6930" s="7"/>
    </row>
    <row r="6931" spans="1:11" x14ac:dyDescent="0.35">
      <c r="A6931" s="13"/>
      <c r="E6931" s="8"/>
      <c r="F6931" s="1"/>
      <c r="J6931" s="2"/>
      <c r="K6931" s="7"/>
    </row>
    <row r="6932" spans="1:11" x14ac:dyDescent="0.35">
      <c r="A6932" s="13"/>
      <c r="E6932" s="8"/>
      <c r="F6932" s="1"/>
      <c r="J6932" s="2"/>
      <c r="K6932" s="7"/>
    </row>
    <row r="6933" spans="1:11" x14ac:dyDescent="0.35">
      <c r="A6933" s="13"/>
      <c r="E6933" s="8"/>
      <c r="F6933" s="1"/>
      <c r="J6933" s="2"/>
      <c r="K6933" s="7"/>
    </row>
    <row r="6934" spans="1:11" x14ac:dyDescent="0.35">
      <c r="A6934" s="13"/>
      <c r="E6934" s="8"/>
      <c r="F6934" s="1"/>
      <c r="J6934" s="2"/>
      <c r="K6934" s="7"/>
    </row>
    <row r="6935" spans="1:11" x14ac:dyDescent="0.35">
      <c r="A6935" s="13"/>
      <c r="E6935" s="8"/>
      <c r="F6935" s="1"/>
      <c r="J6935" s="2"/>
      <c r="K6935" s="7"/>
    </row>
    <row r="6936" spans="1:11" x14ac:dyDescent="0.35">
      <c r="A6936" s="13"/>
      <c r="E6936" s="8"/>
      <c r="F6936" s="1"/>
      <c r="J6936" s="2"/>
      <c r="K6936" s="7"/>
    </row>
    <row r="6937" spans="1:11" x14ac:dyDescent="0.35">
      <c r="A6937" s="13"/>
      <c r="E6937" s="8"/>
      <c r="F6937" s="1"/>
      <c r="J6937" s="2"/>
      <c r="K6937" s="7"/>
    </row>
    <row r="6938" spans="1:11" x14ac:dyDescent="0.35">
      <c r="A6938" s="13"/>
      <c r="E6938" s="8"/>
      <c r="F6938" s="1"/>
      <c r="J6938" s="2"/>
      <c r="K6938" s="7"/>
    </row>
    <row r="6939" spans="1:11" x14ac:dyDescent="0.35">
      <c r="A6939" s="13"/>
      <c r="E6939" s="8"/>
      <c r="F6939" s="1"/>
      <c r="J6939" s="2"/>
      <c r="K6939" s="7"/>
    </row>
    <row r="6940" spans="1:11" x14ac:dyDescent="0.35">
      <c r="A6940" s="13"/>
      <c r="E6940" s="8"/>
      <c r="F6940" s="1"/>
      <c r="J6940" s="2"/>
      <c r="K6940" s="7"/>
    </row>
    <row r="6941" spans="1:11" x14ac:dyDescent="0.35">
      <c r="A6941" s="13"/>
      <c r="E6941" s="8"/>
      <c r="F6941" s="1"/>
      <c r="J6941" s="2"/>
      <c r="K6941" s="7"/>
    </row>
    <row r="6942" spans="1:11" x14ac:dyDescent="0.35">
      <c r="A6942" s="13"/>
      <c r="E6942" s="8"/>
      <c r="F6942" s="1"/>
      <c r="J6942" s="2"/>
      <c r="K6942" s="7"/>
    </row>
    <row r="6943" spans="1:11" x14ac:dyDescent="0.35">
      <c r="A6943" s="13"/>
      <c r="E6943" s="8"/>
      <c r="F6943" s="1"/>
      <c r="J6943" s="2"/>
      <c r="K6943" s="7"/>
    </row>
    <row r="6944" spans="1:11" x14ac:dyDescent="0.35">
      <c r="A6944" s="13"/>
      <c r="E6944" s="8"/>
      <c r="F6944" s="1"/>
      <c r="J6944" s="2"/>
      <c r="K6944" s="7"/>
    </row>
    <row r="6945" spans="1:11" x14ac:dyDescent="0.35">
      <c r="A6945" s="13"/>
      <c r="E6945" s="8"/>
      <c r="F6945" s="1"/>
      <c r="J6945" s="2"/>
      <c r="K6945" s="7"/>
    </row>
    <row r="6946" spans="1:11" x14ac:dyDescent="0.35">
      <c r="A6946" s="13"/>
      <c r="E6946" s="8"/>
      <c r="F6946" s="1"/>
      <c r="J6946" s="2"/>
      <c r="K6946" s="7"/>
    </row>
    <row r="6947" spans="1:11" x14ac:dyDescent="0.35">
      <c r="A6947" s="13"/>
      <c r="E6947" s="8"/>
      <c r="F6947" s="1"/>
      <c r="J6947" s="2"/>
      <c r="K6947" s="7"/>
    </row>
    <row r="6948" spans="1:11" x14ac:dyDescent="0.35">
      <c r="A6948" s="13"/>
      <c r="E6948" s="8"/>
      <c r="F6948" s="1"/>
      <c r="J6948" s="2"/>
      <c r="K6948" s="7"/>
    </row>
    <row r="6949" spans="1:11" x14ac:dyDescent="0.35">
      <c r="A6949" s="13"/>
      <c r="E6949" s="8"/>
      <c r="F6949" s="1"/>
      <c r="J6949" s="2"/>
      <c r="K6949" s="7"/>
    </row>
    <row r="6950" spans="1:11" x14ac:dyDescent="0.35">
      <c r="A6950" s="13"/>
      <c r="E6950" s="8"/>
      <c r="F6950" s="1"/>
      <c r="J6950" s="2"/>
      <c r="K6950" s="7"/>
    </row>
    <row r="6951" spans="1:11" x14ac:dyDescent="0.35">
      <c r="A6951" s="13"/>
      <c r="E6951" s="8"/>
      <c r="F6951" s="1"/>
      <c r="J6951" s="2"/>
      <c r="K6951" s="7"/>
    </row>
    <row r="6952" spans="1:11" x14ac:dyDescent="0.35">
      <c r="A6952" s="13"/>
      <c r="E6952" s="8"/>
      <c r="F6952" s="1"/>
      <c r="J6952" s="2"/>
      <c r="K6952" s="7"/>
    </row>
    <row r="6953" spans="1:11" x14ac:dyDescent="0.35">
      <c r="A6953" s="13"/>
      <c r="E6953" s="8"/>
      <c r="F6953" s="1"/>
      <c r="J6953" s="2"/>
      <c r="K6953" s="7"/>
    </row>
    <row r="6954" spans="1:11" x14ac:dyDescent="0.35">
      <c r="A6954" s="13"/>
      <c r="E6954" s="8"/>
      <c r="F6954" s="1"/>
      <c r="J6954" s="2"/>
      <c r="K6954" s="7"/>
    </row>
    <row r="6955" spans="1:11" x14ac:dyDescent="0.35">
      <c r="A6955" s="13"/>
      <c r="E6955" s="8"/>
      <c r="F6955" s="1"/>
      <c r="J6955" s="2"/>
      <c r="K6955" s="7"/>
    </row>
    <row r="6956" spans="1:11" x14ac:dyDescent="0.35">
      <c r="A6956" s="13"/>
      <c r="E6956" s="8"/>
      <c r="F6956" s="1"/>
      <c r="J6956" s="2"/>
      <c r="K6956" s="7"/>
    </row>
    <row r="6957" spans="1:11" x14ac:dyDescent="0.35">
      <c r="A6957" s="13"/>
      <c r="E6957" s="8"/>
      <c r="F6957" s="1"/>
      <c r="J6957" s="2"/>
      <c r="K6957" s="7"/>
    </row>
    <row r="6958" spans="1:11" x14ac:dyDescent="0.35">
      <c r="A6958" s="13"/>
      <c r="E6958" s="8"/>
      <c r="F6958" s="1"/>
      <c r="J6958" s="2"/>
      <c r="K6958" s="7"/>
    </row>
    <row r="6959" spans="1:11" x14ac:dyDescent="0.35">
      <c r="A6959" s="13"/>
      <c r="E6959" s="8"/>
      <c r="F6959" s="1"/>
      <c r="J6959" s="2"/>
      <c r="K6959" s="7"/>
    </row>
    <row r="6960" spans="1:11" x14ac:dyDescent="0.35">
      <c r="A6960" s="13"/>
      <c r="E6960" s="8"/>
      <c r="F6960" s="1"/>
      <c r="J6960" s="2"/>
      <c r="K6960" s="7"/>
    </row>
    <row r="6961" spans="1:11" x14ac:dyDescent="0.35">
      <c r="A6961" s="13"/>
      <c r="E6961" s="8"/>
      <c r="F6961" s="1"/>
      <c r="J6961" s="2"/>
      <c r="K6961" s="7"/>
    </row>
    <row r="6962" spans="1:11" x14ac:dyDescent="0.35">
      <c r="A6962" s="13"/>
      <c r="E6962" s="8"/>
      <c r="F6962" s="1"/>
      <c r="J6962" s="2"/>
      <c r="K6962" s="7"/>
    </row>
    <row r="6963" spans="1:11" x14ac:dyDescent="0.35">
      <c r="A6963" s="13"/>
      <c r="E6963" s="8"/>
      <c r="F6963" s="1"/>
      <c r="J6963" s="2"/>
      <c r="K6963" s="7"/>
    </row>
    <row r="6964" spans="1:11" x14ac:dyDescent="0.35">
      <c r="A6964" s="13"/>
      <c r="E6964" s="8"/>
      <c r="F6964" s="1"/>
      <c r="J6964" s="2"/>
      <c r="K6964" s="7"/>
    </row>
    <row r="6965" spans="1:11" x14ac:dyDescent="0.35">
      <c r="A6965" s="13"/>
      <c r="E6965" s="8"/>
      <c r="F6965" s="1"/>
      <c r="J6965" s="2"/>
      <c r="K6965" s="7"/>
    </row>
    <row r="6966" spans="1:11" x14ac:dyDescent="0.35">
      <c r="A6966" s="13"/>
      <c r="E6966" s="8"/>
      <c r="F6966" s="1"/>
      <c r="J6966" s="2"/>
      <c r="K6966" s="7"/>
    </row>
    <row r="6967" spans="1:11" x14ac:dyDescent="0.35">
      <c r="A6967" s="13"/>
      <c r="E6967" s="8"/>
      <c r="F6967" s="1"/>
      <c r="J6967" s="2"/>
      <c r="K6967" s="7"/>
    </row>
    <row r="6968" spans="1:11" x14ac:dyDescent="0.35">
      <c r="A6968" s="13"/>
      <c r="E6968" s="8"/>
      <c r="F6968" s="1"/>
      <c r="J6968" s="2"/>
      <c r="K6968" s="7"/>
    </row>
    <row r="6969" spans="1:11" x14ac:dyDescent="0.35">
      <c r="A6969" s="13"/>
      <c r="E6969" s="8"/>
      <c r="F6969" s="1"/>
      <c r="J6969" s="2"/>
      <c r="K6969" s="7"/>
    </row>
    <row r="6970" spans="1:11" x14ac:dyDescent="0.35">
      <c r="A6970" s="13"/>
      <c r="E6970" s="8"/>
      <c r="F6970" s="1"/>
      <c r="J6970" s="2"/>
      <c r="K6970" s="7"/>
    </row>
    <row r="6971" spans="1:11" x14ac:dyDescent="0.35">
      <c r="A6971" s="13"/>
      <c r="E6971" s="8"/>
      <c r="F6971" s="1"/>
      <c r="J6971" s="2"/>
      <c r="K6971" s="7"/>
    </row>
    <row r="6972" spans="1:11" x14ac:dyDescent="0.35">
      <c r="A6972" s="13"/>
      <c r="E6972" s="8"/>
      <c r="F6972" s="1"/>
      <c r="J6972" s="2"/>
      <c r="K6972" s="7"/>
    </row>
    <row r="6973" spans="1:11" x14ac:dyDescent="0.35">
      <c r="A6973" s="13"/>
      <c r="E6973" s="8"/>
      <c r="F6973" s="1"/>
      <c r="J6973" s="2"/>
      <c r="K6973" s="7"/>
    </row>
    <row r="6974" spans="1:11" x14ac:dyDescent="0.35">
      <c r="A6974" s="13"/>
      <c r="E6974" s="8"/>
      <c r="F6974" s="1"/>
      <c r="J6974" s="2"/>
      <c r="K6974" s="7"/>
    </row>
    <row r="6975" spans="1:11" x14ac:dyDescent="0.35">
      <c r="A6975" s="13"/>
      <c r="E6975" s="8"/>
      <c r="F6975" s="1"/>
      <c r="J6975" s="2"/>
      <c r="K6975" s="7"/>
    </row>
    <row r="6976" spans="1:11" x14ac:dyDescent="0.35">
      <c r="A6976" s="13"/>
      <c r="E6976" s="8"/>
      <c r="F6976" s="1"/>
      <c r="J6976" s="2"/>
      <c r="K6976" s="7"/>
    </row>
    <row r="6977" spans="1:11" x14ac:dyDescent="0.35">
      <c r="A6977" s="13"/>
      <c r="E6977" s="8"/>
      <c r="F6977" s="1"/>
      <c r="J6977" s="2"/>
      <c r="K6977" s="7"/>
    </row>
    <row r="6978" spans="1:11" x14ac:dyDescent="0.35">
      <c r="A6978" s="13"/>
      <c r="E6978" s="8"/>
      <c r="F6978" s="1"/>
      <c r="J6978" s="2"/>
      <c r="K6978" s="7"/>
    </row>
    <row r="6979" spans="1:11" x14ac:dyDescent="0.35">
      <c r="A6979" s="13"/>
      <c r="E6979" s="8"/>
      <c r="F6979" s="1"/>
      <c r="J6979" s="2"/>
      <c r="K6979" s="7"/>
    </row>
    <row r="6980" spans="1:11" x14ac:dyDescent="0.35">
      <c r="A6980" s="13"/>
      <c r="E6980" s="8"/>
      <c r="F6980" s="1"/>
      <c r="J6980" s="2"/>
      <c r="K6980" s="7"/>
    </row>
    <row r="6981" spans="1:11" x14ac:dyDescent="0.35">
      <c r="A6981" s="13"/>
      <c r="E6981" s="8"/>
      <c r="F6981" s="1"/>
      <c r="J6981" s="2"/>
      <c r="K6981" s="7"/>
    </row>
    <row r="6982" spans="1:11" x14ac:dyDescent="0.35">
      <c r="A6982" s="13"/>
      <c r="E6982" s="8"/>
      <c r="F6982" s="1"/>
      <c r="J6982" s="2"/>
      <c r="K6982" s="7"/>
    </row>
    <row r="6983" spans="1:11" x14ac:dyDescent="0.35">
      <c r="A6983" s="13"/>
      <c r="E6983" s="8"/>
      <c r="F6983" s="1"/>
      <c r="J6983" s="2"/>
      <c r="K6983" s="7"/>
    </row>
    <row r="6984" spans="1:11" x14ac:dyDescent="0.35">
      <c r="A6984" s="13"/>
      <c r="E6984" s="8"/>
      <c r="F6984" s="1"/>
      <c r="J6984" s="2"/>
      <c r="K6984" s="7"/>
    </row>
    <row r="6985" spans="1:11" x14ac:dyDescent="0.35">
      <c r="A6985" s="13"/>
      <c r="E6985" s="8"/>
      <c r="F6985" s="1"/>
      <c r="J6985" s="2"/>
      <c r="K6985" s="7"/>
    </row>
    <row r="6986" spans="1:11" x14ac:dyDescent="0.35">
      <c r="A6986" s="13"/>
      <c r="E6986" s="8"/>
      <c r="F6986" s="1"/>
      <c r="J6986" s="2"/>
      <c r="K6986" s="7"/>
    </row>
    <row r="6987" spans="1:11" x14ac:dyDescent="0.35">
      <c r="A6987" s="13"/>
      <c r="E6987" s="8"/>
      <c r="F6987" s="1"/>
      <c r="J6987" s="2"/>
      <c r="K6987" s="7"/>
    </row>
    <row r="6988" spans="1:11" x14ac:dyDescent="0.35">
      <c r="A6988" s="13"/>
      <c r="E6988" s="8"/>
      <c r="F6988" s="1"/>
      <c r="J6988" s="2"/>
      <c r="K6988" s="7"/>
    </row>
    <row r="6989" spans="1:11" x14ac:dyDescent="0.35">
      <c r="A6989" s="13"/>
      <c r="E6989" s="8"/>
      <c r="F6989" s="1"/>
      <c r="J6989" s="2"/>
      <c r="K6989" s="7"/>
    </row>
    <row r="6990" spans="1:11" x14ac:dyDescent="0.35">
      <c r="A6990" s="13"/>
      <c r="E6990" s="8"/>
      <c r="F6990" s="1"/>
      <c r="J6990" s="2"/>
      <c r="K6990" s="7"/>
    </row>
    <row r="6991" spans="1:11" x14ac:dyDescent="0.35">
      <c r="A6991" s="13"/>
      <c r="E6991" s="8"/>
      <c r="F6991" s="1"/>
      <c r="J6991" s="2"/>
      <c r="K6991" s="7"/>
    </row>
    <row r="6992" spans="1:11" x14ac:dyDescent="0.35">
      <c r="A6992" s="13"/>
      <c r="E6992" s="8"/>
      <c r="F6992" s="1"/>
      <c r="J6992" s="2"/>
      <c r="K6992" s="7"/>
    </row>
    <row r="6993" spans="1:11" x14ac:dyDescent="0.35">
      <c r="A6993" s="13"/>
      <c r="E6993" s="8"/>
      <c r="F6993" s="1"/>
      <c r="J6993" s="2"/>
      <c r="K6993" s="7"/>
    </row>
    <row r="6994" spans="1:11" x14ac:dyDescent="0.35">
      <c r="A6994" s="13"/>
      <c r="E6994" s="8"/>
      <c r="F6994" s="1"/>
      <c r="J6994" s="2"/>
      <c r="K6994" s="7"/>
    </row>
    <row r="6995" spans="1:11" x14ac:dyDescent="0.35">
      <c r="A6995" s="13"/>
      <c r="E6995" s="8"/>
      <c r="F6995" s="1"/>
      <c r="J6995" s="2"/>
      <c r="K6995" s="7"/>
    </row>
    <row r="6996" spans="1:11" x14ac:dyDescent="0.35">
      <c r="A6996" s="13"/>
      <c r="E6996" s="8"/>
      <c r="F6996" s="1"/>
      <c r="J6996" s="2"/>
      <c r="K6996" s="7"/>
    </row>
    <row r="6997" spans="1:11" x14ac:dyDescent="0.35">
      <c r="A6997" s="13"/>
      <c r="E6997" s="8"/>
      <c r="F6997" s="1"/>
      <c r="J6997" s="2"/>
      <c r="K6997" s="7"/>
    </row>
    <row r="6998" spans="1:11" x14ac:dyDescent="0.35">
      <c r="A6998" s="13"/>
      <c r="E6998" s="8"/>
      <c r="F6998" s="1"/>
      <c r="J6998" s="2"/>
      <c r="K6998" s="7"/>
    </row>
    <row r="6999" spans="1:11" x14ac:dyDescent="0.35">
      <c r="A6999" s="13"/>
      <c r="E6999" s="8"/>
      <c r="F6999" s="1"/>
      <c r="J6999" s="2"/>
      <c r="K6999" s="7"/>
    </row>
    <row r="7000" spans="1:11" x14ac:dyDescent="0.35">
      <c r="A7000" s="13"/>
      <c r="E7000" s="8"/>
      <c r="F7000" s="1"/>
      <c r="J7000" s="2"/>
      <c r="K7000" s="7"/>
    </row>
    <row r="7001" spans="1:11" x14ac:dyDescent="0.35">
      <c r="A7001" s="13"/>
      <c r="E7001" s="8"/>
      <c r="F7001" s="1"/>
      <c r="J7001" s="2"/>
      <c r="K7001" s="7"/>
    </row>
    <row r="7002" spans="1:11" x14ac:dyDescent="0.35">
      <c r="A7002" s="13"/>
      <c r="E7002" s="8"/>
      <c r="F7002" s="1"/>
      <c r="J7002" s="2"/>
      <c r="K7002" s="7"/>
    </row>
    <row r="7003" spans="1:11" x14ac:dyDescent="0.35">
      <c r="A7003" s="13"/>
      <c r="E7003" s="8"/>
      <c r="F7003" s="1"/>
      <c r="J7003" s="2"/>
      <c r="K7003" s="7"/>
    </row>
    <row r="7004" spans="1:11" x14ac:dyDescent="0.35">
      <c r="A7004" s="13"/>
      <c r="E7004" s="8"/>
      <c r="F7004" s="1"/>
      <c r="J7004" s="2"/>
      <c r="K7004" s="7"/>
    </row>
    <row r="7005" spans="1:11" x14ac:dyDescent="0.35">
      <c r="A7005" s="13"/>
      <c r="E7005" s="8"/>
      <c r="F7005" s="1"/>
      <c r="J7005" s="2"/>
      <c r="K7005" s="7"/>
    </row>
    <row r="7006" spans="1:11" x14ac:dyDescent="0.35">
      <c r="A7006" s="13"/>
      <c r="E7006" s="8"/>
      <c r="F7006" s="1"/>
      <c r="J7006" s="2"/>
      <c r="K7006" s="7"/>
    </row>
    <row r="7007" spans="1:11" x14ac:dyDescent="0.35">
      <c r="A7007" s="13"/>
      <c r="E7007" s="8"/>
      <c r="F7007" s="1"/>
      <c r="J7007" s="2"/>
      <c r="K7007" s="7"/>
    </row>
    <row r="7008" spans="1:11" x14ac:dyDescent="0.35">
      <c r="A7008" s="13"/>
      <c r="E7008" s="8"/>
      <c r="F7008" s="1"/>
      <c r="J7008" s="2"/>
      <c r="K7008" s="7"/>
    </row>
    <row r="7009" spans="1:11" x14ac:dyDescent="0.35">
      <c r="A7009" s="13"/>
      <c r="E7009" s="8"/>
      <c r="F7009" s="1"/>
      <c r="J7009" s="2"/>
      <c r="K7009" s="7"/>
    </row>
    <row r="7010" spans="1:11" x14ac:dyDescent="0.35">
      <c r="A7010" s="13"/>
      <c r="E7010" s="8"/>
      <c r="F7010" s="1"/>
      <c r="J7010" s="2"/>
      <c r="K7010" s="7"/>
    </row>
    <row r="7011" spans="1:11" x14ac:dyDescent="0.35">
      <c r="A7011" s="13"/>
      <c r="E7011" s="8"/>
      <c r="F7011" s="1"/>
      <c r="J7011" s="2"/>
      <c r="K7011" s="7"/>
    </row>
    <row r="7012" spans="1:11" x14ac:dyDescent="0.35">
      <c r="A7012" s="13"/>
      <c r="E7012" s="8"/>
      <c r="F7012" s="1"/>
      <c r="J7012" s="2"/>
      <c r="K7012" s="7"/>
    </row>
    <row r="7013" spans="1:11" x14ac:dyDescent="0.35">
      <c r="A7013" s="13"/>
      <c r="E7013" s="8"/>
      <c r="F7013" s="1"/>
      <c r="J7013" s="2"/>
      <c r="K7013" s="7"/>
    </row>
    <row r="7014" spans="1:11" x14ac:dyDescent="0.35">
      <c r="A7014" s="13"/>
      <c r="E7014" s="8"/>
      <c r="F7014" s="1"/>
      <c r="J7014" s="2"/>
      <c r="K7014" s="7"/>
    </row>
    <row r="7015" spans="1:11" x14ac:dyDescent="0.35">
      <c r="A7015" s="13"/>
      <c r="E7015" s="8"/>
      <c r="F7015" s="1"/>
      <c r="J7015" s="2"/>
      <c r="K7015" s="7"/>
    </row>
    <row r="7016" spans="1:11" x14ac:dyDescent="0.35">
      <c r="A7016" s="13"/>
      <c r="E7016" s="8"/>
      <c r="F7016" s="1"/>
      <c r="J7016" s="2"/>
      <c r="K7016" s="7"/>
    </row>
    <row r="7017" spans="1:11" x14ac:dyDescent="0.35">
      <c r="A7017" s="13"/>
      <c r="E7017" s="8"/>
      <c r="F7017" s="1"/>
      <c r="J7017" s="2"/>
      <c r="K7017" s="7"/>
    </row>
    <row r="7018" spans="1:11" x14ac:dyDescent="0.35">
      <c r="A7018" s="13"/>
      <c r="E7018" s="8"/>
      <c r="F7018" s="1"/>
      <c r="J7018" s="2"/>
      <c r="K7018" s="7"/>
    </row>
    <row r="7019" spans="1:11" x14ac:dyDescent="0.35">
      <c r="A7019" s="13"/>
      <c r="E7019" s="8"/>
      <c r="F7019" s="1"/>
      <c r="J7019" s="2"/>
      <c r="K7019" s="7"/>
    </row>
    <row r="7020" spans="1:11" x14ac:dyDescent="0.35">
      <c r="A7020" s="13"/>
      <c r="E7020" s="8"/>
      <c r="F7020" s="1"/>
      <c r="J7020" s="2"/>
      <c r="K7020" s="7"/>
    </row>
    <row r="7021" spans="1:11" x14ac:dyDescent="0.35">
      <c r="A7021" s="13"/>
      <c r="E7021" s="8"/>
      <c r="F7021" s="1"/>
      <c r="J7021" s="2"/>
      <c r="K7021" s="7"/>
    </row>
    <row r="7022" spans="1:11" x14ac:dyDescent="0.35">
      <c r="A7022" s="13"/>
      <c r="E7022" s="8"/>
      <c r="F7022" s="1"/>
      <c r="J7022" s="2"/>
      <c r="K7022" s="7"/>
    </row>
    <row r="7023" spans="1:11" x14ac:dyDescent="0.35">
      <c r="A7023" s="13"/>
      <c r="E7023" s="8"/>
      <c r="F7023" s="1"/>
      <c r="J7023" s="2"/>
      <c r="K7023" s="7"/>
    </row>
    <row r="7024" spans="1:11" x14ac:dyDescent="0.35">
      <c r="A7024" s="13"/>
      <c r="E7024" s="8"/>
      <c r="F7024" s="1"/>
      <c r="J7024" s="2"/>
      <c r="K7024" s="7"/>
    </row>
    <row r="7025" spans="1:11" x14ac:dyDescent="0.35">
      <c r="A7025" s="13"/>
      <c r="E7025" s="8"/>
      <c r="F7025" s="1"/>
      <c r="J7025" s="2"/>
      <c r="K7025" s="7"/>
    </row>
    <row r="7026" spans="1:11" x14ac:dyDescent="0.35">
      <c r="A7026" s="13"/>
      <c r="E7026" s="8"/>
      <c r="F7026" s="1"/>
      <c r="J7026" s="2"/>
      <c r="K7026" s="7"/>
    </row>
    <row r="7027" spans="1:11" x14ac:dyDescent="0.35">
      <c r="A7027" s="13"/>
      <c r="E7027" s="8"/>
      <c r="F7027" s="1"/>
      <c r="J7027" s="2"/>
      <c r="K7027" s="7"/>
    </row>
    <row r="7028" spans="1:11" x14ac:dyDescent="0.35">
      <c r="A7028" s="13"/>
      <c r="E7028" s="8"/>
      <c r="F7028" s="1"/>
      <c r="J7028" s="2"/>
      <c r="K7028" s="7"/>
    </row>
    <row r="7029" spans="1:11" x14ac:dyDescent="0.35">
      <c r="A7029" s="13"/>
      <c r="E7029" s="8"/>
      <c r="F7029" s="1"/>
      <c r="J7029" s="2"/>
      <c r="K7029" s="7"/>
    </row>
    <row r="7030" spans="1:11" x14ac:dyDescent="0.35">
      <c r="A7030" s="13"/>
      <c r="E7030" s="8"/>
      <c r="F7030" s="1"/>
      <c r="J7030" s="2"/>
      <c r="K7030" s="7"/>
    </row>
    <row r="7031" spans="1:11" x14ac:dyDescent="0.35">
      <c r="A7031" s="13"/>
      <c r="E7031" s="8"/>
      <c r="F7031" s="1"/>
      <c r="J7031" s="2"/>
      <c r="K7031" s="7"/>
    </row>
    <row r="7032" spans="1:11" x14ac:dyDescent="0.35">
      <c r="A7032" s="13"/>
      <c r="E7032" s="8"/>
      <c r="F7032" s="1"/>
      <c r="J7032" s="2"/>
      <c r="K7032" s="7"/>
    </row>
    <row r="7033" spans="1:11" x14ac:dyDescent="0.35">
      <c r="A7033" s="13"/>
      <c r="E7033" s="8"/>
      <c r="F7033" s="1"/>
      <c r="J7033" s="2"/>
      <c r="K7033" s="7"/>
    </row>
    <row r="7034" spans="1:11" x14ac:dyDescent="0.35">
      <c r="A7034" s="13"/>
      <c r="E7034" s="8"/>
      <c r="F7034" s="1"/>
      <c r="J7034" s="2"/>
      <c r="K7034" s="7"/>
    </row>
    <row r="7035" spans="1:11" x14ac:dyDescent="0.35">
      <c r="A7035" s="13"/>
      <c r="E7035" s="8"/>
      <c r="F7035" s="1"/>
      <c r="J7035" s="2"/>
      <c r="K7035" s="7"/>
    </row>
    <row r="7036" spans="1:11" x14ac:dyDescent="0.35">
      <c r="A7036" s="13"/>
      <c r="E7036" s="8"/>
      <c r="F7036" s="1"/>
      <c r="J7036" s="2"/>
      <c r="K7036" s="7"/>
    </row>
    <row r="7037" spans="1:11" x14ac:dyDescent="0.35">
      <c r="A7037" s="13"/>
      <c r="E7037" s="8"/>
      <c r="F7037" s="1"/>
      <c r="J7037" s="2"/>
      <c r="K7037" s="7"/>
    </row>
    <row r="7038" spans="1:11" x14ac:dyDescent="0.35">
      <c r="A7038" s="13"/>
      <c r="E7038" s="8"/>
      <c r="F7038" s="1"/>
      <c r="J7038" s="2"/>
      <c r="K7038" s="7"/>
    </row>
    <row r="7039" spans="1:11" x14ac:dyDescent="0.35">
      <c r="A7039" s="13"/>
      <c r="E7039" s="8"/>
      <c r="F7039" s="1"/>
      <c r="J7039" s="2"/>
      <c r="K7039" s="7"/>
    </row>
    <row r="7040" spans="1:11" x14ac:dyDescent="0.35">
      <c r="A7040" s="13"/>
      <c r="E7040" s="8"/>
      <c r="F7040" s="1"/>
      <c r="J7040" s="2"/>
      <c r="K7040" s="7"/>
    </row>
    <row r="7041" spans="1:11" x14ac:dyDescent="0.35">
      <c r="A7041" s="13"/>
      <c r="E7041" s="8"/>
      <c r="F7041" s="1"/>
      <c r="J7041" s="2"/>
      <c r="K7041" s="7"/>
    </row>
    <row r="7042" spans="1:11" x14ac:dyDescent="0.35">
      <c r="A7042" s="13"/>
      <c r="E7042" s="8"/>
      <c r="F7042" s="1"/>
      <c r="J7042" s="2"/>
      <c r="K7042" s="7"/>
    </row>
    <row r="7043" spans="1:11" x14ac:dyDescent="0.35">
      <c r="A7043" s="13"/>
      <c r="E7043" s="8"/>
      <c r="F7043" s="1"/>
      <c r="J7043" s="2"/>
      <c r="K7043" s="7"/>
    </row>
    <row r="7044" spans="1:11" x14ac:dyDescent="0.35">
      <c r="A7044" s="13"/>
      <c r="E7044" s="8"/>
      <c r="F7044" s="1"/>
      <c r="J7044" s="2"/>
      <c r="K7044" s="7"/>
    </row>
    <row r="7045" spans="1:11" x14ac:dyDescent="0.35">
      <c r="A7045" s="13"/>
      <c r="E7045" s="8"/>
      <c r="F7045" s="1"/>
      <c r="J7045" s="2"/>
      <c r="K7045" s="7"/>
    </row>
    <row r="7046" spans="1:11" x14ac:dyDescent="0.35">
      <c r="A7046" s="13"/>
      <c r="E7046" s="8"/>
      <c r="F7046" s="1"/>
      <c r="J7046" s="2"/>
      <c r="K7046" s="7"/>
    </row>
    <row r="7047" spans="1:11" x14ac:dyDescent="0.35">
      <c r="A7047" s="13"/>
      <c r="E7047" s="8"/>
      <c r="F7047" s="1"/>
      <c r="J7047" s="2"/>
      <c r="K7047" s="7"/>
    </row>
    <row r="7048" spans="1:11" x14ac:dyDescent="0.35">
      <c r="A7048" s="13"/>
      <c r="E7048" s="8"/>
      <c r="F7048" s="1"/>
      <c r="J7048" s="2"/>
      <c r="K7048" s="7"/>
    </row>
    <row r="7049" spans="1:11" x14ac:dyDescent="0.35">
      <c r="A7049" s="13"/>
      <c r="E7049" s="8"/>
      <c r="F7049" s="1"/>
      <c r="J7049" s="2"/>
      <c r="K7049" s="7"/>
    </row>
    <row r="7050" spans="1:11" x14ac:dyDescent="0.35">
      <c r="A7050" s="13"/>
      <c r="E7050" s="8"/>
      <c r="F7050" s="1"/>
      <c r="J7050" s="2"/>
      <c r="K7050" s="7"/>
    </row>
    <row r="7051" spans="1:11" x14ac:dyDescent="0.35">
      <c r="A7051" s="13"/>
      <c r="E7051" s="8"/>
      <c r="F7051" s="1"/>
      <c r="J7051" s="2"/>
      <c r="K7051" s="7"/>
    </row>
    <row r="7052" spans="1:11" x14ac:dyDescent="0.35">
      <c r="A7052" s="13"/>
      <c r="E7052" s="8"/>
      <c r="F7052" s="1"/>
      <c r="J7052" s="2"/>
      <c r="K7052" s="7"/>
    </row>
    <row r="7053" spans="1:11" x14ac:dyDescent="0.35">
      <c r="A7053" s="13"/>
      <c r="E7053" s="8"/>
      <c r="F7053" s="1"/>
      <c r="J7053" s="2"/>
      <c r="K7053" s="7"/>
    </row>
    <row r="7054" spans="1:11" x14ac:dyDescent="0.35">
      <c r="A7054" s="13"/>
      <c r="E7054" s="8"/>
      <c r="F7054" s="1"/>
      <c r="J7054" s="2"/>
      <c r="K7054" s="7"/>
    </row>
    <row r="7055" spans="1:11" x14ac:dyDescent="0.35">
      <c r="A7055" s="13"/>
      <c r="E7055" s="8"/>
      <c r="F7055" s="1"/>
      <c r="J7055" s="2"/>
      <c r="K7055" s="7"/>
    </row>
    <row r="7056" spans="1:11" x14ac:dyDescent="0.35">
      <c r="A7056" s="13"/>
      <c r="E7056" s="8"/>
      <c r="F7056" s="1"/>
      <c r="J7056" s="2"/>
      <c r="K7056" s="7"/>
    </row>
    <row r="7057" spans="1:11" x14ac:dyDescent="0.35">
      <c r="A7057" s="13"/>
      <c r="E7057" s="8"/>
      <c r="F7057" s="1"/>
      <c r="J7057" s="2"/>
      <c r="K7057" s="7"/>
    </row>
    <row r="7058" spans="1:11" x14ac:dyDescent="0.35">
      <c r="A7058" s="13"/>
      <c r="E7058" s="8"/>
      <c r="F7058" s="1"/>
      <c r="J7058" s="2"/>
      <c r="K7058" s="7"/>
    </row>
    <row r="7059" spans="1:11" x14ac:dyDescent="0.35">
      <c r="A7059" s="13"/>
      <c r="E7059" s="8"/>
      <c r="F7059" s="1"/>
      <c r="J7059" s="2"/>
      <c r="K7059" s="7"/>
    </row>
    <row r="7060" spans="1:11" x14ac:dyDescent="0.35">
      <c r="A7060" s="13"/>
      <c r="E7060" s="8"/>
      <c r="F7060" s="1"/>
      <c r="J7060" s="2"/>
      <c r="K7060" s="7"/>
    </row>
    <row r="7061" spans="1:11" x14ac:dyDescent="0.35">
      <c r="A7061" s="13"/>
      <c r="E7061" s="8"/>
      <c r="F7061" s="1"/>
      <c r="J7061" s="2"/>
      <c r="K7061" s="7"/>
    </row>
    <row r="7062" spans="1:11" x14ac:dyDescent="0.35">
      <c r="A7062" s="13"/>
      <c r="E7062" s="8"/>
      <c r="F7062" s="1"/>
      <c r="J7062" s="2"/>
      <c r="K7062" s="7"/>
    </row>
    <row r="7063" spans="1:11" x14ac:dyDescent="0.35">
      <c r="A7063" s="13"/>
      <c r="E7063" s="8"/>
      <c r="F7063" s="1"/>
      <c r="J7063" s="2"/>
      <c r="K7063" s="7"/>
    </row>
    <row r="7064" spans="1:11" x14ac:dyDescent="0.35">
      <c r="A7064" s="13"/>
      <c r="E7064" s="8"/>
      <c r="F7064" s="1"/>
      <c r="J7064" s="2"/>
      <c r="K7064" s="7"/>
    </row>
    <row r="7065" spans="1:11" x14ac:dyDescent="0.35">
      <c r="A7065" s="13"/>
      <c r="E7065" s="8"/>
      <c r="F7065" s="1"/>
      <c r="J7065" s="2"/>
      <c r="K7065" s="7"/>
    </row>
    <row r="7066" spans="1:11" x14ac:dyDescent="0.35">
      <c r="A7066" s="13"/>
      <c r="E7066" s="8"/>
      <c r="F7066" s="1"/>
      <c r="J7066" s="2"/>
      <c r="K7066" s="7"/>
    </row>
    <row r="7067" spans="1:11" x14ac:dyDescent="0.35">
      <c r="A7067" s="13"/>
      <c r="E7067" s="8"/>
      <c r="F7067" s="1"/>
      <c r="J7067" s="2"/>
      <c r="K7067" s="7"/>
    </row>
    <row r="7068" spans="1:11" x14ac:dyDescent="0.35">
      <c r="A7068" s="13"/>
      <c r="E7068" s="8"/>
      <c r="F7068" s="1"/>
      <c r="J7068" s="2"/>
      <c r="K7068" s="7"/>
    </row>
    <row r="7069" spans="1:11" x14ac:dyDescent="0.35">
      <c r="A7069" s="13"/>
      <c r="E7069" s="8"/>
      <c r="F7069" s="1"/>
      <c r="J7069" s="2"/>
      <c r="K7069" s="7"/>
    </row>
    <row r="7070" spans="1:11" x14ac:dyDescent="0.35">
      <c r="A7070" s="13"/>
      <c r="E7070" s="8"/>
      <c r="F7070" s="1"/>
      <c r="J7070" s="2"/>
      <c r="K7070" s="7"/>
    </row>
    <row r="7071" spans="1:11" x14ac:dyDescent="0.35">
      <c r="A7071" s="13"/>
      <c r="E7071" s="8"/>
      <c r="F7071" s="1"/>
      <c r="J7071" s="2"/>
      <c r="K7071" s="7"/>
    </row>
    <row r="7072" spans="1:11" x14ac:dyDescent="0.35">
      <c r="A7072" s="13"/>
      <c r="E7072" s="8"/>
      <c r="F7072" s="1"/>
      <c r="J7072" s="2"/>
      <c r="K7072" s="7"/>
    </row>
    <row r="7073" spans="1:11" x14ac:dyDescent="0.35">
      <c r="A7073" s="13"/>
      <c r="E7073" s="8"/>
      <c r="F7073" s="1"/>
      <c r="J7073" s="2"/>
      <c r="K7073" s="7"/>
    </row>
    <row r="7074" spans="1:11" x14ac:dyDescent="0.35">
      <c r="A7074" s="13"/>
      <c r="E7074" s="8"/>
      <c r="F7074" s="1"/>
      <c r="J7074" s="2"/>
      <c r="K7074" s="7"/>
    </row>
    <row r="7075" spans="1:11" x14ac:dyDescent="0.35">
      <c r="A7075" s="13"/>
      <c r="E7075" s="8"/>
      <c r="F7075" s="1"/>
      <c r="J7075" s="2"/>
      <c r="K7075" s="7"/>
    </row>
    <row r="7076" spans="1:11" x14ac:dyDescent="0.35">
      <c r="A7076" s="13"/>
      <c r="E7076" s="8"/>
      <c r="F7076" s="1"/>
      <c r="J7076" s="2"/>
      <c r="K7076" s="7"/>
    </row>
    <row r="7077" spans="1:11" x14ac:dyDescent="0.35">
      <c r="A7077" s="13"/>
      <c r="E7077" s="8"/>
      <c r="F7077" s="1"/>
      <c r="J7077" s="2"/>
      <c r="K7077" s="7"/>
    </row>
    <row r="7078" spans="1:11" x14ac:dyDescent="0.35">
      <c r="A7078" s="13"/>
      <c r="E7078" s="8"/>
      <c r="F7078" s="1"/>
      <c r="J7078" s="2"/>
      <c r="K7078" s="7"/>
    </row>
    <row r="7079" spans="1:11" x14ac:dyDescent="0.35">
      <c r="A7079" s="13"/>
      <c r="E7079" s="8"/>
      <c r="F7079" s="1"/>
      <c r="J7079" s="2"/>
      <c r="K7079" s="7"/>
    </row>
    <row r="7080" spans="1:11" x14ac:dyDescent="0.35">
      <c r="A7080" s="13"/>
      <c r="E7080" s="8"/>
      <c r="F7080" s="1"/>
      <c r="J7080" s="2"/>
      <c r="K7080" s="7"/>
    </row>
    <row r="7081" spans="1:11" x14ac:dyDescent="0.35">
      <c r="A7081" s="13"/>
      <c r="E7081" s="8"/>
      <c r="F7081" s="1"/>
      <c r="J7081" s="2"/>
      <c r="K7081" s="7"/>
    </row>
    <row r="7082" spans="1:11" x14ac:dyDescent="0.35">
      <c r="A7082" s="13"/>
      <c r="E7082" s="8"/>
      <c r="F7082" s="1"/>
      <c r="J7082" s="2"/>
      <c r="K7082" s="7"/>
    </row>
    <row r="7083" spans="1:11" x14ac:dyDescent="0.35">
      <c r="A7083" s="13"/>
      <c r="E7083" s="8"/>
      <c r="F7083" s="1"/>
      <c r="J7083" s="2"/>
      <c r="K7083" s="7"/>
    </row>
    <row r="7084" spans="1:11" x14ac:dyDescent="0.35">
      <c r="A7084" s="13"/>
      <c r="E7084" s="8"/>
      <c r="F7084" s="1"/>
      <c r="J7084" s="2"/>
      <c r="K7084" s="7"/>
    </row>
    <row r="7085" spans="1:11" x14ac:dyDescent="0.35">
      <c r="A7085" s="13"/>
      <c r="E7085" s="8"/>
      <c r="F7085" s="1"/>
      <c r="J7085" s="2"/>
      <c r="K7085" s="7"/>
    </row>
    <row r="7086" spans="1:11" x14ac:dyDescent="0.35">
      <c r="A7086" s="13"/>
      <c r="E7086" s="8"/>
      <c r="F7086" s="1"/>
      <c r="J7086" s="2"/>
      <c r="K7086" s="7"/>
    </row>
    <row r="7087" spans="1:11" x14ac:dyDescent="0.35">
      <c r="A7087" s="13"/>
      <c r="E7087" s="8"/>
      <c r="F7087" s="1"/>
      <c r="J7087" s="2"/>
      <c r="K7087" s="7"/>
    </row>
    <row r="7088" spans="1:11" x14ac:dyDescent="0.35">
      <c r="A7088" s="13"/>
      <c r="E7088" s="8"/>
      <c r="F7088" s="1"/>
      <c r="J7088" s="2"/>
      <c r="K7088" s="7"/>
    </row>
    <row r="7089" spans="1:11" x14ac:dyDescent="0.35">
      <c r="A7089" s="13"/>
      <c r="E7089" s="8"/>
      <c r="F7089" s="1"/>
      <c r="J7089" s="2"/>
      <c r="K7089" s="7"/>
    </row>
    <row r="7090" spans="1:11" x14ac:dyDescent="0.35">
      <c r="A7090" s="13"/>
      <c r="E7090" s="8"/>
      <c r="F7090" s="1"/>
      <c r="J7090" s="2"/>
      <c r="K7090" s="7"/>
    </row>
    <row r="7091" spans="1:11" x14ac:dyDescent="0.35">
      <c r="A7091" s="13"/>
      <c r="E7091" s="8"/>
      <c r="F7091" s="1"/>
      <c r="J7091" s="2"/>
      <c r="K7091" s="7"/>
    </row>
    <row r="7092" spans="1:11" x14ac:dyDescent="0.35">
      <c r="A7092" s="13"/>
      <c r="E7092" s="8"/>
      <c r="F7092" s="1"/>
      <c r="J7092" s="2"/>
      <c r="K7092" s="7"/>
    </row>
    <row r="7093" spans="1:11" x14ac:dyDescent="0.35">
      <c r="A7093" s="13"/>
      <c r="E7093" s="8"/>
      <c r="F7093" s="1"/>
      <c r="J7093" s="2"/>
      <c r="K7093" s="7"/>
    </row>
    <row r="7094" spans="1:11" x14ac:dyDescent="0.35">
      <c r="A7094" s="13"/>
      <c r="E7094" s="8"/>
      <c r="F7094" s="1"/>
      <c r="J7094" s="2"/>
      <c r="K7094" s="7"/>
    </row>
    <row r="7095" spans="1:11" x14ac:dyDescent="0.35">
      <c r="A7095" s="13"/>
      <c r="E7095" s="8"/>
      <c r="F7095" s="1"/>
      <c r="J7095" s="2"/>
      <c r="K7095" s="7"/>
    </row>
    <row r="7096" spans="1:11" x14ac:dyDescent="0.35">
      <c r="A7096" s="13"/>
      <c r="E7096" s="8"/>
      <c r="F7096" s="1"/>
      <c r="J7096" s="2"/>
      <c r="K7096" s="7"/>
    </row>
    <row r="7097" spans="1:11" x14ac:dyDescent="0.35">
      <c r="A7097" s="13"/>
      <c r="E7097" s="8"/>
      <c r="F7097" s="1"/>
      <c r="J7097" s="2"/>
      <c r="K7097" s="7"/>
    </row>
    <row r="7098" spans="1:11" x14ac:dyDescent="0.35">
      <c r="A7098" s="13"/>
      <c r="E7098" s="8"/>
      <c r="F7098" s="1"/>
      <c r="J7098" s="2"/>
      <c r="K7098" s="7"/>
    </row>
    <row r="7099" spans="1:11" x14ac:dyDescent="0.35">
      <c r="A7099" s="13"/>
      <c r="E7099" s="8"/>
      <c r="F7099" s="1"/>
      <c r="J7099" s="2"/>
      <c r="K7099" s="7"/>
    </row>
    <row r="7100" spans="1:11" x14ac:dyDescent="0.35">
      <c r="A7100" s="13"/>
      <c r="E7100" s="8"/>
      <c r="F7100" s="1"/>
      <c r="J7100" s="2"/>
      <c r="K7100" s="7"/>
    </row>
    <row r="7101" spans="1:11" x14ac:dyDescent="0.35">
      <c r="A7101" s="13"/>
      <c r="E7101" s="8"/>
      <c r="F7101" s="1"/>
      <c r="J7101" s="2"/>
      <c r="K7101" s="7"/>
    </row>
    <row r="7102" spans="1:11" x14ac:dyDescent="0.35">
      <c r="A7102" s="13"/>
      <c r="E7102" s="8"/>
      <c r="F7102" s="1"/>
      <c r="J7102" s="2"/>
      <c r="K7102" s="7"/>
    </row>
    <row r="7103" spans="1:11" x14ac:dyDescent="0.35">
      <c r="A7103" s="13"/>
      <c r="E7103" s="8"/>
      <c r="F7103" s="1"/>
      <c r="J7103" s="2"/>
      <c r="K7103" s="7"/>
    </row>
    <row r="7104" spans="1:11" x14ac:dyDescent="0.35">
      <c r="A7104" s="13"/>
      <c r="E7104" s="8"/>
      <c r="F7104" s="1"/>
      <c r="J7104" s="2"/>
      <c r="K7104" s="7"/>
    </row>
    <row r="7105" spans="1:11" x14ac:dyDescent="0.35">
      <c r="A7105" s="13"/>
      <c r="E7105" s="8"/>
      <c r="F7105" s="1"/>
      <c r="J7105" s="2"/>
      <c r="K7105" s="7"/>
    </row>
    <row r="7106" spans="1:11" x14ac:dyDescent="0.35">
      <c r="A7106" s="13"/>
      <c r="E7106" s="8"/>
      <c r="F7106" s="1"/>
      <c r="J7106" s="2"/>
      <c r="K7106" s="7"/>
    </row>
    <row r="7107" spans="1:11" x14ac:dyDescent="0.35">
      <c r="A7107" s="13"/>
      <c r="E7107" s="8"/>
      <c r="F7107" s="1"/>
      <c r="J7107" s="2"/>
      <c r="K7107" s="7"/>
    </row>
    <row r="7108" spans="1:11" x14ac:dyDescent="0.35">
      <c r="A7108" s="13"/>
      <c r="E7108" s="8"/>
      <c r="F7108" s="1"/>
      <c r="J7108" s="2"/>
      <c r="K7108" s="7"/>
    </row>
    <row r="7109" spans="1:11" x14ac:dyDescent="0.35">
      <c r="A7109" s="13"/>
      <c r="E7109" s="8"/>
      <c r="F7109" s="1"/>
      <c r="J7109" s="2"/>
      <c r="K7109" s="7"/>
    </row>
    <row r="7110" spans="1:11" x14ac:dyDescent="0.35">
      <c r="A7110" s="13"/>
      <c r="E7110" s="8"/>
      <c r="F7110" s="1"/>
      <c r="J7110" s="2"/>
      <c r="K7110" s="7"/>
    </row>
    <row r="7111" spans="1:11" x14ac:dyDescent="0.35">
      <c r="A7111" s="13"/>
      <c r="E7111" s="8"/>
      <c r="F7111" s="1"/>
      <c r="J7111" s="2"/>
      <c r="K7111" s="7"/>
    </row>
    <row r="7112" spans="1:11" x14ac:dyDescent="0.35">
      <c r="A7112" s="13"/>
      <c r="E7112" s="8"/>
      <c r="F7112" s="1"/>
      <c r="J7112" s="2"/>
      <c r="K7112" s="7"/>
    </row>
    <row r="7113" spans="1:11" x14ac:dyDescent="0.35">
      <c r="A7113" s="13"/>
      <c r="E7113" s="8"/>
      <c r="F7113" s="1"/>
      <c r="J7113" s="2"/>
      <c r="K7113" s="7"/>
    </row>
    <row r="7114" spans="1:11" x14ac:dyDescent="0.35">
      <c r="A7114" s="13"/>
      <c r="E7114" s="8"/>
      <c r="F7114" s="1"/>
      <c r="J7114" s="2"/>
      <c r="K7114" s="7"/>
    </row>
    <row r="7115" spans="1:11" x14ac:dyDescent="0.35">
      <c r="A7115" s="13"/>
      <c r="E7115" s="8"/>
      <c r="F7115" s="1"/>
      <c r="J7115" s="2"/>
      <c r="K7115" s="7"/>
    </row>
    <row r="7116" spans="1:11" x14ac:dyDescent="0.35">
      <c r="A7116" s="13"/>
      <c r="E7116" s="8"/>
      <c r="F7116" s="1"/>
      <c r="J7116" s="2"/>
      <c r="K7116" s="7"/>
    </row>
    <row r="7117" spans="1:11" x14ac:dyDescent="0.35">
      <c r="A7117" s="13"/>
      <c r="E7117" s="8"/>
      <c r="F7117" s="1"/>
      <c r="J7117" s="2"/>
      <c r="K7117" s="7"/>
    </row>
    <row r="7118" spans="1:11" x14ac:dyDescent="0.35">
      <c r="A7118" s="13"/>
      <c r="E7118" s="8"/>
      <c r="F7118" s="1"/>
      <c r="J7118" s="2"/>
      <c r="K7118" s="7"/>
    </row>
    <row r="7119" spans="1:11" x14ac:dyDescent="0.35">
      <c r="A7119" s="13"/>
      <c r="E7119" s="8"/>
      <c r="F7119" s="1"/>
      <c r="J7119" s="2"/>
      <c r="K7119" s="7"/>
    </row>
    <row r="7120" spans="1:11" x14ac:dyDescent="0.35">
      <c r="A7120" s="13"/>
      <c r="E7120" s="8"/>
      <c r="F7120" s="1"/>
      <c r="J7120" s="2"/>
      <c r="K7120" s="7"/>
    </row>
    <row r="7121" spans="1:11" x14ac:dyDescent="0.35">
      <c r="A7121" s="13"/>
      <c r="E7121" s="8"/>
      <c r="F7121" s="1"/>
      <c r="J7121" s="2"/>
      <c r="K7121" s="7"/>
    </row>
    <row r="7122" spans="1:11" x14ac:dyDescent="0.35">
      <c r="A7122" s="13"/>
      <c r="E7122" s="8"/>
      <c r="F7122" s="1"/>
      <c r="J7122" s="2"/>
      <c r="K7122" s="7"/>
    </row>
    <row r="7123" spans="1:11" x14ac:dyDescent="0.35">
      <c r="A7123" s="13"/>
      <c r="E7123" s="8"/>
      <c r="F7123" s="1"/>
      <c r="J7123" s="2"/>
      <c r="K7123" s="7"/>
    </row>
    <row r="7124" spans="1:11" x14ac:dyDescent="0.35">
      <c r="A7124" s="13"/>
      <c r="E7124" s="8"/>
      <c r="F7124" s="1"/>
      <c r="J7124" s="2"/>
      <c r="K7124" s="7"/>
    </row>
    <row r="7125" spans="1:11" x14ac:dyDescent="0.35">
      <c r="A7125" s="13"/>
      <c r="E7125" s="8"/>
      <c r="F7125" s="1"/>
      <c r="J7125" s="2"/>
      <c r="K7125" s="7"/>
    </row>
    <row r="7126" spans="1:11" x14ac:dyDescent="0.35">
      <c r="A7126" s="13"/>
      <c r="E7126" s="8"/>
      <c r="F7126" s="1"/>
      <c r="J7126" s="2"/>
      <c r="K7126" s="7"/>
    </row>
    <row r="7127" spans="1:11" x14ac:dyDescent="0.35">
      <c r="A7127" s="13"/>
      <c r="E7127" s="8"/>
      <c r="F7127" s="1"/>
      <c r="J7127" s="2"/>
      <c r="K7127" s="7"/>
    </row>
    <row r="7128" spans="1:11" x14ac:dyDescent="0.35">
      <c r="A7128" s="13"/>
      <c r="E7128" s="8"/>
      <c r="F7128" s="1"/>
      <c r="J7128" s="2"/>
      <c r="K7128" s="7"/>
    </row>
    <row r="7129" spans="1:11" x14ac:dyDescent="0.35">
      <c r="A7129" s="13"/>
      <c r="E7129" s="8"/>
      <c r="F7129" s="1"/>
      <c r="J7129" s="2"/>
      <c r="K7129" s="7"/>
    </row>
    <row r="7130" spans="1:11" x14ac:dyDescent="0.35">
      <c r="A7130" s="13"/>
      <c r="E7130" s="8"/>
      <c r="F7130" s="1"/>
      <c r="J7130" s="2"/>
      <c r="K7130" s="7"/>
    </row>
    <row r="7131" spans="1:11" x14ac:dyDescent="0.35">
      <c r="A7131" s="13"/>
      <c r="E7131" s="8"/>
      <c r="F7131" s="1"/>
      <c r="J7131" s="2"/>
      <c r="K7131" s="7"/>
    </row>
    <row r="7132" spans="1:11" x14ac:dyDescent="0.35">
      <c r="A7132" s="13"/>
      <c r="E7132" s="8"/>
      <c r="F7132" s="1"/>
      <c r="J7132" s="2"/>
      <c r="K7132" s="7"/>
    </row>
    <row r="7133" spans="1:11" x14ac:dyDescent="0.35">
      <c r="A7133" s="13"/>
      <c r="E7133" s="8"/>
      <c r="F7133" s="1"/>
      <c r="J7133" s="2"/>
      <c r="K7133" s="7"/>
    </row>
    <row r="7134" spans="1:11" x14ac:dyDescent="0.35">
      <c r="A7134" s="13"/>
      <c r="E7134" s="8"/>
      <c r="F7134" s="1"/>
      <c r="J7134" s="2"/>
      <c r="K7134" s="7"/>
    </row>
    <row r="7135" spans="1:11" x14ac:dyDescent="0.35">
      <c r="A7135" s="13"/>
      <c r="E7135" s="8"/>
      <c r="F7135" s="1"/>
      <c r="J7135" s="2"/>
      <c r="K7135" s="7"/>
    </row>
    <row r="7136" spans="1:11" x14ac:dyDescent="0.35">
      <c r="A7136" s="13"/>
      <c r="E7136" s="8"/>
      <c r="F7136" s="1"/>
      <c r="J7136" s="2"/>
      <c r="K7136" s="7"/>
    </row>
    <row r="7137" spans="1:11" x14ac:dyDescent="0.35">
      <c r="A7137" s="13"/>
      <c r="E7137" s="8"/>
      <c r="F7137" s="1"/>
      <c r="J7137" s="2"/>
      <c r="K7137" s="7"/>
    </row>
    <row r="7138" spans="1:11" x14ac:dyDescent="0.35">
      <c r="A7138" s="13"/>
      <c r="E7138" s="8"/>
      <c r="F7138" s="1"/>
      <c r="J7138" s="2"/>
      <c r="K7138" s="7"/>
    </row>
    <row r="7139" spans="1:11" x14ac:dyDescent="0.35">
      <c r="A7139" s="13"/>
      <c r="E7139" s="8"/>
      <c r="F7139" s="1"/>
      <c r="J7139" s="2"/>
      <c r="K7139" s="7"/>
    </row>
    <row r="7140" spans="1:11" x14ac:dyDescent="0.35">
      <c r="A7140" s="13"/>
      <c r="E7140" s="8"/>
      <c r="F7140" s="1"/>
      <c r="J7140" s="2"/>
      <c r="K7140" s="7"/>
    </row>
    <row r="7141" spans="1:11" x14ac:dyDescent="0.35">
      <c r="A7141" s="13"/>
      <c r="E7141" s="8"/>
      <c r="F7141" s="1"/>
      <c r="J7141" s="2"/>
      <c r="K7141" s="7"/>
    </row>
    <row r="7142" spans="1:11" x14ac:dyDescent="0.35">
      <c r="A7142" s="13"/>
      <c r="E7142" s="8"/>
      <c r="F7142" s="1"/>
      <c r="J7142" s="2"/>
      <c r="K7142" s="7"/>
    </row>
    <row r="7143" spans="1:11" x14ac:dyDescent="0.35">
      <c r="A7143" s="13"/>
      <c r="E7143" s="8"/>
      <c r="F7143" s="1"/>
      <c r="J7143" s="2"/>
      <c r="K7143" s="7"/>
    </row>
    <row r="7144" spans="1:11" x14ac:dyDescent="0.35">
      <c r="A7144" s="13"/>
      <c r="E7144" s="8"/>
      <c r="F7144" s="1"/>
      <c r="J7144" s="2"/>
      <c r="K7144" s="7"/>
    </row>
    <row r="7145" spans="1:11" x14ac:dyDescent="0.35">
      <c r="A7145" s="13"/>
      <c r="E7145" s="8"/>
      <c r="F7145" s="1"/>
      <c r="J7145" s="2"/>
      <c r="K7145" s="7"/>
    </row>
    <row r="7146" spans="1:11" x14ac:dyDescent="0.35">
      <c r="A7146" s="13"/>
      <c r="E7146" s="8"/>
      <c r="F7146" s="1"/>
      <c r="J7146" s="2"/>
      <c r="K7146" s="7"/>
    </row>
    <row r="7147" spans="1:11" x14ac:dyDescent="0.35">
      <c r="A7147" s="13"/>
      <c r="E7147" s="8"/>
      <c r="F7147" s="1"/>
      <c r="J7147" s="2"/>
      <c r="K7147" s="7"/>
    </row>
    <row r="7148" spans="1:11" x14ac:dyDescent="0.35">
      <c r="A7148" s="13"/>
      <c r="E7148" s="8"/>
      <c r="F7148" s="1"/>
      <c r="J7148" s="2"/>
      <c r="K7148" s="7"/>
    </row>
    <row r="7149" spans="1:11" x14ac:dyDescent="0.35">
      <c r="A7149" s="13"/>
      <c r="E7149" s="8"/>
      <c r="F7149" s="1"/>
      <c r="J7149" s="2"/>
      <c r="K7149" s="7"/>
    </row>
    <row r="7150" spans="1:11" x14ac:dyDescent="0.35">
      <c r="A7150" s="13"/>
      <c r="E7150" s="8"/>
      <c r="F7150" s="1"/>
      <c r="J7150" s="2"/>
      <c r="K7150" s="7"/>
    </row>
    <row r="7151" spans="1:11" x14ac:dyDescent="0.35">
      <c r="A7151" s="13"/>
      <c r="E7151" s="8"/>
      <c r="F7151" s="1"/>
      <c r="J7151" s="2"/>
      <c r="K7151" s="7"/>
    </row>
    <row r="7152" spans="1:11" x14ac:dyDescent="0.35">
      <c r="A7152" s="13"/>
      <c r="E7152" s="8"/>
      <c r="F7152" s="1"/>
      <c r="J7152" s="2"/>
      <c r="K7152" s="7"/>
    </row>
    <row r="7153" spans="1:11" x14ac:dyDescent="0.35">
      <c r="A7153" s="13"/>
      <c r="E7153" s="8"/>
      <c r="F7153" s="1"/>
      <c r="J7153" s="2"/>
      <c r="K7153" s="7"/>
    </row>
    <row r="7154" spans="1:11" x14ac:dyDescent="0.35">
      <c r="A7154" s="13"/>
      <c r="E7154" s="8"/>
      <c r="F7154" s="1"/>
      <c r="J7154" s="2"/>
      <c r="K7154" s="7"/>
    </row>
    <row r="7155" spans="1:11" x14ac:dyDescent="0.35">
      <c r="A7155" s="13"/>
      <c r="E7155" s="8"/>
      <c r="F7155" s="1"/>
      <c r="J7155" s="2"/>
      <c r="K7155" s="7"/>
    </row>
    <row r="7156" spans="1:11" x14ac:dyDescent="0.35">
      <c r="A7156" s="13"/>
      <c r="E7156" s="8"/>
      <c r="F7156" s="1"/>
      <c r="J7156" s="2"/>
      <c r="K7156" s="7"/>
    </row>
    <row r="7157" spans="1:11" x14ac:dyDescent="0.35">
      <c r="A7157" s="13"/>
      <c r="E7157" s="8"/>
      <c r="F7157" s="1"/>
      <c r="J7157" s="2"/>
      <c r="K7157" s="7"/>
    </row>
    <row r="7158" spans="1:11" x14ac:dyDescent="0.35">
      <c r="A7158" s="13"/>
      <c r="E7158" s="8"/>
      <c r="F7158" s="1"/>
      <c r="J7158" s="2"/>
      <c r="K7158" s="7"/>
    </row>
    <row r="7159" spans="1:11" x14ac:dyDescent="0.35">
      <c r="A7159" s="13"/>
      <c r="E7159" s="8"/>
      <c r="F7159" s="1"/>
      <c r="J7159" s="2"/>
      <c r="K7159" s="7"/>
    </row>
    <row r="7160" spans="1:11" x14ac:dyDescent="0.35">
      <c r="A7160" s="13"/>
      <c r="E7160" s="8"/>
      <c r="F7160" s="1"/>
      <c r="J7160" s="2"/>
      <c r="K7160" s="7"/>
    </row>
    <row r="7161" spans="1:11" x14ac:dyDescent="0.35">
      <c r="A7161" s="13"/>
      <c r="E7161" s="8"/>
      <c r="F7161" s="1"/>
      <c r="J7161" s="2"/>
      <c r="K7161" s="7"/>
    </row>
    <row r="7162" spans="1:11" x14ac:dyDescent="0.35">
      <c r="A7162" s="13"/>
      <c r="E7162" s="8"/>
      <c r="F7162" s="1"/>
      <c r="J7162" s="2"/>
      <c r="K7162" s="7"/>
    </row>
    <row r="7163" spans="1:11" x14ac:dyDescent="0.35">
      <c r="A7163" s="13"/>
      <c r="E7163" s="8"/>
      <c r="F7163" s="1"/>
      <c r="J7163" s="2"/>
      <c r="K7163" s="7"/>
    </row>
    <row r="7164" spans="1:11" x14ac:dyDescent="0.35">
      <c r="A7164" s="13"/>
      <c r="E7164" s="8"/>
      <c r="F7164" s="1"/>
      <c r="J7164" s="2"/>
      <c r="K7164" s="7"/>
    </row>
    <row r="7165" spans="1:11" x14ac:dyDescent="0.35">
      <c r="A7165" s="13"/>
      <c r="E7165" s="8"/>
      <c r="F7165" s="1"/>
      <c r="J7165" s="2"/>
      <c r="K7165" s="7"/>
    </row>
    <row r="7166" spans="1:11" x14ac:dyDescent="0.35">
      <c r="A7166" s="13"/>
      <c r="E7166" s="8"/>
      <c r="F7166" s="1"/>
      <c r="J7166" s="2"/>
      <c r="K7166" s="7"/>
    </row>
    <row r="7167" spans="1:11" x14ac:dyDescent="0.35">
      <c r="A7167" s="13"/>
      <c r="E7167" s="8"/>
      <c r="F7167" s="1"/>
      <c r="J7167" s="2"/>
      <c r="K7167" s="7"/>
    </row>
    <row r="7168" spans="1:11" x14ac:dyDescent="0.35">
      <c r="A7168" s="13"/>
      <c r="E7168" s="8"/>
      <c r="F7168" s="1"/>
      <c r="J7168" s="2"/>
      <c r="K7168" s="7"/>
    </row>
    <row r="7169" spans="1:11" x14ac:dyDescent="0.35">
      <c r="A7169" s="13"/>
      <c r="E7169" s="8"/>
      <c r="F7169" s="1"/>
      <c r="J7169" s="2"/>
      <c r="K7169" s="7"/>
    </row>
    <row r="7170" spans="1:11" x14ac:dyDescent="0.35">
      <c r="A7170" s="13"/>
      <c r="E7170" s="8"/>
      <c r="F7170" s="1"/>
      <c r="J7170" s="2"/>
      <c r="K7170" s="7"/>
    </row>
    <row r="7171" spans="1:11" x14ac:dyDescent="0.35">
      <c r="A7171" s="13"/>
      <c r="E7171" s="8"/>
      <c r="F7171" s="1"/>
      <c r="J7171" s="2"/>
      <c r="K7171" s="7"/>
    </row>
    <row r="7172" spans="1:11" x14ac:dyDescent="0.35">
      <c r="A7172" s="13"/>
      <c r="E7172" s="8"/>
      <c r="F7172" s="1"/>
      <c r="J7172" s="2"/>
      <c r="K7172" s="7"/>
    </row>
    <row r="7173" spans="1:11" x14ac:dyDescent="0.35">
      <c r="A7173" s="13"/>
      <c r="E7173" s="8"/>
      <c r="F7173" s="1"/>
      <c r="J7173" s="2"/>
      <c r="K7173" s="7"/>
    </row>
    <row r="7174" spans="1:11" x14ac:dyDescent="0.35">
      <c r="A7174" s="13"/>
      <c r="E7174" s="8"/>
      <c r="F7174" s="1"/>
      <c r="J7174" s="2"/>
      <c r="K7174" s="7"/>
    </row>
    <row r="7175" spans="1:11" x14ac:dyDescent="0.35">
      <c r="A7175" s="13"/>
      <c r="E7175" s="8"/>
      <c r="F7175" s="1"/>
      <c r="J7175" s="2"/>
      <c r="K7175" s="7"/>
    </row>
    <row r="7176" spans="1:11" x14ac:dyDescent="0.35">
      <c r="A7176" s="13"/>
      <c r="E7176" s="8"/>
      <c r="F7176" s="1"/>
      <c r="J7176" s="2"/>
      <c r="K7176" s="7"/>
    </row>
    <row r="7177" spans="1:11" x14ac:dyDescent="0.35">
      <c r="A7177" s="13"/>
      <c r="E7177" s="8"/>
      <c r="F7177" s="1"/>
      <c r="J7177" s="2"/>
      <c r="K7177" s="7"/>
    </row>
    <row r="7178" spans="1:11" x14ac:dyDescent="0.35">
      <c r="A7178" s="13"/>
      <c r="E7178" s="8"/>
      <c r="F7178" s="1"/>
      <c r="J7178" s="2"/>
      <c r="K7178" s="7"/>
    </row>
    <row r="7179" spans="1:11" x14ac:dyDescent="0.35">
      <c r="A7179" s="13"/>
      <c r="E7179" s="8"/>
      <c r="F7179" s="1"/>
      <c r="J7179" s="2"/>
      <c r="K7179" s="7"/>
    </row>
    <row r="7180" spans="1:11" x14ac:dyDescent="0.35">
      <c r="A7180" s="13"/>
      <c r="E7180" s="8"/>
      <c r="F7180" s="1"/>
      <c r="J7180" s="2"/>
      <c r="K7180" s="7"/>
    </row>
    <row r="7181" spans="1:11" x14ac:dyDescent="0.35">
      <c r="A7181" s="13"/>
      <c r="E7181" s="8"/>
      <c r="F7181" s="1"/>
      <c r="J7181" s="2"/>
      <c r="K7181" s="7"/>
    </row>
    <row r="7182" spans="1:11" x14ac:dyDescent="0.35">
      <c r="A7182" s="13"/>
      <c r="E7182" s="8"/>
      <c r="F7182" s="1"/>
      <c r="J7182" s="2"/>
      <c r="K7182" s="7"/>
    </row>
    <row r="7183" spans="1:11" x14ac:dyDescent="0.35">
      <c r="A7183" s="13"/>
      <c r="E7183" s="8"/>
      <c r="F7183" s="1"/>
      <c r="J7183" s="2"/>
      <c r="K7183" s="7"/>
    </row>
    <row r="7184" spans="1:11" x14ac:dyDescent="0.35">
      <c r="A7184" s="13"/>
      <c r="E7184" s="8"/>
      <c r="F7184" s="1"/>
      <c r="J7184" s="2"/>
      <c r="K7184" s="7"/>
    </row>
    <row r="7185" spans="1:11" x14ac:dyDescent="0.35">
      <c r="A7185" s="13"/>
      <c r="E7185" s="8"/>
      <c r="F7185" s="1"/>
      <c r="J7185" s="2"/>
      <c r="K7185" s="7"/>
    </row>
    <row r="7186" spans="1:11" x14ac:dyDescent="0.35">
      <c r="A7186" s="13"/>
      <c r="E7186" s="8"/>
      <c r="F7186" s="1"/>
      <c r="J7186" s="2"/>
      <c r="K7186" s="7"/>
    </row>
    <row r="7187" spans="1:11" x14ac:dyDescent="0.35">
      <c r="A7187" s="13"/>
      <c r="E7187" s="8"/>
      <c r="F7187" s="1"/>
      <c r="J7187" s="2"/>
      <c r="K7187" s="7"/>
    </row>
    <row r="7188" spans="1:11" x14ac:dyDescent="0.35">
      <c r="A7188" s="13"/>
      <c r="E7188" s="8"/>
      <c r="F7188" s="1"/>
      <c r="J7188" s="2"/>
      <c r="K7188" s="7"/>
    </row>
    <row r="7189" spans="1:11" x14ac:dyDescent="0.35">
      <c r="A7189" s="13"/>
      <c r="E7189" s="8"/>
      <c r="F7189" s="1"/>
      <c r="J7189" s="2"/>
      <c r="K7189" s="7"/>
    </row>
    <row r="7190" spans="1:11" x14ac:dyDescent="0.35">
      <c r="A7190" s="13"/>
      <c r="E7190" s="8"/>
      <c r="F7190" s="1"/>
      <c r="J7190" s="2"/>
      <c r="K7190" s="7"/>
    </row>
    <row r="7191" spans="1:11" x14ac:dyDescent="0.35">
      <c r="A7191" s="13"/>
      <c r="E7191" s="8"/>
      <c r="F7191" s="1"/>
      <c r="J7191" s="2"/>
      <c r="K7191" s="7"/>
    </row>
    <row r="7192" spans="1:11" x14ac:dyDescent="0.35">
      <c r="A7192" s="13"/>
      <c r="E7192" s="8"/>
      <c r="F7192" s="1"/>
      <c r="J7192" s="2"/>
      <c r="K7192" s="7"/>
    </row>
    <row r="7193" spans="1:11" x14ac:dyDescent="0.35">
      <c r="A7193" s="13"/>
      <c r="E7193" s="8"/>
      <c r="F7193" s="1"/>
      <c r="J7193" s="2"/>
      <c r="K7193" s="7"/>
    </row>
    <row r="7194" spans="1:11" x14ac:dyDescent="0.35">
      <c r="A7194" s="13"/>
      <c r="E7194" s="8"/>
      <c r="F7194" s="1"/>
      <c r="J7194" s="2"/>
      <c r="K7194" s="7"/>
    </row>
    <row r="7195" spans="1:11" x14ac:dyDescent="0.35">
      <c r="A7195" s="13"/>
      <c r="E7195" s="8"/>
      <c r="F7195" s="1"/>
      <c r="J7195" s="2"/>
      <c r="K7195" s="7"/>
    </row>
    <row r="7196" spans="1:11" x14ac:dyDescent="0.35">
      <c r="A7196" s="13"/>
      <c r="E7196" s="8"/>
      <c r="F7196" s="1"/>
      <c r="J7196" s="2"/>
      <c r="K7196" s="7"/>
    </row>
    <row r="7197" spans="1:11" x14ac:dyDescent="0.35">
      <c r="A7197" s="13"/>
      <c r="E7197" s="8"/>
      <c r="F7197" s="1"/>
      <c r="J7197" s="2"/>
      <c r="K7197" s="7"/>
    </row>
    <row r="7198" spans="1:11" x14ac:dyDescent="0.35">
      <c r="A7198" s="13"/>
      <c r="E7198" s="8"/>
      <c r="F7198" s="1"/>
      <c r="J7198" s="2"/>
      <c r="K7198" s="7"/>
    </row>
    <row r="7199" spans="1:11" x14ac:dyDescent="0.35">
      <c r="A7199" s="13"/>
      <c r="E7199" s="8"/>
      <c r="F7199" s="1"/>
      <c r="J7199" s="2"/>
      <c r="K7199" s="7"/>
    </row>
    <row r="7200" spans="1:11" x14ac:dyDescent="0.35">
      <c r="A7200" s="13"/>
      <c r="E7200" s="8"/>
      <c r="F7200" s="1"/>
      <c r="J7200" s="2"/>
      <c r="K7200" s="7"/>
    </row>
    <row r="7201" spans="1:11" x14ac:dyDescent="0.35">
      <c r="A7201" s="13"/>
      <c r="E7201" s="8"/>
      <c r="F7201" s="1"/>
      <c r="J7201" s="2"/>
      <c r="K7201" s="7"/>
    </row>
    <row r="7202" spans="1:11" x14ac:dyDescent="0.35">
      <c r="A7202" s="13"/>
      <c r="E7202" s="8"/>
      <c r="F7202" s="1"/>
      <c r="J7202" s="2"/>
      <c r="K7202" s="7"/>
    </row>
    <row r="7203" spans="1:11" x14ac:dyDescent="0.35">
      <c r="A7203" s="13"/>
      <c r="E7203" s="8"/>
      <c r="F7203" s="1"/>
      <c r="J7203" s="2"/>
      <c r="K7203" s="7"/>
    </row>
    <row r="7204" spans="1:11" x14ac:dyDescent="0.35">
      <c r="A7204" s="13"/>
      <c r="E7204" s="8"/>
      <c r="F7204" s="1"/>
      <c r="J7204" s="2"/>
      <c r="K7204" s="7"/>
    </row>
    <row r="7205" spans="1:11" x14ac:dyDescent="0.35">
      <c r="A7205" s="13"/>
      <c r="E7205" s="8"/>
      <c r="F7205" s="1"/>
      <c r="J7205" s="2"/>
      <c r="K7205" s="7"/>
    </row>
    <row r="7206" spans="1:11" x14ac:dyDescent="0.35">
      <c r="A7206" s="13"/>
      <c r="E7206" s="8"/>
      <c r="F7206" s="1"/>
      <c r="J7206" s="2"/>
      <c r="K7206" s="7"/>
    </row>
    <row r="7207" spans="1:11" x14ac:dyDescent="0.35">
      <c r="A7207" s="13"/>
      <c r="E7207" s="8"/>
      <c r="F7207" s="1"/>
      <c r="J7207" s="2"/>
      <c r="K7207" s="7"/>
    </row>
    <row r="7208" spans="1:11" x14ac:dyDescent="0.35">
      <c r="A7208" s="13"/>
      <c r="E7208" s="8"/>
      <c r="F7208" s="1"/>
      <c r="J7208" s="2"/>
      <c r="K7208" s="7"/>
    </row>
    <row r="7209" spans="1:11" x14ac:dyDescent="0.35">
      <c r="A7209" s="13"/>
      <c r="E7209" s="8"/>
      <c r="F7209" s="1"/>
      <c r="J7209" s="2"/>
      <c r="K7209" s="7"/>
    </row>
    <row r="7210" spans="1:11" x14ac:dyDescent="0.35">
      <c r="A7210" s="13"/>
      <c r="E7210" s="8"/>
      <c r="F7210" s="1"/>
      <c r="J7210" s="2"/>
      <c r="K7210" s="7"/>
    </row>
    <row r="7211" spans="1:11" x14ac:dyDescent="0.35">
      <c r="A7211" s="13"/>
      <c r="E7211" s="8"/>
      <c r="F7211" s="1"/>
      <c r="J7211" s="2"/>
      <c r="K7211" s="7"/>
    </row>
    <row r="7212" spans="1:11" x14ac:dyDescent="0.35">
      <c r="A7212" s="13"/>
      <c r="E7212" s="8"/>
      <c r="F7212" s="1"/>
      <c r="J7212" s="2"/>
      <c r="K7212" s="7"/>
    </row>
    <row r="7213" spans="1:11" x14ac:dyDescent="0.35">
      <c r="A7213" s="13"/>
      <c r="E7213" s="8"/>
      <c r="F7213" s="1"/>
      <c r="J7213" s="2"/>
      <c r="K7213" s="7"/>
    </row>
    <row r="7214" spans="1:11" x14ac:dyDescent="0.35">
      <c r="A7214" s="13"/>
      <c r="E7214" s="8"/>
      <c r="F7214" s="1"/>
      <c r="J7214" s="2"/>
      <c r="K7214" s="7"/>
    </row>
    <row r="7215" spans="1:11" x14ac:dyDescent="0.35">
      <c r="A7215" s="13"/>
      <c r="E7215" s="8"/>
      <c r="F7215" s="1"/>
      <c r="J7215" s="2"/>
      <c r="K7215" s="7"/>
    </row>
    <row r="7216" spans="1:11" x14ac:dyDescent="0.35">
      <c r="A7216" s="13"/>
      <c r="E7216" s="8"/>
      <c r="F7216" s="1"/>
      <c r="J7216" s="2"/>
      <c r="K7216" s="7"/>
    </row>
    <row r="7217" spans="1:11" x14ac:dyDescent="0.35">
      <c r="A7217" s="13"/>
      <c r="E7217" s="8"/>
      <c r="F7217" s="1"/>
      <c r="J7217" s="2"/>
      <c r="K7217" s="7"/>
    </row>
    <row r="7218" spans="1:11" x14ac:dyDescent="0.35">
      <c r="A7218" s="13"/>
      <c r="E7218" s="8"/>
      <c r="F7218" s="1"/>
      <c r="J7218" s="2"/>
      <c r="K7218" s="7"/>
    </row>
    <row r="7219" spans="1:11" x14ac:dyDescent="0.35">
      <c r="A7219" s="13"/>
      <c r="E7219" s="8"/>
      <c r="F7219" s="1"/>
      <c r="J7219" s="2"/>
      <c r="K7219" s="7"/>
    </row>
    <row r="7220" spans="1:11" x14ac:dyDescent="0.35">
      <c r="A7220" s="13"/>
      <c r="E7220" s="8"/>
      <c r="F7220" s="1"/>
      <c r="J7220" s="2"/>
      <c r="K7220" s="7"/>
    </row>
    <row r="7221" spans="1:11" x14ac:dyDescent="0.35">
      <c r="A7221" s="13"/>
      <c r="E7221" s="8"/>
      <c r="F7221" s="1"/>
      <c r="J7221" s="2"/>
      <c r="K7221" s="7"/>
    </row>
    <row r="7222" spans="1:11" x14ac:dyDescent="0.35">
      <c r="A7222" s="13"/>
      <c r="E7222" s="8"/>
      <c r="F7222" s="1"/>
      <c r="J7222" s="2"/>
      <c r="K7222" s="7"/>
    </row>
    <row r="7223" spans="1:11" x14ac:dyDescent="0.35">
      <c r="A7223" s="13"/>
      <c r="E7223" s="8"/>
      <c r="F7223" s="1"/>
      <c r="J7223" s="2"/>
      <c r="K7223" s="7"/>
    </row>
    <row r="7224" spans="1:11" x14ac:dyDescent="0.35">
      <c r="A7224" s="13"/>
      <c r="E7224" s="8"/>
      <c r="F7224" s="1"/>
      <c r="J7224" s="2"/>
      <c r="K7224" s="7"/>
    </row>
    <row r="7225" spans="1:11" x14ac:dyDescent="0.35">
      <c r="A7225" s="13"/>
      <c r="E7225" s="8"/>
      <c r="F7225" s="1"/>
      <c r="J7225" s="2"/>
      <c r="K7225" s="7"/>
    </row>
    <row r="7226" spans="1:11" x14ac:dyDescent="0.35">
      <c r="A7226" s="13"/>
      <c r="E7226" s="8"/>
      <c r="F7226" s="1"/>
      <c r="J7226" s="2"/>
      <c r="K7226" s="7"/>
    </row>
    <row r="7227" spans="1:11" x14ac:dyDescent="0.35">
      <c r="A7227" s="13"/>
      <c r="E7227" s="8"/>
      <c r="F7227" s="1"/>
      <c r="J7227" s="2"/>
      <c r="K7227" s="7"/>
    </row>
    <row r="7228" spans="1:11" x14ac:dyDescent="0.35">
      <c r="A7228" s="13"/>
      <c r="E7228" s="8"/>
      <c r="F7228" s="1"/>
      <c r="J7228" s="2"/>
      <c r="K7228" s="7"/>
    </row>
    <row r="7229" spans="1:11" x14ac:dyDescent="0.35">
      <c r="A7229" s="13"/>
      <c r="E7229" s="8"/>
      <c r="F7229" s="1"/>
      <c r="J7229" s="2"/>
      <c r="K7229" s="7"/>
    </row>
    <row r="7230" spans="1:11" x14ac:dyDescent="0.35">
      <c r="A7230" s="13"/>
      <c r="E7230" s="8"/>
      <c r="F7230" s="1"/>
      <c r="J7230" s="2"/>
      <c r="K7230" s="7"/>
    </row>
    <row r="7231" spans="1:11" x14ac:dyDescent="0.35">
      <c r="A7231" s="13"/>
      <c r="E7231" s="8"/>
      <c r="F7231" s="1"/>
      <c r="J7231" s="2"/>
      <c r="K7231" s="7"/>
    </row>
    <row r="7232" spans="1:11" x14ac:dyDescent="0.35">
      <c r="A7232" s="13"/>
      <c r="E7232" s="8"/>
      <c r="F7232" s="1"/>
      <c r="J7232" s="2"/>
      <c r="K7232" s="7"/>
    </row>
    <row r="7233" spans="1:11" x14ac:dyDescent="0.35">
      <c r="A7233" s="13"/>
      <c r="E7233" s="8"/>
      <c r="F7233" s="1"/>
      <c r="J7233" s="2"/>
      <c r="K7233" s="7"/>
    </row>
    <row r="7234" spans="1:11" x14ac:dyDescent="0.35">
      <c r="A7234" s="13"/>
      <c r="E7234" s="8"/>
      <c r="F7234" s="1"/>
      <c r="J7234" s="2"/>
      <c r="K7234" s="7"/>
    </row>
    <row r="7235" spans="1:11" x14ac:dyDescent="0.35">
      <c r="A7235" s="13"/>
      <c r="E7235" s="8"/>
      <c r="F7235" s="1"/>
      <c r="J7235" s="2"/>
      <c r="K7235" s="7"/>
    </row>
    <row r="7236" spans="1:11" x14ac:dyDescent="0.35">
      <c r="A7236" s="13"/>
      <c r="E7236" s="8"/>
      <c r="F7236" s="1"/>
      <c r="J7236" s="2"/>
      <c r="K7236" s="7"/>
    </row>
    <row r="7237" spans="1:11" x14ac:dyDescent="0.35">
      <c r="A7237" s="13"/>
      <c r="E7237" s="8"/>
      <c r="F7237" s="1"/>
      <c r="J7237" s="2"/>
      <c r="K7237" s="7"/>
    </row>
    <row r="7238" spans="1:11" x14ac:dyDescent="0.35">
      <c r="A7238" s="13"/>
      <c r="E7238" s="8"/>
      <c r="F7238" s="1"/>
      <c r="J7238" s="2"/>
      <c r="K7238" s="7"/>
    </row>
    <row r="7239" spans="1:11" x14ac:dyDescent="0.35">
      <c r="A7239" s="13"/>
      <c r="E7239" s="8"/>
      <c r="F7239" s="1"/>
      <c r="J7239" s="2"/>
      <c r="K7239" s="7"/>
    </row>
    <row r="7240" spans="1:11" x14ac:dyDescent="0.35">
      <c r="A7240" s="13"/>
      <c r="E7240" s="8"/>
      <c r="F7240" s="1"/>
      <c r="J7240" s="2"/>
      <c r="K7240" s="7"/>
    </row>
    <row r="7241" spans="1:11" x14ac:dyDescent="0.35">
      <c r="A7241" s="13"/>
      <c r="E7241" s="8"/>
      <c r="F7241" s="1"/>
      <c r="J7241" s="2"/>
      <c r="K7241" s="7"/>
    </row>
    <row r="7242" spans="1:11" x14ac:dyDescent="0.35">
      <c r="A7242" s="13"/>
      <c r="E7242" s="8"/>
      <c r="F7242" s="1"/>
      <c r="J7242" s="2"/>
      <c r="K7242" s="7"/>
    </row>
    <row r="7243" spans="1:11" x14ac:dyDescent="0.35">
      <c r="A7243" s="13"/>
      <c r="E7243" s="8"/>
      <c r="F7243" s="1"/>
      <c r="J7243" s="2"/>
      <c r="K7243" s="7"/>
    </row>
    <row r="7244" spans="1:11" x14ac:dyDescent="0.35">
      <c r="A7244" s="13"/>
      <c r="E7244" s="8"/>
      <c r="F7244" s="1"/>
      <c r="J7244" s="2"/>
      <c r="K7244" s="7"/>
    </row>
    <row r="7245" spans="1:11" x14ac:dyDescent="0.35">
      <c r="A7245" s="13"/>
      <c r="E7245" s="8"/>
      <c r="F7245" s="1"/>
      <c r="J7245" s="2"/>
      <c r="K7245" s="7"/>
    </row>
    <row r="7246" spans="1:11" x14ac:dyDescent="0.35">
      <c r="A7246" s="13"/>
      <c r="E7246" s="8"/>
      <c r="F7246" s="1"/>
      <c r="J7246" s="2"/>
      <c r="K7246" s="7"/>
    </row>
    <row r="7247" spans="1:11" x14ac:dyDescent="0.35">
      <c r="A7247" s="13"/>
      <c r="E7247" s="8"/>
      <c r="F7247" s="1"/>
      <c r="J7247" s="2"/>
      <c r="K7247" s="7"/>
    </row>
    <row r="7248" spans="1:11" x14ac:dyDescent="0.35">
      <c r="A7248" s="13"/>
      <c r="E7248" s="8"/>
      <c r="F7248" s="1"/>
      <c r="J7248" s="2"/>
      <c r="K7248" s="7"/>
    </row>
    <row r="7249" spans="1:11" x14ac:dyDescent="0.35">
      <c r="A7249" s="13"/>
      <c r="E7249" s="8"/>
      <c r="F7249" s="1"/>
      <c r="J7249" s="2"/>
      <c r="K7249" s="7"/>
    </row>
    <row r="7250" spans="1:11" x14ac:dyDescent="0.35">
      <c r="A7250" s="13"/>
      <c r="E7250" s="8"/>
      <c r="F7250" s="1"/>
      <c r="J7250" s="2"/>
      <c r="K7250" s="7"/>
    </row>
    <row r="7251" spans="1:11" x14ac:dyDescent="0.35">
      <c r="A7251" s="13"/>
      <c r="E7251" s="8"/>
      <c r="F7251" s="1"/>
      <c r="J7251" s="2"/>
      <c r="K7251" s="7"/>
    </row>
    <row r="7252" spans="1:11" x14ac:dyDescent="0.35">
      <c r="A7252" s="13"/>
      <c r="E7252" s="8"/>
      <c r="F7252" s="1"/>
      <c r="J7252" s="2"/>
      <c r="K7252" s="7"/>
    </row>
    <row r="7253" spans="1:11" x14ac:dyDescent="0.35">
      <c r="A7253" s="13"/>
      <c r="E7253" s="8"/>
      <c r="F7253" s="1"/>
      <c r="J7253" s="2"/>
      <c r="K7253" s="7"/>
    </row>
    <row r="7254" spans="1:11" x14ac:dyDescent="0.35">
      <c r="A7254" s="13"/>
      <c r="E7254" s="8"/>
      <c r="F7254" s="1"/>
      <c r="J7254" s="2"/>
      <c r="K7254" s="7"/>
    </row>
    <row r="7255" spans="1:11" x14ac:dyDescent="0.35">
      <c r="A7255" s="13"/>
      <c r="E7255" s="8"/>
      <c r="F7255" s="1"/>
      <c r="J7255" s="2"/>
      <c r="K7255" s="7"/>
    </row>
    <row r="7256" spans="1:11" x14ac:dyDescent="0.35">
      <c r="A7256" s="13"/>
      <c r="E7256" s="8"/>
      <c r="F7256" s="1"/>
      <c r="J7256" s="2"/>
      <c r="K7256" s="7"/>
    </row>
    <row r="7257" spans="1:11" x14ac:dyDescent="0.35">
      <c r="A7257" s="13"/>
      <c r="E7257" s="8"/>
      <c r="F7257" s="1"/>
      <c r="J7257" s="2"/>
      <c r="K7257" s="7"/>
    </row>
    <row r="7258" spans="1:11" x14ac:dyDescent="0.35">
      <c r="A7258" s="13"/>
      <c r="E7258" s="8"/>
      <c r="F7258" s="1"/>
      <c r="J7258" s="2"/>
      <c r="K7258" s="7"/>
    </row>
    <row r="7259" spans="1:11" x14ac:dyDescent="0.35">
      <c r="A7259" s="13"/>
      <c r="E7259" s="8"/>
      <c r="F7259" s="1"/>
      <c r="J7259" s="2"/>
      <c r="K7259" s="7"/>
    </row>
    <row r="7260" spans="1:11" x14ac:dyDescent="0.35">
      <c r="A7260" s="13"/>
      <c r="E7260" s="8"/>
      <c r="F7260" s="1"/>
      <c r="J7260" s="2"/>
      <c r="K7260" s="7"/>
    </row>
    <row r="7261" spans="1:11" x14ac:dyDescent="0.35">
      <c r="A7261" s="13"/>
      <c r="E7261" s="8"/>
      <c r="F7261" s="1"/>
      <c r="J7261" s="2"/>
      <c r="K7261" s="7"/>
    </row>
    <row r="7262" spans="1:11" x14ac:dyDescent="0.35">
      <c r="A7262" s="13"/>
      <c r="E7262" s="8"/>
      <c r="F7262" s="1"/>
      <c r="J7262" s="2"/>
      <c r="K7262" s="7"/>
    </row>
    <row r="7263" spans="1:11" x14ac:dyDescent="0.35">
      <c r="A7263" s="13"/>
      <c r="E7263" s="8"/>
      <c r="F7263" s="1"/>
      <c r="J7263" s="2"/>
      <c r="K7263" s="7"/>
    </row>
    <row r="7264" spans="1:11" x14ac:dyDescent="0.35">
      <c r="A7264" s="13"/>
      <c r="E7264" s="8"/>
      <c r="F7264" s="1"/>
      <c r="J7264" s="2"/>
      <c r="K7264" s="7"/>
    </row>
    <row r="7265" spans="1:11" x14ac:dyDescent="0.35">
      <c r="A7265" s="13"/>
      <c r="E7265" s="8"/>
      <c r="F7265" s="1"/>
      <c r="J7265" s="2"/>
      <c r="K7265" s="7"/>
    </row>
    <row r="7266" spans="1:11" x14ac:dyDescent="0.35">
      <c r="A7266" s="13"/>
      <c r="E7266" s="8"/>
      <c r="F7266" s="1"/>
      <c r="J7266" s="2"/>
      <c r="K7266" s="7"/>
    </row>
    <row r="7267" spans="1:11" x14ac:dyDescent="0.35">
      <c r="A7267" s="13"/>
      <c r="E7267" s="8"/>
      <c r="F7267" s="1"/>
      <c r="J7267" s="2"/>
      <c r="K7267" s="7"/>
    </row>
    <row r="7268" spans="1:11" x14ac:dyDescent="0.35">
      <c r="A7268" s="13"/>
      <c r="E7268" s="8"/>
      <c r="F7268" s="1"/>
      <c r="J7268" s="2"/>
      <c r="K7268" s="7"/>
    </row>
    <row r="7269" spans="1:11" x14ac:dyDescent="0.35">
      <c r="A7269" s="13"/>
      <c r="E7269" s="8"/>
      <c r="F7269" s="1"/>
      <c r="J7269" s="2"/>
      <c r="K7269" s="7"/>
    </row>
    <row r="7270" spans="1:11" x14ac:dyDescent="0.35">
      <c r="A7270" s="13"/>
      <c r="E7270" s="8"/>
      <c r="F7270" s="1"/>
      <c r="J7270" s="2"/>
      <c r="K7270" s="7"/>
    </row>
    <row r="7271" spans="1:11" x14ac:dyDescent="0.35">
      <c r="A7271" s="13"/>
      <c r="E7271" s="8"/>
      <c r="F7271" s="1"/>
      <c r="J7271" s="2"/>
      <c r="K7271" s="7"/>
    </row>
    <row r="7272" spans="1:11" x14ac:dyDescent="0.35">
      <c r="A7272" s="13"/>
      <c r="E7272" s="8"/>
      <c r="F7272" s="1"/>
      <c r="J7272" s="2"/>
      <c r="K7272" s="7"/>
    </row>
    <row r="7273" spans="1:11" x14ac:dyDescent="0.35">
      <c r="A7273" s="13"/>
      <c r="E7273" s="8"/>
      <c r="F7273" s="1"/>
      <c r="J7273" s="2"/>
      <c r="K7273" s="7"/>
    </row>
    <row r="7274" spans="1:11" x14ac:dyDescent="0.35">
      <c r="A7274" s="13"/>
      <c r="E7274" s="8"/>
      <c r="F7274" s="1"/>
      <c r="J7274" s="2"/>
      <c r="K7274" s="7"/>
    </row>
    <row r="7275" spans="1:11" x14ac:dyDescent="0.35">
      <c r="A7275" s="13"/>
      <c r="E7275" s="8"/>
      <c r="F7275" s="1"/>
      <c r="J7275" s="2"/>
      <c r="K7275" s="7"/>
    </row>
    <row r="7276" spans="1:11" x14ac:dyDescent="0.35">
      <c r="A7276" s="13"/>
      <c r="E7276" s="8"/>
      <c r="F7276" s="1"/>
      <c r="J7276" s="2"/>
      <c r="K7276" s="7"/>
    </row>
    <row r="7277" spans="1:11" x14ac:dyDescent="0.35">
      <c r="A7277" s="13"/>
      <c r="E7277" s="8"/>
      <c r="F7277" s="1"/>
      <c r="J7277" s="2"/>
      <c r="K7277" s="7"/>
    </row>
    <row r="7278" spans="1:11" x14ac:dyDescent="0.35">
      <c r="A7278" s="13"/>
      <c r="E7278" s="8"/>
      <c r="F7278" s="1"/>
      <c r="J7278" s="2"/>
      <c r="K7278" s="7"/>
    </row>
    <row r="7279" spans="1:11" x14ac:dyDescent="0.35">
      <c r="A7279" s="13"/>
      <c r="E7279" s="8"/>
      <c r="F7279" s="1"/>
      <c r="J7279" s="2"/>
      <c r="K7279" s="7"/>
    </row>
    <row r="7280" spans="1:11" x14ac:dyDescent="0.35">
      <c r="A7280" s="13"/>
      <c r="E7280" s="8"/>
      <c r="F7280" s="1"/>
      <c r="J7280" s="2"/>
      <c r="K7280" s="7"/>
    </row>
    <row r="7281" spans="1:11" x14ac:dyDescent="0.35">
      <c r="A7281" s="13"/>
      <c r="E7281" s="8"/>
      <c r="F7281" s="1"/>
      <c r="J7281" s="2"/>
      <c r="K7281" s="7"/>
    </row>
    <row r="7282" spans="1:11" x14ac:dyDescent="0.35">
      <c r="A7282" s="13"/>
      <c r="E7282" s="8"/>
      <c r="F7282" s="1"/>
      <c r="J7282" s="2"/>
      <c r="K7282" s="7"/>
    </row>
    <row r="7283" spans="1:11" x14ac:dyDescent="0.35">
      <c r="A7283" s="13"/>
      <c r="E7283" s="8"/>
      <c r="F7283" s="1"/>
      <c r="J7283" s="2"/>
      <c r="K7283" s="7"/>
    </row>
    <row r="7284" spans="1:11" x14ac:dyDescent="0.35">
      <c r="A7284" s="13"/>
      <c r="E7284" s="8"/>
      <c r="F7284" s="1"/>
      <c r="J7284" s="2"/>
      <c r="K7284" s="7"/>
    </row>
    <row r="7285" spans="1:11" x14ac:dyDescent="0.35">
      <c r="A7285" s="13"/>
      <c r="E7285" s="8"/>
      <c r="F7285" s="1"/>
      <c r="J7285" s="2"/>
      <c r="K7285" s="7"/>
    </row>
    <row r="7286" spans="1:11" x14ac:dyDescent="0.35">
      <c r="A7286" s="13"/>
      <c r="E7286" s="8"/>
      <c r="F7286" s="1"/>
      <c r="J7286" s="2"/>
      <c r="K7286" s="7"/>
    </row>
    <row r="7287" spans="1:11" x14ac:dyDescent="0.35">
      <c r="A7287" s="13"/>
      <c r="E7287" s="8"/>
      <c r="F7287" s="1"/>
      <c r="J7287" s="2"/>
      <c r="K7287" s="7"/>
    </row>
    <row r="7288" spans="1:11" x14ac:dyDescent="0.35">
      <c r="A7288" s="13"/>
      <c r="E7288" s="8"/>
      <c r="F7288" s="1"/>
      <c r="J7288" s="2"/>
      <c r="K7288" s="7"/>
    </row>
    <row r="7289" spans="1:11" x14ac:dyDescent="0.35">
      <c r="A7289" s="13"/>
      <c r="E7289" s="8"/>
      <c r="F7289" s="1"/>
      <c r="J7289" s="2"/>
      <c r="K7289" s="7"/>
    </row>
    <row r="7290" spans="1:11" x14ac:dyDescent="0.35">
      <c r="A7290" s="13"/>
      <c r="E7290" s="8"/>
      <c r="F7290" s="1"/>
      <c r="J7290" s="2"/>
      <c r="K7290" s="7"/>
    </row>
    <row r="7291" spans="1:11" x14ac:dyDescent="0.35">
      <c r="A7291" s="13"/>
      <c r="E7291" s="8"/>
      <c r="F7291" s="1"/>
      <c r="J7291" s="2"/>
      <c r="K7291" s="7"/>
    </row>
    <row r="7292" spans="1:11" x14ac:dyDescent="0.35">
      <c r="A7292" s="13"/>
      <c r="E7292" s="8"/>
      <c r="F7292" s="1"/>
      <c r="J7292" s="2"/>
      <c r="K7292" s="7"/>
    </row>
    <row r="7293" spans="1:11" x14ac:dyDescent="0.35">
      <c r="A7293" s="13"/>
      <c r="E7293" s="8"/>
      <c r="F7293" s="1"/>
      <c r="J7293" s="2"/>
      <c r="K7293" s="7"/>
    </row>
    <row r="7294" spans="1:11" x14ac:dyDescent="0.35">
      <c r="A7294" s="13"/>
      <c r="E7294" s="8"/>
      <c r="F7294" s="1"/>
      <c r="J7294" s="2"/>
      <c r="K7294" s="7"/>
    </row>
    <row r="7295" spans="1:11" x14ac:dyDescent="0.35">
      <c r="A7295" s="13"/>
      <c r="E7295" s="8"/>
      <c r="F7295" s="1"/>
      <c r="J7295" s="2"/>
      <c r="K7295" s="7"/>
    </row>
    <row r="7296" spans="1:11" x14ac:dyDescent="0.35">
      <c r="A7296" s="13"/>
      <c r="E7296" s="8"/>
      <c r="F7296" s="1"/>
      <c r="J7296" s="2"/>
      <c r="K7296" s="7"/>
    </row>
    <row r="7297" spans="1:11" x14ac:dyDescent="0.35">
      <c r="A7297" s="13"/>
      <c r="E7297" s="8"/>
      <c r="F7297" s="1"/>
      <c r="J7297" s="2"/>
      <c r="K7297" s="7"/>
    </row>
    <row r="7298" spans="1:11" x14ac:dyDescent="0.35">
      <c r="A7298" s="13"/>
      <c r="E7298" s="8"/>
      <c r="F7298" s="1"/>
      <c r="J7298" s="2"/>
      <c r="K7298" s="7"/>
    </row>
    <row r="7299" spans="1:11" x14ac:dyDescent="0.35">
      <c r="A7299" s="13"/>
      <c r="E7299" s="8"/>
      <c r="F7299" s="1"/>
      <c r="J7299" s="2"/>
      <c r="K7299" s="7"/>
    </row>
    <row r="7300" spans="1:11" x14ac:dyDescent="0.35">
      <c r="A7300" s="13"/>
      <c r="E7300" s="8"/>
      <c r="F7300" s="1"/>
      <c r="J7300" s="2"/>
      <c r="K7300" s="7"/>
    </row>
    <row r="7301" spans="1:11" x14ac:dyDescent="0.35">
      <c r="A7301" s="13"/>
      <c r="E7301" s="8"/>
      <c r="F7301" s="1"/>
      <c r="J7301" s="2"/>
      <c r="K7301" s="7"/>
    </row>
    <row r="7302" spans="1:11" x14ac:dyDescent="0.35">
      <c r="A7302" s="13"/>
      <c r="E7302" s="8"/>
      <c r="F7302" s="1"/>
      <c r="J7302" s="2"/>
      <c r="K7302" s="7"/>
    </row>
    <row r="7303" spans="1:11" x14ac:dyDescent="0.35">
      <c r="A7303" s="13"/>
      <c r="E7303" s="8"/>
      <c r="F7303" s="1"/>
      <c r="J7303" s="2"/>
      <c r="K7303" s="7"/>
    </row>
    <row r="7304" spans="1:11" x14ac:dyDescent="0.35">
      <c r="A7304" s="13"/>
      <c r="E7304" s="8"/>
      <c r="F7304" s="1"/>
      <c r="J7304" s="2"/>
      <c r="K7304" s="7"/>
    </row>
    <row r="7305" spans="1:11" x14ac:dyDescent="0.35">
      <c r="A7305" s="13"/>
      <c r="E7305" s="8"/>
      <c r="F7305" s="1"/>
      <c r="J7305" s="2"/>
      <c r="K7305" s="7"/>
    </row>
    <row r="7306" spans="1:11" x14ac:dyDescent="0.35">
      <c r="A7306" s="13"/>
      <c r="E7306" s="8"/>
      <c r="F7306" s="1"/>
      <c r="J7306" s="2"/>
      <c r="K7306" s="7"/>
    </row>
    <row r="7307" spans="1:11" x14ac:dyDescent="0.35">
      <c r="A7307" s="13"/>
      <c r="E7307" s="8"/>
      <c r="F7307" s="1"/>
      <c r="J7307" s="2"/>
      <c r="K7307" s="7"/>
    </row>
    <row r="7308" spans="1:11" x14ac:dyDescent="0.35">
      <c r="A7308" s="13"/>
      <c r="E7308" s="8"/>
      <c r="F7308" s="1"/>
      <c r="J7308" s="2"/>
      <c r="K7308" s="7"/>
    </row>
    <row r="7309" spans="1:11" x14ac:dyDescent="0.35">
      <c r="A7309" s="13"/>
      <c r="E7309" s="8"/>
      <c r="F7309" s="1"/>
      <c r="J7309" s="2"/>
      <c r="K7309" s="7"/>
    </row>
    <row r="7310" spans="1:11" x14ac:dyDescent="0.35">
      <c r="A7310" s="13"/>
      <c r="E7310" s="8"/>
      <c r="F7310" s="1"/>
      <c r="J7310" s="2"/>
      <c r="K7310" s="7"/>
    </row>
    <row r="7311" spans="1:11" x14ac:dyDescent="0.35">
      <c r="A7311" s="13"/>
      <c r="E7311" s="8"/>
      <c r="F7311" s="1"/>
      <c r="J7311" s="2"/>
      <c r="K7311" s="7"/>
    </row>
    <row r="7312" spans="1:11" x14ac:dyDescent="0.35">
      <c r="A7312" s="13"/>
      <c r="E7312" s="8"/>
      <c r="F7312" s="1"/>
      <c r="J7312" s="2"/>
      <c r="K7312" s="7"/>
    </row>
    <row r="7313" spans="1:11" x14ac:dyDescent="0.35">
      <c r="A7313" s="13"/>
      <c r="E7313" s="8"/>
      <c r="F7313" s="1"/>
      <c r="J7313" s="2"/>
      <c r="K7313" s="7"/>
    </row>
    <row r="7314" spans="1:11" x14ac:dyDescent="0.35">
      <c r="A7314" s="13"/>
      <c r="E7314" s="8"/>
      <c r="F7314" s="1"/>
      <c r="J7314" s="2"/>
      <c r="K7314" s="7"/>
    </row>
    <row r="7315" spans="1:11" x14ac:dyDescent="0.35">
      <c r="A7315" s="13"/>
      <c r="E7315" s="8"/>
      <c r="F7315" s="1"/>
      <c r="J7315" s="2"/>
      <c r="K7315" s="7"/>
    </row>
    <row r="7316" spans="1:11" x14ac:dyDescent="0.35">
      <c r="A7316" s="13"/>
      <c r="E7316" s="8"/>
      <c r="F7316" s="1"/>
      <c r="J7316" s="2"/>
      <c r="K7316" s="7"/>
    </row>
    <row r="7317" spans="1:11" x14ac:dyDescent="0.35">
      <c r="A7317" s="13"/>
      <c r="E7317" s="8"/>
      <c r="F7317" s="1"/>
      <c r="J7317" s="2"/>
      <c r="K7317" s="7"/>
    </row>
    <row r="7318" spans="1:11" x14ac:dyDescent="0.35">
      <c r="A7318" s="13"/>
      <c r="E7318" s="8"/>
      <c r="F7318" s="1"/>
      <c r="J7318" s="2"/>
      <c r="K7318" s="7"/>
    </row>
    <row r="7319" spans="1:11" x14ac:dyDescent="0.35">
      <c r="A7319" s="13"/>
      <c r="E7319" s="8"/>
      <c r="F7319" s="1"/>
      <c r="J7319" s="2"/>
      <c r="K7319" s="7"/>
    </row>
    <row r="7320" spans="1:11" x14ac:dyDescent="0.35">
      <c r="A7320" s="13"/>
      <c r="E7320" s="8"/>
      <c r="F7320" s="1"/>
      <c r="J7320" s="2"/>
      <c r="K7320" s="7"/>
    </row>
    <row r="7321" spans="1:11" x14ac:dyDescent="0.35">
      <c r="A7321" s="13"/>
      <c r="E7321" s="8"/>
      <c r="F7321" s="1"/>
      <c r="J7321" s="2"/>
      <c r="K7321" s="7"/>
    </row>
    <row r="7322" spans="1:11" x14ac:dyDescent="0.35">
      <c r="A7322" s="13"/>
      <c r="E7322" s="8"/>
      <c r="F7322" s="1"/>
      <c r="J7322" s="2"/>
      <c r="K7322" s="7"/>
    </row>
    <row r="7323" spans="1:11" x14ac:dyDescent="0.35">
      <c r="A7323" s="13"/>
      <c r="E7323" s="8"/>
      <c r="F7323" s="1"/>
      <c r="J7323" s="2"/>
      <c r="K7323" s="7"/>
    </row>
    <row r="7324" spans="1:11" x14ac:dyDescent="0.35">
      <c r="A7324" s="13"/>
      <c r="E7324" s="8"/>
      <c r="F7324" s="1"/>
      <c r="J7324" s="2"/>
      <c r="K7324" s="7"/>
    </row>
    <row r="7325" spans="1:11" x14ac:dyDescent="0.35">
      <c r="A7325" s="13"/>
      <c r="E7325" s="8"/>
      <c r="F7325" s="1"/>
      <c r="J7325" s="2"/>
      <c r="K7325" s="7"/>
    </row>
    <row r="7326" spans="1:11" x14ac:dyDescent="0.35">
      <c r="A7326" s="13"/>
      <c r="E7326" s="8"/>
      <c r="F7326" s="1"/>
      <c r="J7326" s="2"/>
      <c r="K7326" s="7"/>
    </row>
    <row r="7327" spans="1:11" x14ac:dyDescent="0.35">
      <c r="A7327" s="13"/>
      <c r="E7327" s="8"/>
      <c r="F7327" s="1"/>
      <c r="J7327" s="2"/>
      <c r="K7327" s="7"/>
    </row>
    <row r="7328" spans="1:11" x14ac:dyDescent="0.35">
      <c r="A7328" s="13"/>
      <c r="E7328" s="8"/>
      <c r="F7328" s="1"/>
      <c r="J7328" s="2"/>
      <c r="K7328" s="7"/>
    </row>
    <row r="7329" spans="1:11" x14ac:dyDescent="0.35">
      <c r="A7329" s="13"/>
      <c r="E7329" s="8"/>
      <c r="F7329" s="1"/>
      <c r="J7329" s="2"/>
      <c r="K7329" s="7"/>
    </row>
    <row r="7330" spans="1:11" x14ac:dyDescent="0.35">
      <c r="A7330" s="13"/>
      <c r="E7330" s="8"/>
      <c r="F7330" s="1"/>
      <c r="J7330" s="2"/>
      <c r="K7330" s="7"/>
    </row>
    <row r="7331" spans="1:11" x14ac:dyDescent="0.35">
      <c r="A7331" s="13"/>
      <c r="E7331" s="8"/>
      <c r="F7331" s="1"/>
      <c r="J7331" s="2"/>
      <c r="K7331" s="7"/>
    </row>
    <row r="7332" spans="1:11" x14ac:dyDescent="0.35">
      <c r="A7332" s="13"/>
      <c r="E7332" s="8"/>
      <c r="F7332" s="1"/>
      <c r="J7332" s="2"/>
      <c r="K7332" s="7"/>
    </row>
    <row r="7333" spans="1:11" x14ac:dyDescent="0.35">
      <c r="A7333" s="13"/>
      <c r="E7333" s="8"/>
      <c r="F7333" s="1"/>
      <c r="J7333" s="2"/>
      <c r="K7333" s="7"/>
    </row>
    <row r="7334" spans="1:11" x14ac:dyDescent="0.35">
      <c r="A7334" s="13"/>
      <c r="E7334" s="8"/>
      <c r="F7334" s="1"/>
      <c r="J7334" s="2"/>
      <c r="K7334" s="7"/>
    </row>
    <row r="7335" spans="1:11" x14ac:dyDescent="0.35">
      <c r="A7335" s="13"/>
      <c r="E7335" s="8"/>
      <c r="F7335" s="1"/>
      <c r="J7335" s="2"/>
      <c r="K7335" s="7"/>
    </row>
    <row r="7336" spans="1:11" x14ac:dyDescent="0.35">
      <c r="A7336" s="13"/>
      <c r="E7336" s="8"/>
      <c r="F7336" s="1"/>
      <c r="J7336" s="2"/>
      <c r="K7336" s="7"/>
    </row>
    <row r="7337" spans="1:11" x14ac:dyDescent="0.35">
      <c r="A7337" s="13"/>
      <c r="E7337" s="8"/>
      <c r="F7337" s="1"/>
      <c r="J7337" s="2"/>
      <c r="K7337" s="7"/>
    </row>
    <row r="7338" spans="1:11" x14ac:dyDescent="0.35">
      <c r="A7338" s="13"/>
      <c r="E7338" s="8"/>
      <c r="F7338" s="1"/>
      <c r="J7338" s="2"/>
      <c r="K7338" s="7"/>
    </row>
    <row r="7339" spans="1:11" x14ac:dyDescent="0.35">
      <c r="A7339" s="13"/>
      <c r="E7339" s="8"/>
      <c r="F7339" s="1"/>
      <c r="J7339" s="2"/>
      <c r="K7339" s="7"/>
    </row>
    <row r="7340" spans="1:11" x14ac:dyDescent="0.35">
      <c r="A7340" s="13"/>
      <c r="E7340" s="8"/>
      <c r="F7340" s="1"/>
      <c r="J7340" s="2"/>
      <c r="K7340" s="7"/>
    </row>
    <row r="7341" spans="1:11" x14ac:dyDescent="0.35">
      <c r="A7341" s="13"/>
      <c r="E7341" s="8"/>
      <c r="F7341" s="1"/>
      <c r="J7341" s="2"/>
      <c r="K7341" s="7"/>
    </row>
    <row r="7342" spans="1:11" x14ac:dyDescent="0.35">
      <c r="A7342" s="13"/>
      <c r="E7342" s="8"/>
      <c r="F7342" s="1"/>
      <c r="J7342" s="2"/>
      <c r="K7342" s="7"/>
    </row>
    <row r="7343" spans="1:11" x14ac:dyDescent="0.35">
      <c r="A7343" s="13"/>
      <c r="E7343" s="8"/>
      <c r="F7343" s="1"/>
      <c r="J7343" s="2"/>
      <c r="K7343" s="7"/>
    </row>
    <row r="7344" spans="1:11" x14ac:dyDescent="0.35">
      <c r="A7344" s="13"/>
      <c r="E7344" s="8"/>
      <c r="F7344" s="1"/>
      <c r="J7344" s="2"/>
      <c r="K7344" s="7"/>
    </row>
    <row r="7345" spans="1:11" x14ac:dyDescent="0.35">
      <c r="A7345" s="13"/>
      <c r="E7345" s="8"/>
      <c r="F7345" s="1"/>
      <c r="J7345" s="2"/>
      <c r="K7345" s="7"/>
    </row>
    <row r="7346" spans="1:11" x14ac:dyDescent="0.35">
      <c r="A7346" s="13"/>
      <c r="E7346" s="8"/>
      <c r="F7346" s="1"/>
      <c r="J7346" s="2"/>
      <c r="K7346" s="7"/>
    </row>
    <row r="7347" spans="1:11" x14ac:dyDescent="0.35">
      <c r="A7347" s="13"/>
      <c r="E7347" s="8"/>
      <c r="F7347" s="1"/>
      <c r="J7347" s="2"/>
      <c r="K7347" s="7"/>
    </row>
    <row r="7348" spans="1:11" x14ac:dyDescent="0.35">
      <c r="A7348" s="13"/>
      <c r="E7348" s="8"/>
      <c r="F7348" s="1"/>
      <c r="J7348" s="2"/>
      <c r="K7348" s="7"/>
    </row>
    <row r="7349" spans="1:11" x14ac:dyDescent="0.35">
      <c r="A7349" s="13"/>
      <c r="E7349" s="8"/>
      <c r="F7349" s="1"/>
      <c r="J7349" s="2"/>
      <c r="K7349" s="7"/>
    </row>
    <row r="7350" spans="1:11" x14ac:dyDescent="0.35">
      <c r="A7350" s="13"/>
      <c r="E7350" s="8"/>
      <c r="F7350" s="1"/>
      <c r="J7350" s="2"/>
      <c r="K7350" s="7"/>
    </row>
    <row r="7351" spans="1:11" x14ac:dyDescent="0.35">
      <c r="A7351" s="13"/>
      <c r="E7351" s="8"/>
      <c r="F7351" s="1"/>
      <c r="J7351" s="2"/>
      <c r="K7351" s="7"/>
    </row>
    <row r="7352" spans="1:11" x14ac:dyDescent="0.35">
      <c r="A7352" s="13"/>
      <c r="E7352" s="8"/>
      <c r="F7352" s="1"/>
      <c r="J7352" s="2"/>
      <c r="K7352" s="7"/>
    </row>
    <row r="7353" spans="1:11" x14ac:dyDescent="0.35">
      <c r="A7353" s="13"/>
      <c r="E7353" s="8"/>
      <c r="F7353" s="1"/>
      <c r="J7353" s="2"/>
      <c r="K7353" s="7"/>
    </row>
    <row r="7354" spans="1:11" x14ac:dyDescent="0.35">
      <c r="A7354" s="13"/>
      <c r="E7354" s="8"/>
      <c r="F7354" s="1"/>
      <c r="J7354" s="2"/>
      <c r="K7354" s="7"/>
    </row>
    <row r="7355" spans="1:11" x14ac:dyDescent="0.35">
      <c r="A7355" s="13"/>
      <c r="E7355" s="8"/>
      <c r="F7355" s="1"/>
      <c r="J7355" s="2"/>
      <c r="K7355" s="7"/>
    </row>
    <row r="7356" spans="1:11" x14ac:dyDescent="0.35">
      <c r="A7356" s="13"/>
      <c r="E7356" s="8"/>
      <c r="F7356" s="1"/>
      <c r="J7356" s="2"/>
      <c r="K7356" s="7"/>
    </row>
    <row r="7357" spans="1:11" x14ac:dyDescent="0.35">
      <c r="A7357" s="13"/>
      <c r="E7357" s="8"/>
      <c r="F7357" s="1"/>
      <c r="J7357" s="2"/>
      <c r="K7357" s="7"/>
    </row>
    <row r="7358" spans="1:11" x14ac:dyDescent="0.35">
      <c r="A7358" s="13"/>
      <c r="E7358" s="8"/>
      <c r="F7358" s="1"/>
      <c r="J7358" s="2"/>
      <c r="K7358" s="7"/>
    </row>
    <row r="7359" spans="1:11" x14ac:dyDescent="0.35">
      <c r="A7359" s="13"/>
      <c r="E7359" s="8"/>
      <c r="F7359" s="1"/>
      <c r="J7359" s="2"/>
      <c r="K7359" s="7"/>
    </row>
    <row r="7360" spans="1:11" x14ac:dyDescent="0.35">
      <c r="A7360" s="13"/>
      <c r="E7360" s="8"/>
      <c r="F7360" s="1"/>
      <c r="J7360" s="2"/>
      <c r="K7360" s="7"/>
    </row>
    <row r="7361" spans="1:11" x14ac:dyDescent="0.35">
      <c r="A7361" s="13"/>
      <c r="E7361" s="8"/>
      <c r="F7361" s="1"/>
      <c r="J7361" s="2"/>
      <c r="K7361" s="7"/>
    </row>
    <row r="7362" spans="1:11" x14ac:dyDescent="0.35">
      <c r="A7362" s="13"/>
      <c r="E7362" s="8"/>
      <c r="F7362" s="1"/>
      <c r="J7362" s="2"/>
      <c r="K7362" s="7"/>
    </row>
    <row r="7363" spans="1:11" x14ac:dyDescent="0.35">
      <c r="A7363" s="13"/>
      <c r="E7363" s="8"/>
      <c r="F7363" s="1"/>
      <c r="J7363" s="2"/>
      <c r="K7363" s="7"/>
    </row>
    <row r="7364" spans="1:11" x14ac:dyDescent="0.35">
      <c r="A7364" s="13"/>
      <c r="E7364" s="8"/>
      <c r="F7364" s="1"/>
      <c r="J7364" s="2"/>
      <c r="K7364" s="7"/>
    </row>
    <row r="7365" spans="1:11" x14ac:dyDescent="0.35">
      <c r="A7365" s="13"/>
      <c r="E7365" s="8"/>
      <c r="F7365" s="1"/>
      <c r="J7365" s="2"/>
      <c r="K7365" s="7"/>
    </row>
    <row r="7366" spans="1:11" x14ac:dyDescent="0.35">
      <c r="A7366" s="13"/>
      <c r="E7366" s="8"/>
      <c r="F7366" s="1"/>
      <c r="J7366" s="2"/>
      <c r="K7366" s="7"/>
    </row>
    <row r="7367" spans="1:11" x14ac:dyDescent="0.35">
      <c r="A7367" s="13"/>
      <c r="E7367" s="8"/>
      <c r="F7367" s="1"/>
      <c r="J7367" s="2"/>
      <c r="K7367" s="7"/>
    </row>
    <row r="7368" spans="1:11" x14ac:dyDescent="0.35">
      <c r="A7368" s="13"/>
      <c r="E7368" s="8"/>
      <c r="F7368" s="1"/>
      <c r="J7368" s="2"/>
      <c r="K7368" s="7"/>
    </row>
    <row r="7369" spans="1:11" x14ac:dyDescent="0.35">
      <c r="A7369" s="13"/>
      <c r="E7369" s="8"/>
      <c r="F7369" s="1"/>
      <c r="J7369" s="2"/>
      <c r="K7369" s="7"/>
    </row>
    <row r="7370" spans="1:11" x14ac:dyDescent="0.35">
      <c r="A7370" s="13"/>
      <c r="E7370" s="8"/>
      <c r="F7370" s="1"/>
      <c r="J7370" s="2"/>
      <c r="K7370" s="7"/>
    </row>
    <row r="7371" spans="1:11" x14ac:dyDescent="0.35">
      <c r="A7371" s="13"/>
      <c r="E7371" s="8"/>
      <c r="F7371" s="1"/>
      <c r="J7371" s="2"/>
      <c r="K7371" s="7"/>
    </row>
    <row r="7372" spans="1:11" x14ac:dyDescent="0.35">
      <c r="A7372" s="13"/>
      <c r="E7372" s="8"/>
      <c r="F7372" s="1"/>
      <c r="J7372" s="2"/>
      <c r="K7372" s="7"/>
    </row>
    <row r="7373" spans="1:11" x14ac:dyDescent="0.35">
      <c r="A7373" s="13"/>
      <c r="E7373" s="8"/>
      <c r="F7373" s="1"/>
      <c r="J7373" s="2"/>
      <c r="K7373" s="7"/>
    </row>
    <row r="7374" spans="1:11" x14ac:dyDescent="0.35">
      <c r="A7374" s="13"/>
      <c r="E7374" s="8"/>
      <c r="F7374" s="1"/>
      <c r="J7374" s="2"/>
      <c r="K7374" s="7"/>
    </row>
    <row r="7375" spans="1:11" x14ac:dyDescent="0.35">
      <c r="A7375" s="13"/>
      <c r="E7375" s="8"/>
      <c r="F7375" s="1"/>
      <c r="J7375" s="2"/>
      <c r="K7375" s="7"/>
    </row>
    <row r="7376" spans="1:11" x14ac:dyDescent="0.35">
      <c r="A7376" s="13"/>
      <c r="E7376" s="8"/>
      <c r="F7376" s="1"/>
      <c r="J7376" s="2"/>
      <c r="K7376" s="7"/>
    </row>
    <row r="7377" spans="1:11" x14ac:dyDescent="0.35">
      <c r="A7377" s="13"/>
      <c r="E7377" s="8"/>
      <c r="F7377" s="1"/>
      <c r="J7377" s="2"/>
      <c r="K7377" s="7"/>
    </row>
    <row r="7378" spans="1:11" x14ac:dyDescent="0.35">
      <c r="A7378" s="13"/>
      <c r="E7378" s="8"/>
      <c r="F7378" s="1"/>
      <c r="J7378" s="2"/>
      <c r="K7378" s="7"/>
    </row>
    <row r="7379" spans="1:11" x14ac:dyDescent="0.35">
      <c r="A7379" s="13"/>
      <c r="E7379" s="8"/>
      <c r="F7379" s="1"/>
      <c r="J7379" s="2"/>
      <c r="K7379" s="7"/>
    </row>
    <row r="7380" spans="1:11" x14ac:dyDescent="0.35">
      <c r="A7380" s="13"/>
      <c r="E7380" s="8"/>
      <c r="F7380" s="1"/>
      <c r="J7380" s="2"/>
      <c r="K7380" s="7"/>
    </row>
    <row r="7381" spans="1:11" x14ac:dyDescent="0.35">
      <c r="A7381" s="13"/>
      <c r="E7381" s="8"/>
      <c r="F7381" s="1"/>
      <c r="J7381" s="2"/>
      <c r="K7381" s="7"/>
    </row>
    <row r="7382" spans="1:11" x14ac:dyDescent="0.35">
      <c r="A7382" s="13"/>
      <c r="E7382" s="8"/>
      <c r="F7382" s="1"/>
      <c r="J7382" s="2"/>
      <c r="K7382" s="7"/>
    </row>
    <row r="7383" spans="1:11" x14ac:dyDescent="0.35">
      <c r="A7383" s="13"/>
      <c r="E7383" s="8"/>
      <c r="F7383" s="1"/>
      <c r="J7383" s="2"/>
      <c r="K7383" s="7"/>
    </row>
    <row r="7384" spans="1:11" x14ac:dyDescent="0.35">
      <c r="A7384" s="13"/>
      <c r="E7384" s="8"/>
      <c r="F7384" s="1"/>
      <c r="J7384" s="2"/>
      <c r="K7384" s="7"/>
    </row>
    <row r="7385" spans="1:11" x14ac:dyDescent="0.35">
      <c r="A7385" s="13"/>
      <c r="E7385" s="8"/>
      <c r="F7385" s="1"/>
      <c r="J7385" s="2"/>
      <c r="K7385" s="7"/>
    </row>
    <row r="7386" spans="1:11" x14ac:dyDescent="0.35">
      <c r="A7386" s="13"/>
      <c r="E7386" s="8"/>
      <c r="F7386" s="1"/>
      <c r="J7386" s="2"/>
      <c r="K7386" s="7"/>
    </row>
    <row r="7387" spans="1:11" x14ac:dyDescent="0.35">
      <c r="A7387" s="13"/>
      <c r="E7387" s="8"/>
      <c r="F7387" s="1"/>
      <c r="J7387" s="2"/>
      <c r="K7387" s="7"/>
    </row>
    <row r="7388" spans="1:11" x14ac:dyDescent="0.35">
      <c r="A7388" s="13"/>
      <c r="E7388" s="8"/>
      <c r="F7388" s="1"/>
      <c r="J7388" s="2"/>
      <c r="K7388" s="7"/>
    </row>
    <row r="7389" spans="1:11" x14ac:dyDescent="0.35">
      <c r="A7389" s="13"/>
      <c r="E7389" s="8"/>
      <c r="F7389" s="1"/>
      <c r="J7389" s="2"/>
      <c r="K7389" s="7"/>
    </row>
    <row r="7390" spans="1:11" x14ac:dyDescent="0.35">
      <c r="A7390" s="13"/>
      <c r="E7390" s="8"/>
      <c r="F7390" s="1"/>
      <c r="J7390" s="2"/>
      <c r="K7390" s="7"/>
    </row>
    <row r="7391" spans="1:11" x14ac:dyDescent="0.35">
      <c r="A7391" s="13"/>
      <c r="E7391" s="8"/>
      <c r="F7391" s="1"/>
      <c r="J7391" s="2"/>
      <c r="K7391" s="7"/>
    </row>
    <row r="7392" spans="1:11" x14ac:dyDescent="0.35">
      <c r="A7392" s="13"/>
      <c r="E7392" s="8"/>
      <c r="F7392" s="1"/>
      <c r="J7392" s="2"/>
      <c r="K7392" s="7"/>
    </row>
    <row r="7393" spans="1:11" x14ac:dyDescent="0.35">
      <c r="A7393" s="13"/>
      <c r="E7393" s="8"/>
      <c r="F7393" s="1"/>
      <c r="J7393" s="2"/>
      <c r="K7393" s="7"/>
    </row>
    <row r="7394" spans="1:11" x14ac:dyDescent="0.35">
      <c r="A7394" s="13"/>
      <c r="E7394" s="8"/>
      <c r="F7394" s="1"/>
      <c r="J7394" s="2"/>
      <c r="K7394" s="7"/>
    </row>
    <row r="7395" spans="1:11" x14ac:dyDescent="0.35">
      <c r="A7395" s="13"/>
      <c r="E7395" s="8"/>
      <c r="F7395" s="1"/>
      <c r="J7395" s="2"/>
      <c r="K7395" s="7"/>
    </row>
    <row r="7396" spans="1:11" x14ac:dyDescent="0.35">
      <c r="A7396" s="13"/>
      <c r="E7396" s="8"/>
      <c r="F7396" s="1"/>
      <c r="J7396" s="2"/>
      <c r="K7396" s="7"/>
    </row>
    <row r="7397" spans="1:11" x14ac:dyDescent="0.35">
      <c r="A7397" s="13"/>
      <c r="E7397" s="8"/>
      <c r="F7397" s="1"/>
      <c r="J7397" s="2"/>
      <c r="K7397" s="7"/>
    </row>
    <row r="7398" spans="1:11" x14ac:dyDescent="0.35">
      <c r="A7398" s="13"/>
      <c r="E7398" s="8"/>
      <c r="F7398" s="1"/>
      <c r="J7398" s="2"/>
      <c r="K7398" s="7"/>
    </row>
    <row r="7399" spans="1:11" x14ac:dyDescent="0.35">
      <c r="A7399" s="13"/>
      <c r="E7399" s="8"/>
      <c r="F7399" s="1"/>
      <c r="J7399" s="2"/>
      <c r="K7399" s="7"/>
    </row>
    <row r="7400" spans="1:11" x14ac:dyDescent="0.35">
      <c r="A7400" s="13"/>
      <c r="E7400" s="8"/>
      <c r="F7400" s="1"/>
      <c r="J7400" s="2"/>
      <c r="K7400" s="7"/>
    </row>
    <row r="7401" spans="1:11" x14ac:dyDescent="0.35">
      <c r="A7401" s="13"/>
      <c r="E7401" s="8"/>
      <c r="F7401" s="1"/>
      <c r="J7401" s="2"/>
      <c r="K7401" s="7"/>
    </row>
    <row r="7402" spans="1:11" x14ac:dyDescent="0.35">
      <c r="A7402" s="13"/>
      <c r="E7402" s="8"/>
      <c r="F7402" s="1"/>
      <c r="J7402" s="2"/>
      <c r="K7402" s="7"/>
    </row>
    <row r="7403" spans="1:11" x14ac:dyDescent="0.35">
      <c r="A7403" s="13"/>
      <c r="E7403" s="8"/>
      <c r="F7403" s="1"/>
      <c r="J7403" s="2"/>
      <c r="K7403" s="7"/>
    </row>
    <row r="7404" spans="1:11" x14ac:dyDescent="0.35">
      <c r="A7404" s="13"/>
      <c r="E7404" s="8"/>
      <c r="F7404" s="1"/>
      <c r="J7404" s="2"/>
      <c r="K7404" s="7"/>
    </row>
    <row r="7405" spans="1:11" x14ac:dyDescent="0.35">
      <c r="A7405" s="13"/>
      <c r="E7405" s="8"/>
      <c r="F7405" s="1"/>
      <c r="J7405" s="2"/>
      <c r="K7405" s="7"/>
    </row>
    <row r="7406" spans="1:11" x14ac:dyDescent="0.35">
      <c r="A7406" s="13"/>
      <c r="E7406" s="8"/>
      <c r="F7406" s="1"/>
      <c r="J7406" s="2"/>
      <c r="K7406" s="7"/>
    </row>
    <row r="7407" spans="1:11" x14ac:dyDescent="0.35">
      <c r="A7407" s="13"/>
      <c r="E7407" s="8"/>
      <c r="F7407" s="1"/>
      <c r="J7407" s="2"/>
      <c r="K7407" s="7"/>
    </row>
    <row r="7408" spans="1:11" x14ac:dyDescent="0.35">
      <c r="A7408" s="13"/>
      <c r="E7408" s="8"/>
      <c r="F7408" s="1"/>
      <c r="J7408" s="2"/>
      <c r="K7408" s="7"/>
    </row>
    <row r="7409" spans="1:11" x14ac:dyDescent="0.35">
      <c r="A7409" s="13"/>
      <c r="E7409" s="8"/>
      <c r="F7409" s="1"/>
      <c r="J7409" s="2"/>
      <c r="K7409" s="7"/>
    </row>
    <row r="7410" spans="1:11" x14ac:dyDescent="0.35">
      <c r="A7410" s="13"/>
      <c r="E7410" s="8"/>
      <c r="F7410" s="1"/>
      <c r="J7410" s="2"/>
      <c r="K7410" s="7"/>
    </row>
    <row r="7411" spans="1:11" x14ac:dyDescent="0.35">
      <c r="A7411" s="13"/>
      <c r="E7411" s="8"/>
      <c r="F7411" s="1"/>
      <c r="J7411" s="2"/>
      <c r="K7411" s="7"/>
    </row>
    <row r="7412" spans="1:11" x14ac:dyDescent="0.35">
      <c r="A7412" s="13"/>
      <c r="E7412" s="8"/>
      <c r="F7412" s="1"/>
      <c r="J7412" s="2"/>
      <c r="K7412" s="7"/>
    </row>
    <row r="7413" spans="1:11" x14ac:dyDescent="0.35">
      <c r="A7413" s="13"/>
      <c r="E7413" s="8"/>
      <c r="F7413" s="1"/>
      <c r="J7413" s="2"/>
      <c r="K7413" s="7"/>
    </row>
    <row r="7414" spans="1:11" x14ac:dyDescent="0.35">
      <c r="A7414" s="13"/>
      <c r="E7414" s="8"/>
      <c r="F7414" s="1"/>
      <c r="J7414" s="2"/>
      <c r="K7414" s="7"/>
    </row>
    <row r="7415" spans="1:11" x14ac:dyDescent="0.35">
      <c r="A7415" s="13"/>
      <c r="E7415" s="8"/>
      <c r="F7415" s="1"/>
      <c r="J7415" s="2"/>
      <c r="K7415" s="7"/>
    </row>
    <row r="7416" spans="1:11" x14ac:dyDescent="0.35">
      <c r="A7416" s="13"/>
      <c r="E7416" s="8"/>
      <c r="F7416" s="1"/>
      <c r="J7416" s="2"/>
      <c r="K7416" s="7"/>
    </row>
    <row r="7417" spans="1:11" x14ac:dyDescent="0.35">
      <c r="A7417" s="13"/>
      <c r="E7417" s="8"/>
      <c r="F7417" s="1"/>
      <c r="J7417" s="2"/>
      <c r="K7417" s="7"/>
    </row>
    <row r="7418" spans="1:11" x14ac:dyDescent="0.35">
      <c r="A7418" s="13"/>
      <c r="E7418" s="8"/>
      <c r="F7418" s="1"/>
      <c r="J7418" s="2"/>
      <c r="K7418" s="7"/>
    </row>
    <row r="7419" spans="1:11" x14ac:dyDescent="0.35">
      <c r="A7419" s="13"/>
      <c r="E7419" s="8"/>
      <c r="F7419" s="1"/>
      <c r="J7419" s="2"/>
      <c r="K7419" s="7"/>
    </row>
    <row r="7420" spans="1:11" x14ac:dyDescent="0.35">
      <c r="A7420" s="13"/>
      <c r="E7420" s="8"/>
      <c r="F7420" s="1"/>
      <c r="J7420" s="2"/>
      <c r="K7420" s="7"/>
    </row>
    <row r="7421" spans="1:11" x14ac:dyDescent="0.35">
      <c r="A7421" s="13"/>
      <c r="E7421" s="8"/>
      <c r="F7421" s="1"/>
      <c r="J7421" s="2"/>
      <c r="K7421" s="7"/>
    </row>
    <row r="7422" spans="1:11" x14ac:dyDescent="0.35">
      <c r="A7422" s="13"/>
      <c r="E7422" s="8"/>
      <c r="F7422" s="1"/>
      <c r="J7422" s="2"/>
      <c r="K7422" s="7"/>
    </row>
    <row r="7423" spans="1:11" x14ac:dyDescent="0.35">
      <c r="A7423" s="13"/>
      <c r="E7423" s="8"/>
      <c r="F7423" s="1"/>
      <c r="J7423" s="2"/>
      <c r="K7423" s="7"/>
    </row>
    <row r="7424" spans="1:11" x14ac:dyDescent="0.35">
      <c r="A7424" s="13"/>
      <c r="E7424" s="8"/>
      <c r="F7424" s="1"/>
      <c r="J7424" s="2"/>
      <c r="K7424" s="7"/>
    </row>
    <row r="7425" spans="1:11" x14ac:dyDescent="0.35">
      <c r="A7425" s="13"/>
      <c r="E7425" s="8"/>
      <c r="F7425" s="1"/>
      <c r="J7425" s="2"/>
      <c r="K7425" s="7"/>
    </row>
    <row r="7426" spans="1:11" x14ac:dyDescent="0.35">
      <c r="A7426" s="13"/>
      <c r="E7426" s="8"/>
      <c r="F7426" s="1"/>
      <c r="J7426" s="2"/>
      <c r="K7426" s="7"/>
    </row>
    <row r="7427" spans="1:11" x14ac:dyDescent="0.35">
      <c r="A7427" s="13"/>
      <c r="E7427" s="8"/>
      <c r="F7427" s="1"/>
      <c r="J7427" s="2"/>
      <c r="K7427" s="7"/>
    </row>
    <row r="7428" spans="1:11" x14ac:dyDescent="0.35">
      <c r="A7428" s="13"/>
      <c r="E7428" s="8"/>
      <c r="F7428" s="1"/>
      <c r="J7428" s="2"/>
      <c r="K7428" s="7"/>
    </row>
    <row r="7429" spans="1:11" x14ac:dyDescent="0.35">
      <c r="A7429" s="13"/>
      <c r="E7429" s="8"/>
      <c r="F7429" s="1"/>
      <c r="J7429" s="2"/>
      <c r="K7429" s="7"/>
    </row>
    <row r="7430" spans="1:11" x14ac:dyDescent="0.35">
      <c r="A7430" s="13"/>
      <c r="E7430" s="8"/>
      <c r="F7430" s="1"/>
      <c r="J7430" s="2"/>
      <c r="K7430" s="7"/>
    </row>
    <row r="7431" spans="1:11" x14ac:dyDescent="0.35">
      <c r="A7431" s="13"/>
      <c r="E7431" s="8"/>
      <c r="F7431" s="1"/>
      <c r="J7431" s="2"/>
      <c r="K7431" s="7"/>
    </row>
    <row r="7432" spans="1:11" x14ac:dyDescent="0.35">
      <c r="A7432" s="13"/>
      <c r="E7432" s="8"/>
      <c r="F7432" s="1"/>
      <c r="J7432" s="2"/>
      <c r="K7432" s="7"/>
    </row>
    <row r="7433" spans="1:11" x14ac:dyDescent="0.35">
      <c r="A7433" s="13"/>
      <c r="E7433" s="8"/>
      <c r="F7433" s="1"/>
      <c r="J7433" s="2"/>
      <c r="K7433" s="7"/>
    </row>
    <row r="7434" spans="1:11" x14ac:dyDescent="0.35">
      <c r="A7434" s="13"/>
      <c r="E7434" s="8"/>
      <c r="F7434" s="1"/>
      <c r="J7434" s="2"/>
      <c r="K7434" s="7"/>
    </row>
    <row r="7435" spans="1:11" x14ac:dyDescent="0.35">
      <c r="A7435" s="13"/>
      <c r="E7435" s="8"/>
      <c r="F7435" s="1"/>
      <c r="J7435" s="2"/>
      <c r="K7435" s="7"/>
    </row>
    <row r="7436" spans="1:11" x14ac:dyDescent="0.35">
      <c r="A7436" s="13"/>
      <c r="E7436" s="8"/>
      <c r="F7436" s="1"/>
      <c r="J7436" s="2"/>
      <c r="K7436" s="7"/>
    </row>
    <row r="7437" spans="1:11" x14ac:dyDescent="0.35">
      <c r="A7437" s="13"/>
      <c r="E7437" s="8"/>
      <c r="F7437" s="1"/>
      <c r="J7437" s="2"/>
      <c r="K7437" s="7"/>
    </row>
    <row r="7438" spans="1:11" x14ac:dyDescent="0.35">
      <c r="A7438" s="13"/>
      <c r="E7438" s="8"/>
      <c r="F7438" s="1"/>
      <c r="J7438" s="2"/>
      <c r="K7438" s="7"/>
    </row>
    <row r="7439" spans="1:11" x14ac:dyDescent="0.35">
      <c r="A7439" s="13"/>
      <c r="E7439" s="8"/>
      <c r="F7439" s="1"/>
      <c r="J7439" s="2"/>
      <c r="K7439" s="7"/>
    </row>
    <row r="7440" spans="1:11" x14ac:dyDescent="0.35">
      <c r="A7440" s="13"/>
      <c r="E7440" s="8"/>
      <c r="F7440" s="1"/>
      <c r="J7440" s="2"/>
      <c r="K7440" s="7"/>
    </row>
    <row r="7441" spans="1:11" x14ac:dyDescent="0.35">
      <c r="A7441" s="13"/>
      <c r="E7441" s="8"/>
      <c r="F7441" s="1"/>
      <c r="J7441" s="2"/>
      <c r="K7441" s="7"/>
    </row>
    <row r="7442" spans="1:11" x14ac:dyDescent="0.35">
      <c r="A7442" s="13"/>
      <c r="E7442" s="8"/>
      <c r="F7442" s="1"/>
      <c r="J7442" s="2"/>
      <c r="K7442" s="7"/>
    </row>
    <row r="7443" spans="1:11" x14ac:dyDescent="0.35">
      <c r="A7443" s="13"/>
      <c r="E7443" s="8"/>
      <c r="F7443" s="1"/>
      <c r="J7443" s="2"/>
      <c r="K7443" s="7"/>
    </row>
    <row r="7444" spans="1:11" x14ac:dyDescent="0.35">
      <c r="A7444" s="13"/>
      <c r="E7444" s="8"/>
      <c r="F7444" s="1"/>
      <c r="J7444" s="2"/>
      <c r="K7444" s="7"/>
    </row>
    <row r="7445" spans="1:11" x14ac:dyDescent="0.35">
      <c r="A7445" s="13"/>
      <c r="E7445" s="8"/>
      <c r="F7445" s="1"/>
      <c r="J7445" s="2"/>
      <c r="K7445" s="7"/>
    </row>
    <row r="7446" spans="1:11" x14ac:dyDescent="0.35">
      <c r="A7446" s="13"/>
      <c r="E7446" s="8"/>
      <c r="F7446" s="1"/>
      <c r="J7446" s="2"/>
      <c r="K7446" s="7"/>
    </row>
    <row r="7447" spans="1:11" x14ac:dyDescent="0.35">
      <c r="A7447" s="13"/>
      <c r="E7447" s="8"/>
      <c r="F7447" s="1"/>
      <c r="J7447" s="2"/>
      <c r="K7447" s="7"/>
    </row>
    <row r="7448" spans="1:11" x14ac:dyDescent="0.35">
      <c r="A7448" s="13"/>
      <c r="E7448" s="8"/>
      <c r="F7448" s="1"/>
      <c r="J7448" s="2"/>
      <c r="K7448" s="7"/>
    </row>
    <row r="7449" spans="1:11" x14ac:dyDescent="0.35">
      <c r="A7449" s="13"/>
      <c r="E7449" s="8"/>
      <c r="F7449" s="1"/>
      <c r="J7449" s="2"/>
      <c r="K7449" s="7"/>
    </row>
    <row r="7450" spans="1:11" x14ac:dyDescent="0.35">
      <c r="A7450" s="13"/>
      <c r="E7450" s="8"/>
      <c r="F7450" s="1"/>
      <c r="J7450" s="2"/>
      <c r="K7450" s="7"/>
    </row>
    <row r="7451" spans="1:11" x14ac:dyDescent="0.35">
      <c r="A7451" s="13"/>
      <c r="E7451" s="8"/>
      <c r="F7451" s="1"/>
      <c r="J7451" s="2"/>
      <c r="K7451" s="7"/>
    </row>
    <row r="7452" spans="1:11" x14ac:dyDescent="0.35">
      <c r="A7452" s="13"/>
      <c r="E7452" s="8"/>
      <c r="F7452" s="1"/>
      <c r="J7452" s="2"/>
      <c r="K7452" s="7"/>
    </row>
    <row r="7453" spans="1:11" x14ac:dyDescent="0.35">
      <c r="A7453" s="13"/>
      <c r="E7453" s="8"/>
      <c r="F7453" s="1"/>
      <c r="J7453" s="2"/>
      <c r="K7453" s="7"/>
    </row>
    <row r="7454" spans="1:11" x14ac:dyDescent="0.35">
      <c r="A7454" s="13"/>
      <c r="E7454" s="8"/>
      <c r="F7454" s="1"/>
      <c r="J7454" s="2"/>
      <c r="K7454" s="7"/>
    </row>
    <row r="7455" spans="1:11" x14ac:dyDescent="0.35">
      <c r="A7455" s="13"/>
      <c r="E7455" s="8"/>
      <c r="F7455" s="1"/>
      <c r="J7455" s="2"/>
      <c r="K7455" s="7"/>
    </row>
    <row r="7456" spans="1:11" x14ac:dyDescent="0.35">
      <c r="A7456" s="13"/>
      <c r="E7456" s="8"/>
      <c r="F7456" s="1"/>
      <c r="J7456" s="2"/>
      <c r="K7456" s="7"/>
    </row>
    <row r="7457" spans="1:11" x14ac:dyDescent="0.35">
      <c r="A7457" s="13"/>
      <c r="E7457" s="8"/>
      <c r="F7457" s="1"/>
      <c r="J7457" s="2"/>
      <c r="K7457" s="7"/>
    </row>
    <row r="7458" spans="1:11" x14ac:dyDescent="0.35">
      <c r="A7458" s="13"/>
      <c r="E7458" s="8"/>
      <c r="F7458" s="1"/>
      <c r="J7458" s="2"/>
      <c r="K7458" s="7"/>
    </row>
    <row r="7459" spans="1:11" x14ac:dyDescent="0.35">
      <c r="A7459" s="13"/>
      <c r="E7459" s="8"/>
      <c r="F7459" s="1"/>
      <c r="J7459" s="2"/>
      <c r="K7459" s="7"/>
    </row>
    <row r="7460" spans="1:11" x14ac:dyDescent="0.35">
      <c r="A7460" s="13"/>
      <c r="E7460" s="8"/>
      <c r="F7460" s="1"/>
      <c r="J7460" s="2"/>
      <c r="K7460" s="7"/>
    </row>
    <row r="7461" spans="1:11" x14ac:dyDescent="0.35">
      <c r="A7461" s="13"/>
      <c r="E7461" s="8"/>
      <c r="F7461" s="1"/>
      <c r="J7461" s="2"/>
      <c r="K7461" s="7"/>
    </row>
    <row r="7462" spans="1:11" x14ac:dyDescent="0.35">
      <c r="A7462" s="13"/>
      <c r="E7462" s="8"/>
      <c r="F7462" s="1"/>
      <c r="J7462" s="2"/>
      <c r="K7462" s="7"/>
    </row>
    <row r="7463" spans="1:11" x14ac:dyDescent="0.35">
      <c r="A7463" s="13"/>
      <c r="E7463" s="8"/>
      <c r="F7463" s="1"/>
      <c r="J7463" s="2"/>
      <c r="K7463" s="7"/>
    </row>
    <row r="7464" spans="1:11" x14ac:dyDescent="0.35">
      <c r="A7464" s="13"/>
      <c r="E7464" s="8"/>
      <c r="F7464" s="1"/>
      <c r="J7464" s="2"/>
      <c r="K7464" s="7"/>
    </row>
    <row r="7465" spans="1:11" x14ac:dyDescent="0.35">
      <c r="A7465" s="13"/>
      <c r="E7465" s="8"/>
      <c r="F7465" s="1"/>
      <c r="J7465" s="2"/>
      <c r="K7465" s="7"/>
    </row>
    <row r="7466" spans="1:11" x14ac:dyDescent="0.35">
      <c r="A7466" s="13"/>
      <c r="E7466" s="8"/>
      <c r="F7466" s="1"/>
      <c r="J7466" s="2"/>
      <c r="K7466" s="7"/>
    </row>
    <row r="7467" spans="1:11" x14ac:dyDescent="0.35">
      <c r="A7467" s="13"/>
      <c r="E7467" s="8"/>
      <c r="F7467" s="1"/>
      <c r="J7467" s="2"/>
      <c r="K7467" s="7"/>
    </row>
    <row r="7468" spans="1:11" x14ac:dyDescent="0.35">
      <c r="A7468" s="13"/>
      <c r="E7468" s="8"/>
      <c r="F7468" s="1"/>
      <c r="J7468" s="2"/>
      <c r="K7468" s="7"/>
    </row>
    <row r="7469" spans="1:11" x14ac:dyDescent="0.35">
      <c r="A7469" s="13"/>
      <c r="E7469" s="8"/>
      <c r="F7469" s="1"/>
      <c r="J7469" s="2"/>
      <c r="K7469" s="7"/>
    </row>
    <row r="7470" spans="1:11" x14ac:dyDescent="0.35">
      <c r="A7470" s="13"/>
      <c r="E7470" s="8"/>
      <c r="F7470" s="1"/>
      <c r="J7470" s="2"/>
      <c r="K7470" s="7"/>
    </row>
    <row r="7471" spans="1:11" x14ac:dyDescent="0.35">
      <c r="A7471" s="13"/>
      <c r="E7471" s="8"/>
      <c r="F7471" s="1"/>
      <c r="J7471" s="2"/>
      <c r="K7471" s="7"/>
    </row>
    <row r="7472" spans="1:11" x14ac:dyDescent="0.35">
      <c r="A7472" s="13"/>
      <c r="E7472" s="8"/>
      <c r="F7472" s="1"/>
      <c r="J7472" s="2"/>
      <c r="K7472" s="7"/>
    </row>
    <row r="7473" spans="1:13" x14ac:dyDescent="0.35">
      <c r="A7473" s="13"/>
      <c r="E7473" s="8"/>
      <c r="F7473" s="1"/>
      <c r="J7473" s="2"/>
      <c r="K7473" s="7"/>
    </row>
    <row r="7474" spans="1:13" x14ac:dyDescent="0.35">
      <c r="A7474" s="13"/>
      <c r="E7474" s="8"/>
      <c r="F7474" s="1"/>
      <c r="J7474" s="2"/>
      <c r="K7474" s="7"/>
    </row>
    <row r="7475" spans="1:13" x14ac:dyDescent="0.35">
      <c r="A7475" s="13"/>
      <c r="E7475" s="8"/>
      <c r="F7475" s="1"/>
      <c r="J7475" s="2"/>
      <c r="K7475" s="7"/>
    </row>
    <row r="7476" spans="1:13" x14ac:dyDescent="0.35">
      <c r="A7476" s="13"/>
      <c r="E7476" s="8"/>
      <c r="F7476" s="1"/>
      <c r="J7476" s="2"/>
      <c r="K7476" s="7"/>
    </row>
    <row r="7477" spans="1:13" x14ac:dyDescent="0.35">
      <c r="A7477" s="13"/>
      <c r="E7477" s="8"/>
      <c r="F7477" s="1"/>
      <c r="J7477" s="2"/>
      <c r="K7477" s="7"/>
    </row>
    <row r="7478" spans="1:13" x14ac:dyDescent="0.35">
      <c r="A7478" s="13"/>
      <c r="E7478" s="8"/>
      <c r="F7478" s="1"/>
      <c r="J7478" s="2"/>
      <c r="K7478" s="7"/>
    </row>
    <row r="7479" spans="1:13" ht="15.65" customHeight="1" x14ac:dyDescent="0.35">
      <c r="A7479" s="13"/>
      <c r="E7479" s="8"/>
      <c r="F7479" s="1"/>
      <c r="J7479" s="2"/>
      <c r="K7479" s="7"/>
    </row>
    <row r="7480" spans="1:13" x14ac:dyDescent="0.35">
      <c r="A7480" s="17"/>
      <c r="E7480" s="8"/>
      <c r="F7480" s="1"/>
      <c r="J7480" s="2"/>
      <c r="K7480" s="7"/>
    </row>
    <row r="7481" spans="1:13" x14ac:dyDescent="0.35">
      <c r="A7481" s="17"/>
      <c r="E7481" s="8"/>
      <c r="F7481" s="1"/>
      <c r="J7481" s="2"/>
      <c r="K7481" s="7"/>
    </row>
    <row r="7482" spans="1:13" x14ac:dyDescent="0.35">
      <c r="A7482" s="17"/>
      <c r="E7482" s="8"/>
      <c r="F7482" s="1"/>
      <c r="J7482" s="2"/>
      <c r="K7482" s="7"/>
    </row>
    <row r="7483" spans="1:13" x14ac:dyDescent="0.35">
      <c r="A7483" s="17"/>
      <c r="E7483" s="8"/>
      <c r="F7483" s="1"/>
      <c r="J7483" s="2"/>
      <c r="K7483" s="7"/>
    </row>
    <row r="7484" spans="1:13" x14ac:dyDescent="0.35">
      <c r="A7484" t="s">
        <v>902</v>
      </c>
      <c r="K7484" s="20">
        <f>SUBTOTAL(109,DATAIN_COMPRAS__2[TOTAL])</f>
        <v>43802836.957747191</v>
      </c>
      <c r="L7484">
        <f>SUBTOTAL(103,DATAIN_COMPRAS__2[OBSERVACIONES])</f>
        <v>1635</v>
      </c>
      <c r="M7484">
        <f>SUBTOTAL(109,DATAIN_COMPRAS__2[Columna1])</f>
        <v>1329000</v>
      </c>
    </row>
    <row r="7486" spans="1:13" x14ac:dyDescent="0.35">
      <c r="J7486" s="20"/>
    </row>
  </sheetData>
  <phoneticPr fontId="3" type="noConversion"/>
  <conditionalFormatting sqref="C436">
    <cfRule type="duplicateValues" dxfId="13" priority="18"/>
  </conditionalFormatting>
  <conditionalFormatting sqref="C437:C438">
    <cfRule type="duplicateValues" dxfId="12" priority="17"/>
  </conditionalFormatting>
  <conditionalFormatting sqref="C439:C440">
    <cfRule type="duplicateValues" dxfId="11" priority="16"/>
  </conditionalFormatting>
  <conditionalFormatting sqref="C441">
    <cfRule type="duplicateValues" dxfId="10" priority="15"/>
  </conditionalFormatting>
  <conditionalFormatting sqref="C796">
    <cfRule type="duplicateValues" dxfId="9" priority="12"/>
  </conditionalFormatting>
  <conditionalFormatting sqref="C797">
    <cfRule type="duplicateValues" dxfId="8" priority="11"/>
  </conditionalFormatting>
  <conditionalFormatting sqref="C890">
    <cfRule type="duplicateValues" dxfId="7" priority="10"/>
  </conditionalFormatting>
  <conditionalFormatting sqref="C1220:C1221">
    <cfRule type="duplicateValues" dxfId="6" priority="9"/>
  </conditionalFormatting>
  <conditionalFormatting sqref="C1334">
    <cfRule type="duplicateValues" dxfId="5" priority="7"/>
  </conditionalFormatting>
  <conditionalFormatting sqref="C1486">
    <cfRule type="duplicateValues" dxfId="4" priority="6"/>
  </conditionalFormatting>
  <conditionalFormatting sqref="C1568">
    <cfRule type="duplicateValues" dxfId="3" priority="5"/>
  </conditionalFormatting>
  <conditionalFormatting sqref="C1612">
    <cfRule type="duplicateValues" dxfId="2" priority="4"/>
  </conditionalFormatting>
  <conditionalFormatting sqref="C1804:C1806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D8E9-4338-4884-BD19-7E459E632CC8}">
  <sheetPr codeName="Hoja5"/>
  <dimension ref="A2:E471"/>
  <sheetViews>
    <sheetView topLeftCell="A72" zoomScaleNormal="100" workbookViewId="0">
      <selection activeCell="G4" sqref="G4"/>
    </sheetView>
  </sheetViews>
  <sheetFormatPr baseColWidth="10" defaultColWidth="11.453125" defaultRowHeight="14.5" x14ac:dyDescent="0.35"/>
  <cols>
    <col min="1" max="1" width="29.1796875" customWidth="1"/>
    <col min="5" max="5" width="17.7265625" customWidth="1"/>
  </cols>
  <sheetData>
    <row r="2" spans="1:5" x14ac:dyDescent="0.35">
      <c r="A2" t="s">
        <v>420</v>
      </c>
      <c r="B2" t="s">
        <v>421</v>
      </c>
      <c r="E2" t="s">
        <v>422</v>
      </c>
    </row>
    <row r="3" spans="1:5" x14ac:dyDescent="0.35">
      <c r="A3" t="s">
        <v>853</v>
      </c>
      <c r="B3" t="str" cm="1">
        <f t="array" ref="B3">IFERROR(INDEX(#REF!,MATCH(1,(ISNUMBER(SEARCH(#REF!,CLEAN(TRIM(A3)))))*1,0)),"Revisar")</f>
        <v>Revisar</v>
      </c>
      <c r="E3" t="s">
        <v>423</v>
      </c>
    </row>
    <row r="4" spans="1:5" x14ac:dyDescent="0.35">
      <c r="A4" t="s">
        <v>424</v>
      </c>
      <c r="B4" t="str" cm="1">
        <f t="array" ref="B4">IFERROR(INDEX(#REF!,MATCH(1,(ISNUMBER(SEARCH(#REF!,CLEAN(TRIM(A4)))))*1,0)),"Revisar")</f>
        <v>Revisar</v>
      </c>
      <c r="E4" t="s">
        <v>425</v>
      </c>
    </row>
    <row r="5" spans="1:5" x14ac:dyDescent="0.35">
      <c r="A5" t="s">
        <v>854</v>
      </c>
      <c r="B5" t="str" cm="1">
        <f t="array" ref="B5">IFERROR(INDEX(#REF!,MATCH(1,(ISNUMBER(SEARCH(#REF!,CLEAN(TRIM(A5)))))*1,0)),"Revisar")</f>
        <v>Revisar</v>
      </c>
      <c r="E5" t="s">
        <v>426</v>
      </c>
    </row>
    <row r="6" spans="1:5" x14ac:dyDescent="0.35">
      <c r="A6" t="s">
        <v>491</v>
      </c>
      <c r="B6" t="str" cm="1">
        <f t="array" ref="B6">IFERROR(INDEX(#REF!,MATCH(1,(ISNUMBER(SEARCH(#REF!,CLEAN(TRIM(A6)))))*1,0)),"Revisar")</f>
        <v>Revisar</v>
      </c>
      <c r="E6" t="s">
        <v>427</v>
      </c>
    </row>
    <row r="7" spans="1:5" x14ac:dyDescent="0.35">
      <c r="A7" t="s">
        <v>855</v>
      </c>
      <c r="B7" t="str" cm="1">
        <f t="array" ref="B7">IFERROR(INDEX(#REF!,MATCH(1,(ISNUMBER(SEARCH(#REF!,CLEAN(TRIM(A7)))))*1,0)),"Revisar")</f>
        <v>Revisar</v>
      </c>
      <c r="E7" t="s">
        <v>429</v>
      </c>
    </row>
    <row r="8" spans="1:5" x14ac:dyDescent="0.35">
      <c r="A8" t="s">
        <v>856</v>
      </c>
      <c r="B8" t="str" cm="1">
        <f t="array" ref="B8">IFERROR(INDEX(#REF!,MATCH(1,(ISNUMBER(SEARCH(#REF!,CLEAN(TRIM(A8)))))*1,0)),"Revisar")</f>
        <v>Revisar</v>
      </c>
      <c r="E8" t="s">
        <v>431</v>
      </c>
    </row>
    <row r="9" spans="1:5" x14ac:dyDescent="0.35">
      <c r="A9" t="s">
        <v>432</v>
      </c>
      <c r="B9" t="str" cm="1">
        <f t="array" ref="B9">IFERROR(INDEX(#REF!,MATCH(1,(ISNUMBER(SEARCH(#REF!,CLEAN(TRIM(A9)))))*1,0)),"Revisar")</f>
        <v>Revisar</v>
      </c>
      <c r="E9" t="s">
        <v>433</v>
      </c>
    </row>
    <row r="10" spans="1:5" x14ac:dyDescent="0.35">
      <c r="A10" t="s">
        <v>537</v>
      </c>
      <c r="B10" t="str" cm="1">
        <f t="array" ref="B10">IFERROR(INDEX(#REF!,MATCH(1,(ISNUMBER(SEARCH(#REF!,CLEAN(TRIM(A10)))))*1,0)),"Revisar")</f>
        <v>Revisar</v>
      </c>
      <c r="E10" t="s">
        <v>435</v>
      </c>
    </row>
    <row r="11" spans="1:5" x14ac:dyDescent="0.35">
      <c r="A11" t="s">
        <v>857</v>
      </c>
      <c r="B11" t="str" cm="1">
        <f t="array" ref="B11">IFERROR(INDEX(#REF!,MATCH(1,(ISNUMBER(SEARCH(#REF!,CLEAN(TRIM(A11)))))*1,0)),"Revisar")</f>
        <v>Revisar</v>
      </c>
      <c r="E11" t="s">
        <v>436</v>
      </c>
    </row>
    <row r="12" spans="1:5" x14ac:dyDescent="0.35">
      <c r="A12" t="s">
        <v>437</v>
      </c>
      <c r="B12" t="str" cm="1">
        <f t="array" ref="B12">IFERROR(INDEX(#REF!,MATCH(1,(ISNUMBER(SEARCH(#REF!,CLEAN(TRIM(A12)))))*1,0)),"Revisar")</f>
        <v>Revisar</v>
      </c>
      <c r="E12" t="s">
        <v>438</v>
      </c>
    </row>
    <row r="13" spans="1:5" x14ac:dyDescent="0.35">
      <c r="A13" t="s">
        <v>439</v>
      </c>
      <c r="B13" t="str" cm="1">
        <f t="array" ref="B13">IFERROR(INDEX(#REF!,MATCH(1,(ISNUMBER(SEARCH(#REF!,CLEAN(TRIM(A13)))))*1,0)),"Revisar")</f>
        <v>Revisar</v>
      </c>
      <c r="E13" t="s">
        <v>440</v>
      </c>
    </row>
    <row r="14" spans="1:5" x14ac:dyDescent="0.35">
      <c r="A14" t="s">
        <v>858</v>
      </c>
      <c r="B14" t="str" cm="1">
        <f t="array" ref="B14">IFERROR(INDEX(#REF!,MATCH(1,(ISNUMBER(SEARCH(#REF!,CLEAN(TRIM(A14)))))*1,0)),"Revisar")</f>
        <v>Revisar</v>
      </c>
    </row>
    <row r="15" spans="1:5" x14ac:dyDescent="0.35">
      <c r="A15" t="s">
        <v>859</v>
      </c>
      <c r="B15" t="str" cm="1">
        <f t="array" ref="B15">IFERROR(INDEX(#REF!,MATCH(1,(ISNUMBER(SEARCH(#REF!,CLEAN(TRIM(A15)))))*1,0)),"Revisar")</f>
        <v>Revisar</v>
      </c>
    </row>
    <row r="16" spans="1:5" x14ac:dyDescent="0.35">
      <c r="A16" t="s">
        <v>441</v>
      </c>
      <c r="B16" t="str" cm="1">
        <f t="array" ref="B16">IFERROR(INDEX(#REF!,MATCH(1,(ISNUMBER(SEARCH(#REF!,CLEAN(TRIM(A16)))))*1,0)),"Revisar")</f>
        <v>Revisar</v>
      </c>
    </row>
    <row r="17" spans="1:2" x14ac:dyDescent="0.35">
      <c r="A17" t="s">
        <v>442</v>
      </c>
      <c r="B17" t="str" cm="1">
        <f t="array" ref="B17">IFERROR(INDEX(#REF!,MATCH(1,(ISNUMBER(SEARCH(#REF!,CLEAN(TRIM(A17)))))*1,0)),"Revisar")</f>
        <v>Revisar</v>
      </c>
    </row>
    <row r="18" spans="1:2" x14ac:dyDescent="0.35">
      <c r="A18" t="s">
        <v>443</v>
      </c>
      <c r="B18" t="str" cm="1">
        <f t="array" ref="B18">IFERROR(INDEX(#REF!,MATCH(1,(ISNUMBER(SEARCH(#REF!,CLEAN(TRIM(A18)))))*1,0)),"Revisar")</f>
        <v>Revisar</v>
      </c>
    </row>
    <row r="19" spans="1:2" x14ac:dyDescent="0.35">
      <c r="A19" t="s">
        <v>444</v>
      </c>
      <c r="B19" t="str" cm="1">
        <f t="array" ref="B19">IFERROR(INDEX(#REF!,MATCH(1,(ISNUMBER(SEARCH(#REF!,CLEAN(TRIM(A19)))))*1,0)),"Revisar")</f>
        <v>Revisar</v>
      </c>
    </row>
    <row r="20" spans="1:2" x14ac:dyDescent="0.35">
      <c r="A20" t="s">
        <v>860</v>
      </c>
      <c r="B20" t="str" cm="1">
        <f t="array" ref="B20">IFERROR(INDEX(#REF!,MATCH(1,(ISNUMBER(SEARCH(#REF!,CLEAN(TRIM(A20)))))*1,0)),"Revisar")</f>
        <v>Revisar</v>
      </c>
    </row>
    <row r="21" spans="1:2" x14ac:dyDescent="0.35">
      <c r="A21" t="s">
        <v>445</v>
      </c>
      <c r="B21" t="str" cm="1">
        <f t="array" ref="B21">IFERROR(INDEX(#REF!,MATCH(1,(ISNUMBER(SEARCH(#REF!,CLEAN(TRIM(A21)))))*1,0)),"Revisar")</f>
        <v>Revisar</v>
      </c>
    </row>
    <row r="22" spans="1:2" x14ac:dyDescent="0.35">
      <c r="A22" t="s">
        <v>409</v>
      </c>
      <c r="B22" t="str" cm="1">
        <f t="array" ref="B22">IFERROR(INDEX(#REF!,MATCH(1,(ISNUMBER(SEARCH(#REF!,CLEAN(TRIM(A22)))))*1,0)),"Revisar")</f>
        <v>Revisar</v>
      </c>
    </row>
    <row r="23" spans="1:2" x14ac:dyDescent="0.35">
      <c r="A23" t="s">
        <v>684</v>
      </c>
      <c r="B23" t="str" cm="1">
        <f t="array" ref="B23">IFERROR(INDEX(#REF!,MATCH(1,(ISNUMBER(SEARCH(#REF!,CLEAN(TRIM(A23)))))*1,0)),"Revisar")</f>
        <v>Revisar</v>
      </c>
    </row>
    <row r="24" spans="1:2" x14ac:dyDescent="0.35">
      <c r="A24" t="s">
        <v>447</v>
      </c>
      <c r="B24" t="str" cm="1">
        <f t="array" ref="B24">IFERROR(INDEX(#REF!,MATCH(1,(ISNUMBER(SEARCH(#REF!,CLEAN(TRIM(A24)))))*1,0)),"Revisar")</f>
        <v>Revisar</v>
      </c>
    </row>
    <row r="25" spans="1:2" x14ac:dyDescent="0.35">
      <c r="A25" t="s">
        <v>690</v>
      </c>
      <c r="B25" t="str" cm="1">
        <f t="array" ref="B25">IFERROR(INDEX(#REF!,MATCH(1,(ISNUMBER(SEARCH(#REF!,CLEAN(TRIM(A25)))))*1,0)),"Revisar")</f>
        <v>Revisar</v>
      </c>
    </row>
    <row r="26" spans="1:2" x14ac:dyDescent="0.35">
      <c r="A26" t="s">
        <v>731</v>
      </c>
      <c r="B26" t="str" cm="1">
        <f t="array" ref="B26">IFERROR(INDEX(#REF!,MATCH(1,(ISNUMBER(SEARCH(#REF!,CLEAN(TRIM(A26)))))*1,0)),"Revisar")</f>
        <v>Revisar</v>
      </c>
    </row>
    <row r="27" spans="1:2" x14ac:dyDescent="0.35">
      <c r="A27" t="s">
        <v>450</v>
      </c>
      <c r="B27" t="str" cm="1">
        <f t="array" ref="B27">IFERROR(INDEX(#REF!,MATCH(1,(ISNUMBER(SEARCH(#REF!,CLEAN(TRIM(A27)))))*1,0)),"Revisar")</f>
        <v>Revisar</v>
      </c>
    </row>
    <row r="28" spans="1:2" x14ac:dyDescent="0.35">
      <c r="A28" t="s">
        <v>451</v>
      </c>
      <c r="B28" t="str" cm="1">
        <f t="array" ref="B28">IFERROR(INDEX(#REF!,MATCH(1,(ISNUMBER(SEARCH(#REF!,CLEAN(TRIM(A28)))))*1,0)),"Revisar")</f>
        <v>Revisar</v>
      </c>
    </row>
    <row r="29" spans="1:2" x14ac:dyDescent="0.35">
      <c r="A29" t="s">
        <v>452</v>
      </c>
      <c r="B29" t="str" cm="1">
        <f t="array" ref="B29">IFERROR(INDEX(#REF!,MATCH(1,(ISNUMBER(SEARCH(#REF!,CLEAN(TRIM(A29)))))*1,0)),"Revisar")</f>
        <v>Revisar</v>
      </c>
    </row>
    <row r="30" spans="1:2" x14ac:dyDescent="0.35">
      <c r="A30" t="s">
        <v>453</v>
      </c>
      <c r="B30" t="str" cm="1">
        <f t="array" ref="B30">IFERROR(INDEX(#REF!,MATCH(1,(ISNUMBER(SEARCH(#REF!,CLEAN(TRIM(A30)))))*1,0)),"Revisar")</f>
        <v>Revisar</v>
      </c>
    </row>
    <row r="31" spans="1:2" x14ac:dyDescent="0.35">
      <c r="A31" t="s">
        <v>454</v>
      </c>
      <c r="B31" t="str" cm="1">
        <f t="array" ref="B31">IFERROR(INDEX(#REF!,MATCH(1,(ISNUMBER(SEARCH(#REF!,CLEAN(TRIM(A31)))))*1,0)),"Revisar")</f>
        <v>Revisar</v>
      </c>
    </row>
    <row r="32" spans="1:2" x14ac:dyDescent="0.35">
      <c r="A32" t="s">
        <v>455</v>
      </c>
      <c r="B32" t="str" cm="1">
        <f t="array" ref="B32">IFERROR(INDEX(#REF!,MATCH(1,(ISNUMBER(SEARCH(#REF!,CLEAN(TRIM(A32)))))*1,0)),"Revisar")</f>
        <v>Revisar</v>
      </c>
    </row>
    <row r="33" spans="1:2" x14ac:dyDescent="0.35">
      <c r="A33" t="s">
        <v>456</v>
      </c>
      <c r="B33" t="str" cm="1">
        <f t="array" ref="B33">IFERROR(INDEX(#REF!,MATCH(1,(ISNUMBER(SEARCH(#REF!,CLEAN(TRIM(A33)))))*1,0)),"Revisar")</f>
        <v>Revisar</v>
      </c>
    </row>
    <row r="34" spans="1:2" x14ac:dyDescent="0.35">
      <c r="A34" t="s">
        <v>457</v>
      </c>
      <c r="B34" t="str" cm="1">
        <f t="array" ref="B34">IFERROR(INDEX(#REF!,MATCH(1,(ISNUMBER(SEARCH(#REF!,CLEAN(TRIM(A34)))))*1,0)),"Revisar")</f>
        <v>Revisar</v>
      </c>
    </row>
    <row r="35" spans="1:2" x14ac:dyDescent="0.35">
      <c r="A35" t="s">
        <v>458</v>
      </c>
      <c r="B35" t="str" cm="1">
        <f t="array" ref="B35">IFERROR(INDEX(#REF!,MATCH(1,(ISNUMBER(SEARCH(#REF!,CLEAN(TRIM(A35)))))*1,0)),"Revisar")</f>
        <v>Revisar</v>
      </c>
    </row>
    <row r="36" spans="1:2" x14ac:dyDescent="0.35">
      <c r="A36" t="s">
        <v>459</v>
      </c>
      <c r="B36" t="str" cm="1">
        <f t="array" ref="B36">IFERROR(INDEX(#REF!,MATCH(1,(ISNUMBER(SEARCH(#REF!,CLEAN(TRIM(A36)))))*1,0)),"Revisar")</f>
        <v>Revisar</v>
      </c>
    </row>
    <row r="37" spans="1:2" x14ac:dyDescent="0.35">
      <c r="A37" t="s">
        <v>460</v>
      </c>
      <c r="B37" t="str" cm="1">
        <f t="array" ref="B37">IFERROR(INDEX(#REF!,MATCH(1,(ISNUMBER(SEARCH(#REF!,CLEAN(TRIM(A37)))))*1,0)),"Revisar")</f>
        <v>Revisar</v>
      </c>
    </row>
    <row r="38" spans="1:2" x14ac:dyDescent="0.35">
      <c r="A38" t="s">
        <v>461</v>
      </c>
      <c r="B38" t="str" cm="1">
        <f t="array" ref="B38">IFERROR(INDEX(#REF!,MATCH(1,(ISNUMBER(SEARCH(#REF!,CLEAN(TRIM(A38)))))*1,0)),"Revisar")</f>
        <v>Revisar</v>
      </c>
    </row>
    <row r="39" spans="1:2" x14ac:dyDescent="0.35">
      <c r="A39" t="s">
        <v>462</v>
      </c>
      <c r="B39" t="str" cm="1">
        <f t="array" ref="B39">IFERROR(INDEX(#REF!,MATCH(1,(ISNUMBER(SEARCH(#REF!,CLEAN(TRIM(A39)))))*1,0)),"Revisar")</f>
        <v>Revisar</v>
      </c>
    </row>
    <row r="40" spans="1:2" x14ac:dyDescent="0.35">
      <c r="A40" t="s">
        <v>463</v>
      </c>
      <c r="B40" t="str" cm="1">
        <f t="array" ref="B40">IFERROR(INDEX(#REF!,MATCH(1,(ISNUMBER(SEARCH(#REF!,CLEAN(TRIM(A40)))))*1,0)),"Revisar")</f>
        <v>Revisar</v>
      </c>
    </row>
    <row r="41" spans="1:2" x14ac:dyDescent="0.35">
      <c r="A41" t="s">
        <v>464</v>
      </c>
      <c r="B41" t="str" cm="1">
        <f t="array" ref="B41">IFERROR(INDEX(#REF!,MATCH(1,(ISNUMBER(SEARCH(#REF!,CLEAN(TRIM(A41)))))*1,0)),"Revisar")</f>
        <v>Revisar</v>
      </c>
    </row>
    <row r="42" spans="1:2" x14ac:dyDescent="0.35">
      <c r="A42" t="s">
        <v>861</v>
      </c>
      <c r="B42" t="str" cm="1">
        <f t="array" ref="B42">IFERROR(INDEX(#REF!,MATCH(1,(ISNUMBER(SEARCH(#REF!,CLEAN(TRIM(A42)))))*1,0)),"Revisar")</f>
        <v>Revisar</v>
      </c>
    </row>
    <row r="43" spans="1:2" x14ac:dyDescent="0.35">
      <c r="A43" t="s">
        <v>374</v>
      </c>
      <c r="B43" t="str" cm="1">
        <f t="array" ref="B43">IFERROR(INDEX(#REF!,MATCH(1,(ISNUMBER(SEARCH(#REF!,CLEAN(TRIM(A43)))))*1,0)),"Revisar")</f>
        <v>Revisar</v>
      </c>
    </row>
    <row r="44" spans="1:2" x14ac:dyDescent="0.35">
      <c r="A44" t="s">
        <v>374</v>
      </c>
      <c r="B44" t="str" cm="1">
        <f t="array" ref="B44">IFERROR(INDEX(#REF!,MATCH(1,(ISNUMBER(SEARCH(#REF!,CLEAN(TRIM(A44)))))*1,0)),"Revisar")</f>
        <v>Revisar</v>
      </c>
    </row>
    <row r="45" spans="1:2" x14ac:dyDescent="0.35">
      <c r="A45" t="s">
        <v>465</v>
      </c>
      <c r="B45" t="str" cm="1">
        <f t="array" ref="B45">IFERROR(INDEX(#REF!,MATCH(1,(ISNUMBER(SEARCH(#REF!,CLEAN(TRIM(A45)))))*1,0)),"Revisar")</f>
        <v>Revisar</v>
      </c>
    </row>
    <row r="46" spans="1:2" x14ac:dyDescent="0.35">
      <c r="A46" t="s">
        <v>466</v>
      </c>
      <c r="B46" t="str" cm="1">
        <f t="array" ref="B46">IFERROR(INDEX(#REF!,MATCH(1,(ISNUMBER(SEARCH(#REF!,CLEAN(TRIM(A46)))))*1,0)),"Revisar")</f>
        <v>Revisar</v>
      </c>
    </row>
    <row r="47" spans="1:2" x14ac:dyDescent="0.35">
      <c r="A47" t="s">
        <v>467</v>
      </c>
      <c r="B47" t="str" cm="1">
        <f t="array" ref="B47">IFERROR(INDEX(#REF!,MATCH(1,(ISNUMBER(SEARCH(#REF!,CLEAN(TRIM(A47)))))*1,0)),"Revisar")</f>
        <v>Revisar</v>
      </c>
    </row>
    <row r="48" spans="1:2" x14ac:dyDescent="0.35">
      <c r="A48" t="s">
        <v>468</v>
      </c>
      <c r="B48" t="str" cm="1">
        <f t="array" ref="B48">IFERROR(INDEX(#REF!,MATCH(1,(ISNUMBER(SEARCH(#REF!,CLEAN(TRIM(A48)))))*1,0)),"Revisar")</f>
        <v>Revisar</v>
      </c>
    </row>
    <row r="49" spans="1:2" x14ac:dyDescent="0.35">
      <c r="A49" t="s">
        <v>469</v>
      </c>
      <c r="B49" t="str" cm="1">
        <f t="array" ref="B49">IFERROR(INDEX(#REF!,MATCH(1,(ISNUMBER(SEARCH(#REF!,CLEAN(TRIM(A49)))))*1,0)),"Revisar")</f>
        <v>Revisar</v>
      </c>
    </row>
    <row r="50" spans="1:2" x14ac:dyDescent="0.35">
      <c r="A50" t="s">
        <v>375</v>
      </c>
      <c r="B50" t="str" cm="1">
        <f t="array" ref="B50">IFERROR(INDEX(#REF!,MATCH(1,(ISNUMBER(SEARCH(#REF!,CLEAN(TRIM(A50)))))*1,0)),"Revisar")</f>
        <v>Revisar</v>
      </c>
    </row>
    <row r="51" spans="1:2" x14ac:dyDescent="0.35">
      <c r="A51" t="s">
        <v>376</v>
      </c>
      <c r="B51" t="str" cm="1">
        <f t="array" ref="B51">IFERROR(INDEX(#REF!,MATCH(1,(ISNUMBER(SEARCH(#REF!,CLEAN(TRIM(A51)))))*1,0)),"Revisar")</f>
        <v>Revisar</v>
      </c>
    </row>
    <row r="52" spans="1:2" x14ac:dyDescent="0.35">
      <c r="A52" t="s">
        <v>376</v>
      </c>
      <c r="B52" t="str" cm="1">
        <f t="array" ref="B52">IFERROR(INDEX(#REF!,MATCH(1,(ISNUMBER(SEARCH(#REF!,CLEAN(TRIM(A52)))))*1,0)),"Revisar")</f>
        <v>Revisar</v>
      </c>
    </row>
    <row r="53" spans="1:2" x14ac:dyDescent="0.35">
      <c r="A53" t="s">
        <v>862</v>
      </c>
      <c r="B53" t="str" cm="1">
        <f t="array" ref="B53">IFERROR(INDEX(#REF!,MATCH(1,(ISNUMBER(SEARCH(#REF!,CLEAN(TRIM(A53)))))*1,0)),"Revisar")</f>
        <v>Revisar</v>
      </c>
    </row>
    <row r="54" spans="1:2" x14ac:dyDescent="0.35">
      <c r="A54" t="s">
        <v>470</v>
      </c>
      <c r="B54" t="str" cm="1">
        <f t="array" ref="B54">IFERROR(INDEX(#REF!,MATCH(1,(ISNUMBER(SEARCH(#REF!,CLEAN(TRIM(A54)))))*1,0)),"Revisar")</f>
        <v>Revisar</v>
      </c>
    </row>
    <row r="55" spans="1:2" x14ac:dyDescent="0.35">
      <c r="A55" t="s">
        <v>471</v>
      </c>
      <c r="B55" t="str" cm="1">
        <f t="array" ref="B55">IFERROR(INDEX(#REF!,MATCH(1,(ISNUMBER(SEARCH(#REF!,CLEAN(TRIM(A55)))))*1,0)),"Revisar")</f>
        <v>Revisar</v>
      </c>
    </row>
    <row r="56" spans="1:2" x14ac:dyDescent="0.35">
      <c r="A56" t="s">
        <v>377</v>
      </c>
      <c r="B56" t="str" cm="1">
        <f t="array" ref="B56">IFERROR(INDEX(#REF!,MATCH(1,(ISNUMBER(SEARCH(#REF!,CLEAN(TRIM(A56)))))*1,0)),"Revisar")</f>
        <v>Revisar</v>
      </c>
    </row>
    <row r="57" spans="1:2" x14ac:dyDescent="0.35">
      <c r="A57" t="s">
        <v>377</v>
      </c>
      <c r="B57" t="str" cm="1">
        <f t="array" ref="B57">IFERROR(INDEX(#REF!,MATCH(1,(ISNUMBER(SEARCH(#REF!,CLEAN(TRIM(A57)))))*1,0)),"Revisar")</f>
        <v>Revisar</v>
      </c>
    </row>
    <row r="58" spans="1:2" x14ac:dyDescent="0.35">
      <c r="A58" t="s">
        <v>378</v>
      </c>
      <c r="B58" t="str" cm="1">
        <f t="array" ref="B58">IFERROR(INDEX(#REF!,MATCH(1,(ISNUMBER(SEARCH(#REF!,CLEAN(TRIM(A58)))))*1,0)),"Revisar")</f>
        <v>Revisar</v>
      </c>
    </row>
    <row r="59" spans="1:2" x14ac:dyDescent="0.35">
      <c r="A59" t="s">
        <v>378</v>
      </c>
      <c r="B59" t="str" cm="1">
        <f t="array" ref="B59">IFERROR(INDEX(#REF!,MATCH(1,(ISNUMBER(SEARCH(#REF!,CLEAN(TRIM(A59)))))*1,0)),"Revisar")</f>
        <v>Revisar</v>
      </c>
    </row>
    <row r="60" spans="1:2" x14ac:dyDescent="0.35">
      <c r="A60" t="s">
        <v>472</v>
      </c>
      <c r="B60" t="str" cm="1">
        <f t="array" ref="B60">IFERROR(INDEX(#REF!,MATCH(1,(ISNUMBER(SEARCH(#REF!,CLEAN(TRIM(A60)))))*1,0)),"Revisar")</f>
        <v>Revisar</v>
      </c>
    </row>
    <row r="61" spans="1:2" x14ac:dyDescent="0.35">
      <c r="A61" t="s">
        <v>473</v>
      </c>
      <c r="B61" t="str" cm="1">
        <f t="array" ref="B61">IFERROR(INDEX(#REF!,MATCH(1,(ISNUMBER(SEARCH(#REF!,CLEAN(TRIM(A61)))))*1,0)),"Revisar")</f>
        <v>Revisar</v>
      </c>
    </row>
    <row r="62" spans="1:2" x14ac:dyDescent="0.35">
      <c r="A62" t="s">
        <v>474</v>
      </c>
      <c r="B62" t="str" cm="1">
        <f t="array" ref="B62">IFERROR(INDEX(#REF!,MATCH(1,(ISNUMBER(SEARCH(#REF!,CLEAN(TRIM(A62)))))*1,0)),"Revisar")</f>
        <v>Revisar</v>
      </c>
    </row>
    <row r="63" spans="1:2" x14ac:dyDescent="0.35">
      <c r="A63" t="s">
        <v>475</v>
      </c>
      <c r="B63" t="str" cm="1">
        <f t="array" ref="B63">IFERROR(INDEX(#REF!,MATCH(1,(ISNUMBER(SEARCH(#REF!,CLEAN(TRIM(A63)))))*1,0)),"Revisar")</f>
        <v>Revisar</v>
      </c>
    </row>
    <row r="64" spans="1:2" x14ac:dyDescent="0.35">
      <c r="A64" t="s">
        <v>476</v>
      </c>
      <c r="B64" t="str" cm="1">
        <f t="array" ref="B64">IFERROR(INDEX(#REF!,MATCH(1,(ISNUMBER(SEARCH(#REF!,CLEAN(TRIM(A64)))))*1,0)),"Revisar")</f>
        <v>Revisar</v>
      </c>
    </row>
    <row r="65" spans="1:2" x14ac:dyDescent="0.35">
      <c r="A65" t="s">
        <v>379</v>
      </c>
      <c r="B65" t="str" cm="1">
        <f t="array" ref="B65">IFERROR(INDEX(#REF!,MATCH(1,(ISNUMBER(SEARCH(#REF!,CLEAN(TRIM(A65)))))*1,0)),"Revisar")</f>
        <v>Revisar</v>
      </c>
    </row>
    <row r="66" spans="1:2" x14ac:dyDescent="0.35">
      <c r="A66" t="s">
        <v>477</v>
      </c>
      <c r="B66" t="str" cm="1">
        <f t="array" ref="B66">IFERROR(INDEX(#REF!,MATCH(1,(ISNUMBER(SEARCH(#REF!,CLEAN(TRIM(A66)))))*1,0)),"Revisar")</f>
        <v>Revisar</v>
      </c>
    </row>
    <row r="67" spans="1:2" x14ac:dyDescent="0.35">
      <c r="A67" t="s">
        <v>478</v>
      </c>
      <c r="B67" t="str" cm="1">
        <f t="array" ref="B67">IFERROR(INDEX(#REF!,MATCH(1,(ISNUMBER(SEARCH(#REF!,CLEAN(TRIM(A67)))))*1,0)),"Revisar")</f>
        <v>Revisar</v>
      </c>
    </row>
    <row r="68" spans="1:2" x14ac:dyDescent="0.35">
      <c r="A68" t="s">
        <v>479</v>
      </c>
      <c r="B68" t="str" cm="1">
        <f t="array" ref="B68">IFERROR(INDEX(#REF!,MATCH(1,(ISNUMBER(SEARCH(#REF!,CLEAN(TRIM(A68)))))*1,0)),"Revisar")</f>
        <v>Revisar</v>
      </c>
    </row>
    <row r="69" spans="1:2" x14ac:dyDescent="0.35">
      <c r="A69" t="s">
        <v>480</v>
      </c>
      <c r="B69" t="str" cm="1">
        <f t="array" ref="B69">IFERROR(INDEX(#REF!,MATCH(1,(ISNUMBER(SEARCH(#REF!,CLEAN(TRIM(A69)))))*1,0)),"Revisar")</f>
        <v>Revisar</v>
      </c>
    </row>
    <row r="70" spans="1:2" x14ac:dyDescent="0.35">
      <c r="A70" t="s">
        <v>481</v>
      </c>
      <c r="B70" t="str" cm="1">
        <f t="array" ref="B70">IFERROR(INDEX(#REF!,MATCH(1,(ISNUMBER(SEARCH(#REF!,CLEAN(TRIM(A70)))))*1,0)),"Revisar")</f>
        <v>Revisar</v>
      </c>
    </row>
    <row r="71" spans="1:2" x14ac:dyDescent="0.35">
      <c r="A71" t="s">
        <v>482</v>
      </c>
      <c r="B71" t="str" cm="1">
        <f t="array" ref="B71">IFERROR(INDEX(#REF!,MATCH(1,(ISNUMBER(SEARCH(#REF!,CLEAN(TRIM(A71)))))*1,0)),"Revisar")</f>
        <v>Revisar</v>
      </c>
    </row>
    <row r="72" spans="1:2" x14ac:dyDescent="0.35">
      <c r="A72" t="s">
        <v>460</v>
      </c>
      <c r="B72" t="str" cm="1">
        <f t="array" ref="B72">IFERROR(INDEX(#REF!,MATCH(1,(ISNUMBER(SEARCH(#REF!,CLEAN(TRIM(A72)))))*1,0)),"Revisar")</f>
        <v>Revisar</v>
      </c>
    </row>
    <row r="73" spans="1:2" x14ac:dyDescent="0.35">
      <c r="A73" t="s">
        <v>483</v>
      </c>
      <c r="B73" t="str" cm="1">
        <f t="array" ref="B73">IFERROR(INDEX(#REF!,MATCH(1,(ISNUMBER(SEARCH(#REF!,CLEAN(TRIM(A73)))))*1,0)),"Revisar")</f>
        <v>Revisar</v>
      </c>
    </row>
    <row r="74" spans="1:2" x14ac:dyDescent="0.35">
      <c r="A74" t="s">
        <v>484</v>
      </c>
      <c r="B74" t="str" cm="1">
        <f t="array" ref="B74">IFERROR(INDEX(#REF!,MATCH(1,(ISNUMBER(SEARCH(#REF!,CLEAN(TRIM(A74)))))*1,0)),"Revisar")</f>
        <v>Revisar</v>
      </c>
    </row>
    <row r="75" spans="1:2" x14ac:dyDescent="0.35">
      <c r="A75" t="s">
        <v>485</v>
      </c>
      <c r="B75" t="str" cm="1">
        <f t="array" ref="B75">IFERROR(INDEX(#REF!,MATCH(1,(ISNUMBER(SEARCH(#REF!,CLEAN(TRIM(A75)))))*1,0)),"Revisar")</f>
        <v>Revisar</v>
      </c>
    </row>
    <row r="76" spans="1:2" x14ac:dyDescent="0.35">
      <c r="A76" t="s">
        <v>486</v>
      </c>
      <c r="B76" t="str" cm="1">
        <f t="array" ref="B76">IFERROR(INDEX(#REF!,MATCH(1,(ISNUMBER(SEARCH(#REF!,CLEAN(TRIM(A76)))))*1,0)),"Revisar")</f>
        <v>Revisar</v>
      </c>
    </row>
    <row r="77" spans="1:2" x14ac:dyDescent="0.35">
      <c r="A77" t="s">
        <v>487</v>
      </c>
      <c r="B77" t="str" cm="1">
        <f t="array" ref="B77">IFERROR(INDEX(#REF!,MATCH(1,(ISNUMBER(SEARCH(#REF!,CLEAN(TRIM(A77)))))*1,0)),"Revisar")</f>
        <v>Revisar</v>
      </c>
    </row>
    <row r="78" spans="1:2" x14ac:dyDescent="0.35">
      <c r="A78" t="s">
        <v>488</v>
      </c>
      <c r="B78" t="str" cm="1">
        <f t="array" ref="B78">IFERROR(INDEX(#REF!,MATCH(1,(ISNUMBER(SEARCH(#REF!,CLEAN(TRIM(A78)))))*1,0)),"Revisar")</f>
        <v>Revisar</v>
      </c>
    </row>
    <row r="79" spans="1:2" x14ac:dyDescent="0.35">
      <c r="A79" t="s">
        <v>488</v>
      </c>
      <c r="B79" t="str" cm="1">
        <f t="array" ref="B79">IFERROR(INDEX(#REF!,MATCH(1,(ISNUMBER(SEARCH(#REF!,CLEAN(TRIM(A79)))))*1,0)),"Revisar")</f>
        <v>Revisar</v>
      </c>
    </row>
    <row r="80" spans="1:2" x14ac:dyDescent="0.35">
      <c r="A80" t="s">
        <v>489</v>
      </c>
      <c r="B80" t="str" cm="1">
        <f t="array" ref="B80">IFERROR(INDEX(#REF!,MATCH(1,(ISNUMBER(SEARCH(#REF!,CLEAN(TRIM(A80)))))*1,0)),"Revisar")</f>
        <v>Revisar</v>
      </c>
    </row>
    <row r="81" spans="1:2" x14ac:dyDescent="0.35">
      <c r="A81" t="s">
        <v>490</v>
      </c>
      <c r="B81" t="str" cm="1">
        <f t="array" ref="B81">IFERROR(INDEX(#REF!,MATCH(1,(ISNUMBER(SEARCH(#REF!,CLEAN(TRIM(A81)))))*1,0)),"Revisar")</f>
        <v>Revisar</v>
      </c>
    </row>
    <row r="82" spans="1:2" x14ac:dyDescent="0.35">
      <c r="A82" t="s">
        <v>863</v>
      </c>
      <c r="B82" t="str" cm="1">
        <f t="array" ref="B82">IFERROR(INDEX(#REF!,MATCH(1,(ISNUMBER(SEARCH(#REF!,CLEAN(TRIM(A82)))))*1,0)),"Revisar")</f>
        <v>Revisar</v>
      </c>
    </row>
    <row r="83" spans="1:2" x14ac:dyDescent="0.35">
      <c r="A83" t="s">
        <v>491</v>
      </c>
      <c r="B83" t="str" cm="1">
        <f t="array" ref="B83">IFERROR(INDEX(#REF!,MATCH(1,(ISNUMBER(SEARCH(#REF!,CLEAN(TRIM(A83)))))*1,0)),"Revisar")</f>
        <v>Revisar</v>
      </c>
    </row>
    <row r="84" spans="1:2" x14ac:dyDescent="0.35">
      <c r="A84" t="s">
        <v>492</v>
      </c>
      <c r="B84" t="str" cm="1">
        <f t="array" ref="B84">IFERROR(INDEX(#REF!,MATCH(1,(ISNUMBER(SEARCH(#REF!,CLEAN(TRIM(A84)))))*1,0)),"Revisar")</f>
        <v>Revisar</v>
      </c>
    </row>
    <row r="85" spans="1:2" x14ac:dyDescent="0.35">
      <c r="A85" t="s">
        <v>428</v>
      </c>
      <c r="B85" t="str" cm="1">
        <f t="array" ref="B85">IFERROR(INDEX(#REF!,MATCH(1,(ISNUMBER(SEARCH(#REF!,CLEAN(TRIM(A85)))))*1,0)),"Revisar")</f>
        <v>Revisar</v>
      </c>
    </row>
    <row r="86" spans="1:2" x14ac:dyDescent="0.35">
      <c r="A86" t="s">
        <v>428</v>
      </c>
      <c r="B86" t="str" cm="1">
        <f t="array" ref="B86">IFERROR(INDEX(#REF!,MATCH(1,(ISNUMBER(SEARCH(#REF!,CLEAN(TRIM(A86)))))*1,0)),"Revisar")</f>
        <v>Revisar</v>
      </c>
    </row>
    <row r="87" spans="1:2" x14ac:dyDescent="0.35">
      <c r="A87" t="s">
        <v>493</v>
      </c>
      <c r="B87" t="str" cm="1">
        <f t="array" ref="B87">IFERROR(INDEX(#REF!,MATCH(1,(ISNUMBER(SEARCH(#REF!,CLEAN(TRIM(A87)))))*1,0)),"Revisar")</f>
        <v>Revisar</v>
      </c>
    </row>
    <row r="88" spans="1:2" x14ac:dyDescent="0.35">
      <c r="A88" t="s">
        <v>493</v>
      </c>
      <c r="B88" t="str" cm="1">
        <f t="array" ref="B88">IFERROR(INDEX(#REF!,MATCH(1,(ISNUMBER(SEARCH(#REF!,CLEAN(TRIM(A88)))))*1,0)),"Revisar")</f>
        <v>Revisar</v>
      </c>
    </row>
    <row r="89" spans="1:2" x14ac:dyDescent="0.35">
      <c r="A89" t="s">
        <v>430</v>
      </c>
      <c r="B89" t="str" cm="1">
        <f t="array" ref="B89">IFERROR(INDEX(#REF!,MATCH(1,(ISNUMBER(SEARCH(#REF!,CLEAN(TRIM(A89)))))*1,0)),"Revisar")</f>
        <v>Revisar</v>
      </c>
    </row>
    <row r="90" spans="1:2" x14ac:dyDescent="0.35">
      <c r="A90" t="s">
        <v>380</v>
      </c>
      <c r="B90" t="str" cm="1">
        <f t="array" ref="B90">IFERROR(INDEX(#REF!,MATCH(1,(ISNUMBER(SEARCH(#REF!,CLEAN(TRIM(A90)))))*1,0)),"Revisar")</f>
        <v>Revisar</v>
      </c>
    </row>
    <row r="91" spans="1:2" x14ac:dyDescent="0.35">
      <c r="A91" t="s">
        <v>381</v>
      </c>
      <c r="B91" t="str" cm="1">
        <f t="array" ref="B91">IFERROR(INDEX(#REF!,MATCH(1,(ISNUMBER(SEARCH(#REF!,CLEAN(TRIM(A91)))))*1,0)),"Revisar")</f>
        <v>Revisar</v>
      </c>
    </row>
    <row r="92" spans="1:2" x14ac:dyDescent="0.35">
      <c r="A92" t="s">
        <v>494</v>
      </c>
      <c r="B92" t="str" cm="1">
        <f t="array" ref="B92">IFERROR(INDEX(#REF!,MATCH(1,(ISNUMBER(SEARCH(#REF!,CLEAN(TRIM(A92)))))*1,0)),"Revisar")</f>
        <v>Revisar</v>
      </c>
    </row>
    <row r="93" spans="1:2" x14ac:dyDescent="0.35">
      <c r="A93" t="s">
        <v>495</v>
      </c>
      <c r="B93" t="str" cm="1">
        <f t="array" ref="B93">IFERROR(INDEX(#REF!,MATCH(1,(ISNUMBER(SEARCH(#REF!,CLEAN(TRIM(A93)))))*1,0)),"Revisar")</f>
        <v>Revisar</v>
      </c>
    </row>
    <row r="94" spans="1:2" x14ac:dyDescent="0.35">
      <c r="A94" t="s">
        <v>496</v>
      </c>
      <c r="B94" t="str" cm="1">
        <f t="array" ref="B94">IFERROR(INDEX(#REF!,MATCH(1,(ISNUMBER(SEARCH(#REF!,CLEAN(TRIM(A94)))))*1,0)),"Revisar")</f>
        <v>Revisar</v>
      </c>
    </row>
    <row r="95" spans="1:2" x14ac:dyDescent="0.35">
      <c r="A95" t="s">
        <v>382</v>
      </c>
      <c r="B95" t="str" cm="1">
        <f t="array" ref="B95">IFERROR(INDEX(#REF!,MATCH(1,(ISNUMBER(SEARCH(#REF!,CLEAN(TRIM(A95)))))*1,0)),"Revisar")</f>
        <v>Revisar</v>
      </c>
    </row>
    <row r="96" spans="1:2" x14ac:dyDescent="0.35">
      <c r="A96" t="s">
        <v>497</v>
      </c>
      <c r="B96" t="str" cm="1">
        <f t="array" ref="B96">IFERROR(INDEX(#REF!,MATCH(1,(ISNUMBER(SEARCH(#REF!,CLEAN(TRIM(A96)))))*1,0)),"Revisar")</f>
        <v>Revisar</v>
      </c>
    </row>
    <row r="97" spans="1:2" x14ac:dyDescent="0.35">
      <c r="A97" t="s">
        <v>498</v>
      </c>
      <c r="B97" t="str" cm="1">
        <f t="array" ref="B97">IFERROR(INDEX(#REF!,MATCH(1,(ISNUMBER(SEARCH(#REF!,CLEAN(TRIM(A97)))))*1,0)),"Revisar")</f>
        <v>Revisar</v>
      </c>
    </row>
    <row r="98" spans="1:2" x14ac:dyDescent="0.35">
      <c r="A98" t="s">
        <v>499</v>
      </c>
      <c r="B98" t="str" cm="1">
        <f t="array" ref="B98">IFERROR(INDEX(#REF!,MATCH(1,(ISNUMBER(SEARCH(#REF!,CLEAN(TRIM(A98)))))*1,0)),"Revisar")</f>
        <v>Revisar</v>
      </c>
    </row>
    <row r="99" spans="1:2" x14ac:dyDescent="0.35">
      <c r="A99" t="s">
        <v>500</v>
      </c>
      <c r="B99" t="str" cm="1">
        <f t="array" ref="B99">IFERROR(INDEX(#REF!,MATCH(1,(ISNUMBER(SEARCH(#REF!,CLEAN(TRIM(A99)))))*1,0)),"Revisar")</f>
        <v>Revisar</v>
      </c>
    </row>
    <row r="100" spans="1:2" x14ac:dyDescent="0.35">
      <c r="A100" t="s">
        <v>501</v>
      </c>
      <c r="B100" t="str" cm="1">
        <f t="array" ref="B100">IFERROR(INDEX(#REF!,MATCH(1,(ISNUMBER(SEARCH(#REF!,CLEAN(TRIM(A100)))))*1,0)),"Revisar")</f>
        <v>Revisar</v>
      </c>
    </row>
    <row r="101" spans="1:2" x14ac:dyDescent="0.35">
      <c r="A101" t="s">
        <v>502</v>
      </c>
      <c r="B101" t="str" cm="1">
        <f t="array" ref="B101">IFERROR(INDEX(#REF!,MATCH(1,(ISNUMBER(SEARCH(#REF!,CLEAN(TRIM(A101)))))*1,0)),"Revisar")</f>
        <v>Revisar</v>
      </c>
    </row>
    <row r="102" spans="1:2" x14ac:dyDescent="0.35">
      <c r="A102" t="s">
        <v>503</v>
      </c>
      <c r="B102" t="str" cm="1">
        <f t="array" ref="B102">IFERROR(INDEX(#REF!,MATCH(1,(ISNUMBER(SEARCH(#REF!,CLEAN(TRIM(A102)))))*1,0)),"Revisar")</f>
        <v>Revisar</v>
      </c>
    </row>
    <row r="103" spans="1:2" x14ac:dyDescent="0.35">
      <c r="A103" t="s">
        <v>504</v>
      </c>
      <c r="B103" t="str" cm="1">
        <f t="array" ref="B103">IFERROR(INDEX(#REF!,MATCH(1,(ISNUMBER(SEARCH(#REF!,CLEAN(TRIM(A103)))))*1,0)),"Revisar")</f>
        <v>Revisar</v>
      </c>
    </row>
    <row r="104" spans="1:2" x14ac:dyDescent="0.35">
      <c r="A104" t="s">
        <v>505</v>
      </c>
      <c r="B104" t="str" cm="1">
        <f t="array" ref="B104">IFERROR(INDEX(#REF!,MATCH(1,(ISNUMBER(SEARCH(#REF!,CLEAN(TRIM(A104)))))*1,0)),"Revisar")</f>
        <v>Revisar</v>
      </c>
    </row>
    <row r="105" spans="1:2" x14ac:dyDescent="0.35">
      <c r="A105" t="s">
        <v>506</v>
      </c>
      <c r="B105" t="str" cm="1">
        <f t="array" ref="B105">IFERROR(INDEX(#REF!,MATCH(1,(ISNUMBER(SEARCH(#REF!,CLEAN(TRIM(A105)))))*1,0)),"Revisar")</f>
        <v>Revisar</v>
      </c>
    </row>
    <row r="106" spans="1:2" x14ac:dyDescent="0.35">
      <c r="A106" t="s">
        <v>507</v>
      </c>
      <c r="B106" t="str" cm="1">
        <f t="array" ref="B106">IFERROR(INDEX(#REF!,MATCH(1,(ISNUMBER(SEARCH(#REF!,CLEAN(TRIM(A106)))))*1,0)),"Revisar")</f>
        <v>Revisar</v>
      </c>
    </row>
    <row r="107" spans="1:2" x14ac:dyDescent="0.35">
      <c r="A107" t="s">
        <v>508</v>
      </c>
      <c r="B107" t="str" cm="1">
        <f t="array" ref="B107">IFERROR(INDEX(#REF!,MATCH(1,(ISNUMBER(SEARCH(#REF!,CLEAN(TRIM(A107)))))*1,0)),"Revisar")</f>
        <v>Revisar</v>
      </c>
    </row>
    <row r="108" spans="1:2" x14ac:dyDescent="0.35">
      <c r="A108" t="s">
        <v>509</v>
      </c>
      <c r="B108" t="str" cm="1">
        <f t="array" ref="B108">IFERROR(INDEX(#REF!,MATCH(1,(ISNUMBER(SEARCH(#REF!,CLEAN(TRIM(A108)))))*1,0)),"Revisar")</f>
        <v>Revisar</v>
      </c>
    </row>
    <row r="109" spans="1:2" x14ac:dyDescent="0.35">
      <c r="A109" t="s">
        <v>510</v>
      </c>
      <c r="B109" t="str" cm="1">
        <f t="array" ref="B109">IFERROR(INDEX(#REF!,MATCH(1,(ISNUMBER(SEARCH(#REF!,CLEAN(TRIM(A109)))))*1,0)),"Revisar")</f>
        <v>Revisar</v>
      </c>
    </row>
    <row r="110" spans="1:2" x14ac:dyDescent="0.35">
      <c r="A110" t="s">
        <v>511</v>
      </c>
      <c r="B110" t="str" cm="1">
        <f t="array" ref="B110">IFERROR(INDEX(#REF!,MATCH(1,(ISNUMBER(SEARCH(#REF!,CLEAN(TRIM(A110)))))*1,0)),"Revisar")</f>
        <v>Revisar</v>
      </c>
    </row>
    <row r="111" spans="1:2" x14ac:dyDescent="0.35">
      <c r="A111" t="s">
        <v>512</v>
      </c>
      <c r="B111" t="str" cm="1">
        <f t="array" ref="B111">IFERROR(INDEX(#REF!,MATCH(1,(ISNUMBER(SEARCH(#REF!,CLEAN(TRIM(A111)))))*1,0)),"Revisar")</f>
        <v>Revisar</v>
      </c>
    </row>
    <row r="112" spans="1:2" x14ac:dyDescent="0.35">
      <c r="A112" t="s">
        <v>513</v>
      </c>
      <c r="B112" t="str" cm="1">
        <f t="array" ref="B112">IFERROR(INDEX(#REF!,MATCH(1,(ISNUMBER(SEARCH(#REF!,CLEAN(TRIM(A112)))))*1,0)),"Revisar")</f>
        <v>Revisar</v>
      </c>
    </row>
    <row r="113" spans="1:2" x14ac:dyDescent="0.35">
      <c r="A113" t="s">
        <v>864</v>
      </c>
      <c r="B113" t="str" cm="1">
        <f t="array" ref="B113">IFERROR(INDEX(#REF!,MATCH(1,(ISNUMBER(SEARCH(#REF!,CLEAN(TRIM(A113)))))*1,0)),"Revisar")</f>
        <v>Revisar</v>
      </c>
    </row>
    <row r="114" spans="1:2" x14ac:dyDescent="0.35">
      <c r="A114" t="s">
        <v>514</v>
      </c>
      <c r="B114" t="str" cm="1">
        <f t="array" ref="B114">IFERROR(INDEX(#REF!,MATCH(1,(ISNUMBER(SEARCH(#REF!,CLEAN(TRIM(A114)))))*1,0)),"Revisar")</f>
        <v>Revisar</v>
      </c>
    </row>
    <row r="115" spans="1:2" x14ac:dyDescent="0.35">
      <c r="A115" t="s">
        <v>515</v>
      </c>
      <c r="B115" t="str" cm="1">
        <f t="array" ref="B115">IFERROR(INDEX(#REF!,MATCH(1,(ISNUMBER(SEARCH(#REF!,CLEAN(TRIM(A115)))))*1,0)),"Revisar")</f>
        <v>Revisar</v>
      </c>
    </row>
    <row r="116" spans="1:2" x14ac:dyDescent="0.35">
      <c r="A116" t="s">
        <v>516</v>
      </c>
      <c r="B116" t="str" cm="1">
        <f t="array" ref="B116">IFERROR(INDEX(#REF!,MATCH(1,(ISNUMBER(SEARCH(#REF!,CLEAN(TRIM(A116)))))*1,0)),"Revisar")</f>
        <v>Revisar</v>
      </c>
    </row>
    <row r="117" spans="1:2" x14ac:dyDescent="0.35">
      <c r="A117" t="s">
        <v>517</v>
      </c>
      <c r="B117" t="str" cm="1">
        <f t="array" ref="B117">IFERROR(INDEX(#REF!,MATCH(1,(ISNUMBER(SEARCH(#REF!,CLEAN(TRIM(A117)))))*1,0)),"Revisar")</f>
        <v>Revisar</v>
      </c>
    </row>
    <row r="118" spans="1:2" x14ac:dyDescent="0.35">
      <c r="A118" t="s">
        <v>517</v>
      </c>
      <c r="B118" t="str" cm="1">
        <f t="array" ref="B118">IFERROR(INDEX(#REF!,MATCH(1,(ISNUMBER(SEARCH(#REF!,CLEAN(TRIM(A118)))))*1,0)),"Revisar")</f>
        <v>Revisar</v>
      </c>
    </row>
    <row r="119" spans="1:2" x14ac:dyDescent="0.35">
      <c r="A119" t="s">
        <v>518</v>
      </c>
      <c r="B119" t="str" cm="1">
        <f t="array" ref="B119">IFERROR(INDEX(#REF!,MATCH(1,(ISNUMBER(SEARCH(#REF!,CLEAN(TRIM(A119)))))*1,0)),"Revisar")</f>
        <v>Revisar</v>
      </c>
    </row>
    <row r="120" spans="1:2" x14ac:dyDescent="0.35">
      <c r="A120" t="s">
        <v>519</v>
      </c>
      <c r="B120" t="str" cm="1">
        <f t="array" ref="B120">IFERROR(INDEX(#REF!,MATCH(1,(ISNUMBER(SEARCH(#REF!,CLEAN(TRIM(A120)))))*1,0)),"Revisar")</f>
        <v>Revisar</v>
      </c>
    </row>
    <row r="121" spans="1:2" x14ac:dyDescent="0.35">
      <c r="A121" t="s">
        <v>865</v>
      </c>
      <c r="B121" t="str" cm="1">
        <f t="array" ref="B121">IFERROR(INDEX(#REF!,MATCH(1,(ISNUMBER(SEARCH(#REF!,CLEAN(TRIM(A121)))))*1,0)),"Revisar")</f>
        <v>Revisar</v>
      </c>
    </row>
    <row r="122" spans="1:2" x14ac:dyDescent="0.35">
      <c r="A122" t="s">
        <v>520</v>
      </c>
      <c r="B122" t="str" cm="1">
        <f t="array" ref="B122">IFERROR(INDEX(#REF!,MATCH(1,(ISNUMBER(SEARCH(#REF!,CLEAN(TRIM(A122)))))*1,0)),"Revisar")</f>
        <v>Revisar</v>
      </c>
    </row>
    <row r="123" spans="1:2" x14ac:dyDescent="0.35">
      <c r="A123" t="s">
        <v>521</v>
      </c>
      <c r="B123" t="str" cm="1">
        <f t="array" ref="B123">IFERROR(INDEX(#REF!,MATCH(1,(ISNUMBER(SEARCH(#REF!,CLEAN(TRIM(A123)))))*1,0)),"Revisar")</f>
        <v>Revisar</v>
      </c>
    </row>
    <row r="124" spans="1:2" x14ac:dyDescent="0.35">
      <c r="A124" t="s">
        <v>522</v>
      </c>
      <c r="B124" t="str" cm="1">
        <f t="array" ref="B124">IFERROR(INDEX(#REF!,MATCH(1,(ISNUMBER(SEARCH(#REF!,CLEAN(TRIM(A124)))))*1,0)),"Revisar")</f>
        <v>Revisar</v>
      </c>
    </row>
    <row r="125" spans="1:2" x14ac:dyDescent="0.35">
      <c r="A125" t="s">
        <v>523</v>
      </c>
      <c r="B125" t="str" cm="1">
        <f t="array" ref="B125">IFERROR(INDEX(#REF!,MATCH(1,(ISNUMBER(SEARCH(#REF!,CLEAN(TRIM(A125)))))*1,0)),"Revisar")</f>
        <v>Revisar</v>
      </c>
    </row>
    <row r="126" spans="1:2" x14ac:dyDescent="0.35">
      <c r="A126" t="s">
        <v>524</v>
      </c>
      <c r="B126" t="str" cm="1">
        <f t="array" ref="B126">IFERROR(INDEX(#REF!,MATCH(1,(ISNUMBER(SEARCH(#REF!,CLEAN(TRIM(A126)))))*1,0)),"Revisar")</f>
        <v>Revisar</v>
      </c>
    </row>
    <row r="127" spans="1:2" x14ac:dyDescent="0.35">
      <c r="A127" t="s">
        <v>525</v>
      </c>
      <c r="B127" t="str" cm="1">
        <f t="array" ref="B127">IFERROR(INDEX(#REF!,MATCH(1,(ISNUMBER(SEARCH(#REF!,CLEAN(TRIM(A127)))))*1,0)),"Revisar")</f>
        <v>Revisar</v>
      </c>
    </row>
    <row r="128" spans="1:2" x14ac:dyDescent="0.35">
      <c r="A128" t="s">
        <v>526</v>
      </c>
      <c r="B128" t="str" cm="1">
        <f t="array" ref="B128">IFERROR(INDEX(#REF!,MATCH(1,(ISNUMBER(SEARCH(#REF!,CLEAN(TRIM(A128)))))*1,0)),"Revisar")</f>
        <v>Revisar</v>
      </c>
    </row>
    <row r="129" spans="1:2" x14ac:dyDescent="0.35">
      <c r="A129" t="s">
        <v>527</v>
      </c>
      <c r="B129" t="str" cm="1">
        <f t="array" ref="B129">IFERROR(INDEX(#REF!,MATCH(1,(ISNUMBER(SEARCH(#REF!,CLEAN(TRIM(A129)))))*1,0)),"Revisar")</f>
        <v>Revisar</v>
      </c>
    </row>
    <row r="130" spans="1:2" x14ac:dyDescent="0.35">
      <c r="A130" t="s">
        <v>528</v>
      </c>
      <c r="B130" t="str" cm="1">
        <f t="array" ref="B130">IFERROR(INDEX(#REF!,MATCH(1,(ISNUMBER(SEARCH(#REF!,CLEAN(TRIM(A130)))))*1,0)),"Revisar")</f>
        <v>Revisar</v>
      </c>
    </row>
    <row r="131" spans="1:2" x14ac:dyDescent="0.35">
      <c r="A131" t="s">
        <v>529</v>
      </c>
      <c r="B131" t="str" cm="1">
        <f t="array" ref="B131">IFERROR(INDEX(#REF!,MATCH(1,(ISNUMBER(SEARCH(#REF!,CLEAN(TRIM(A131)))))*1,0)),"Revisar")</f>
        <v>Revisar</v>
      </c>
    </row>
    <row r="132" spans="1:2" x14ac:dyDescent="0.35">
      <c r="A132" t="s">
        <v>530</v>
      </c>
      <c r="B132" t="str" cm="1">
        <f t="array" ref="B132">IFERROR(INDEX(#REF!,MATCH(1,(ISNUMBER(SEARCH(#REF!,CLEAN(TRIM(A132)))))*1,0)),"Revisar")</f>
        <v>Revisar</v>
      </c>
    </row>
    <row r="133" spans="1:2" x14ac:dyDescent="0.35">
      <c r="A133" t="s">
        <v>531</v>
      </c>
      <c r="B133" t="str" cm="1">
        <f t="array" ref="B133">IFERROR(INDEX(#REF!,MATCH(1,(ISNUMBER(SEARCH(#REF!,CLEAN(TRIM(A133)))))*1,0)),"Revisar")</f>
        <v>Revisar</v>
      </c>
    </row>
    <row r="134" spans="1:2" x14ac:dyDescent="0.35">
      <c r="A134" t="s">
        <v>532</v>
      </c>
      <c r="B134" t="str" cm="1">
        <f t="array" ref="B134">IFERROR(INDEX(#REF!,MATCH(1,(ISNUMBER(SEARCH(#REF!,CLEAN(TRIM(A134)))))*1,0)),"Revisar")</f>
        <v>Revisar</v>
      </c>
    </row>
    <row r="135" spans="1:2" x14ac:dyDescent="0.35">
      <c r="A135" t="s">
        <v>533</v>
      </c>
      <c r="B135" t="str" cm="1">
        <f t="array" ref="B135">IFERROR(INDEX(#REF!,MATCH(1,(ISNUMBER(SEARCH(#REF!,CLEAN(TRIM(A135)))))*1,0)),"Revisar")</f>
        <v>Revisar</v>
      </c>
    </row>
    <row r="136" spans="1:2" x14ac:dyDescent="0.35">
      <c r="A136" t="s">
        <v>534</v>
      </c>
      <c r="B136" t="str" cm="1">
        <f t="array" ref="B136">IFERROR(INDEX(#REF!,MATCH(1,(ISNUMBER(SEARCH(#REF!,CLEAN(TRIM(A136)))))*1,0)),"Revisar")</f>
        <v>Revisar</v>
      </c>
    </row>
    <row r="137" spans="1:2" x14ac:dyDescent="0.35">
      <c r="A137" t="s">
        <v>535</v>
      </c>
      <c r="B137" t="str" cm="1">
        <f t="array" ref="B137">IFERROR(INDEX(#REF!,MATCH(1,(ISNUMBER(SEARCH(#REF!,CLEAN(TRIM(A137)))))*1,0)),"Revisar")</f>
        <v>Revisar</v>
      </c>
    </row>
    <row r="138" spans="1:2" x14ac:dyDescent="0.35">
      <c r="A138" t="s">
        <v>536</v>
      </c>
      <c r="B138" t="str" cm="1">
        <f t="array" ref="B138">IFERROR(INDEX(#REF!,MATCH(1,(ISNUMBER(SEARCH(#REF!,CLEAN(TRIM(A138)))))*1,0)),"Revisar")</f>
        <v>Revisar</v>
      </c>
    </row>
    <row r="139" spans="1:2" x14ac:dyDescent="0.35">
      <c r="A139" t="s">
        <v>434</v>
      </c>
      <c r="B139" t="str" cm="1">
        <f t="array" ref="B139">IFERROR(INDEX(#REF!,MATCH(1,(ISNUMBER(SEARCH(#REF!,CLEAN(TRIM(A139)))))*1,0)),"Revisar")</f>
        <v>Revisar</v>
      </c>
    </row>
    <row r="140" spans="1:2" x14ac:dyDescent="0.35">
      <c r="A140" t="s">
        <v>434</v>
      </c>
      <c r="B140" t="str" cm="1">
        <f t="array" ref="B140">IFERROR(INDEX(#REF!,MATCH(1,(ISNUMBER(SEARCH(#REF!,CLEAN(TRIM(A140)))))*1,0)),"Revisar")</f>
        <v>Revisar</v>
      </c>
    </row>
    <row r="141" spans="1:2" x14ac:dyDescent="0.35">
      <c r="A141" t="s">
        <v>538</v>
      </c>
      <c r="B141" t="str" cm="1">
        <f t="array" ref="B141">IFERROR(INDEX(#REF!,MATCH(1,(ISNUMBER(SEARCH(#REF!,CLEAN(TRIM(A141)))))*1,0)),"Revisar")</f>
        <v>Revisar</v>
      </c>
    </row>
    <row r="142" spans="1:2" x14ac:dyDescent="0.35">
      <c r="A142" t="s">
        <v>866</v>
      </c>
      <c r="B142" t="str" cm="1">
        <f t="array" ref="B142">IFERROR(INDEX(#REF!,MATCH(1,(ISNUMBER(SEARCH(#REF!,CLEAN(TRIM(A142)))))*1,0)),"Revisar")</f>
        <v>Revisar</v>
      </c>
    </row>
    <row r="143" spans="1:2" x14ac:dyDescent="0.35">
      <c r="A143" t="s">
        <v>383</v>
      </c>
      <c r="B143" t="str" cm="1">
        <f t="array" ref="B143">IFERROR(INDEX(#REF!,MATCH(1,(ISNUMBER(SEARCH(#REF!,CLEAN(TRIM(A143)))))*1,0)),"Revisar")</f>
        <v>Revisar</v>
      </c>
    </row>
    <row r="144" spans="1:2" x14ac:dyDescent="0.35">
      <c r="A144" t="s">
        <v>539</v>
      </c>
      <c r="B144" t="str" cm="1">
        <f t="array" ref="B144">IFERROR(INDEX(#REF!,MATCH(1,(ISNUMBER(SEARCH(#REF!,CLEAN(TRIM(A144)))))*1,0)),"Revisar")</f>
        <v>Revisar</v>
      </c>
    </row>
    <row r="145" spans="1:2" x14ac:dyDescent="0.35">
      <c r="A145" t="s">
        <v>384</v>
      </c>
      <c r="B145" t="str" cm="1">
        <f t="array" ref="B145">IFERROR(INDEX(#REF!,MATCH(1,(ISNUMBER(SEARCH(#REF!,CLEAN(TRIM(A145)))))*1,0)),"Revisar")</f>
        <v>Revisar</v>
      </c>
    </row>
    <row r="146" spans="1:2" x14ac:dyDescent="0.35">
      <c r="A146" t="s">
        <v>540</v>
      </c>
      <c r="B146" t="str" cm="1">
        <f t="array" ref="B146">IFERROR(INDEX(#REF!,MATCH(1,(ISNUMBER(SEARCH(#REF!,CLEAN(TRIM(A146)))))*1,0)),"Revisar")</f>
        <v>Revisar</v>
      </c>
    </row>
    <row r="147" spans="1:2" x14ac:dyDescent="0.35">
      <c r="A147" t="s">
        <v>541</v>
      </c>
      <c r="B147" t="str" cm="1">
        <f t="array" ref="B147">IFERROR(INDEX(#REF!,MATCH(1,(ISNUMBER(SEARCH(#REF!,CLEAN(TRIM(A147)))))*1,0)),"Revisar")</f>
        <v>Revisar</v>
      </c>
    </row>
    <row r="148" spans="1:2" x14ac:dyDescent="0.35">
      <c r="A148" t="s">
        <v>542</v>
      </c>
      <c r="B148" t="str" cm="1">
        <f t="array" ref="B148">IFERROR(INDEX(#REF!,MATCH(1,(ISNUMBER(SEARCH(#REF!,CLEAN(TRIM(A148)))))*1,0)),"Revisar")</f>
        <v>Revisar</v>
      </c>
    </row>
    <row r="149" spans="1:2" x14ac:dyDescent="0.35">
      <c r="A149" t="s">
        <v>543</v>
      </c>
      <c r="B149" t="str" cm="1">
        <f t="array" ref="B149">IFERROR(INDEX(#REF!,MATCH(1,(ISNUMBER(SEARCH(#REF!,CLEAN(TRIM(A149)))))*1,0)),"Revisar")</f>
        <v>Revisar</v>
      </c>
    </row>
    <row r="150" spans="1:2" x14ac:dyDescent="0.35">
      <c r="A150" t="s">
        <v>385</v>
      </c>
      <c r="B150" t="str" cm="1">
        <f t="array" ref="B150">IFERROR(INDEX(#REF!,MATCH(1,(ISNUMBER(SEARCH(#REF!,CLEAN(TRIM(A150)))))*1,0)),"Revisar")</f>
        <v>Revisar</v>
      </c>
    </row>
    <row r="151" spans="1:2" x14ac:dyDescent="0.35">
      <c r="A151" t="s">
        <v>544</v>
      </c>
      <c r="B151" t="str" cm="1">
        <f t="array" ref="B151">IFERROR(INDEX(#REF!,MATCH(1,(ISNUMBER(SEARCH(#REF!,CLEAN(TRIM(A151)))))*1,0)),"Revisar")</f>
        <v>Revisar</v>
      </c>
    </row>
    <row r="152" spans="1:2" x14ac:dyDescent="0.35">
      <c r="A152" t="s">
        <v>545</v>
      </c>
      <c r="B152" t="str" cm="1">
        <f t="array" ref="B152">IFERROR(INDEX(#REF!,MATCH(1,(ISNUMBER(SEARCH(#REF!,CLEAN(TRIM(A152)))))*1,0)),"Revisar")</f>
        <v>Revisar</v>
      </c>
    </row>
    <row r="153" spans="1:2" x14ac:dyDescent="0.35">
      <c r="A153" t="s">
        <v>546</v>
      </c>
      <c r="B153" t="str" cm="1">
        <f t="array" ref="B153">IFERROR(INDEX(#REF!,MATCH(1,(ISNUMBER(SEARCH(#REF!,CLEAN(TRIM(A153)))))*1,0)),"Revisar")</f>
        <v>Revisar</v>
      </c>
    </row>
    <row r="154" spans="1:2" x14ac:dyDescent="0.35">
      <c r="A154" t="s">
        <v>386</v>
      </c>
      <c r="B154" t="str" cm="1">
        <f t="array" ref="B154">IFERROR(INDEX(#REF!,MATCH(1,(ISNUMBER(SEARCH(#REF!,CLEAN(TRIM(A154)))))*1,0)),"Revisar")</f>
        <v>Revisar</v>
      </c>
    </row>
    <row r="155" spans="1:2" x14ac:dyDescent="0.35">
      <c r="A155" t="s">
        <v>386</v>
      </c>
      <c r="B155" t="str" cm="1">
        <f t="array" ref="B155">IFERROR(INDEX(#REF!,MATCH(1,(ISNUMBER(SEARCH(#REF!,CLEAN(TRIM(A155)))))*1,0)),"Revisar")</f>
        <v>Revisar</v>
      </c>
    </row>
    <row r="156" spans="1:2" x14ac:dyDescent="0.35">
      <c r="A156" t="s">
        <v>387</v>
      </c>
      <c r="B156" t="str" cm="1">
        <f t="array" ref="B156">IFERROR(INDEX(#REF!,MATCH(1,(ISNUMBER(SEARCH(#REF!,CLEAN(TRIM(A156)))))*1,0)),"Revisar")</f>
        <v>Revisar</v>
      </c>
    </row>
    <row r="157" spans="1:2" x14ac:dyDescent="0.35">
      <c r="A157" t="s">
        <v>547</v>
      </c>
      <c r="B157" t="str" cm="1">
        <f t="array" ref="B157">IFERROR(INDEX(#REF!,MATCH(1,(ISNUMBER(SEARCH(#REF!,CLEAN(TRIM(A157)))))*1,0)),"Revisar")</f>
        <v>Revisar</v>
      </c>
    </row>
    <row r="158" spans="1:2" x14ac:dyDescent="0.35">
      <c r="A158" t="s">
        <v>388</v>
      </c>
      <c r="B158" t="str" cm="1">
        <f t="array" ref="B158">IFERROR(INDEX(#REF!,MATCH(1,(ISNUMBER(SEARCH(#REF!,CLEAN(TRIM(A158)))))*1,0)),"Revisar")</f>
        <v>Revisar</v>
      </c>
    </row>
    <row r="159" spans="1:2" x14ac:dyDescent="0.35">
      <c r="A159" t="s">
        <v>548</v>
      </c>
      <c r="B159" t="str" cm="1">
        <f t="array" ref="B159">IFERROR(INDEX(#REF!,MATCH(1,(ISNUMBER(SEARCH(#REF!,CLEAN(TRIM(A159)))))*1,0)),"Revisar")</f>
        <v>Revisar</v>
      </c>
    </row>
    <row r="160" spans="1:2" x14ac:dyDescent="0.35">
      <c r="A160" t="s">
        <v>549</v>
      </c>
      <c r="B160" t="str" cm="1">
        <f t="array" ref="B160">IFERROR(INDEX(#REF!,MATCH(1,(ISNUMBER(SEARCH(#REF!,CLEAN(TRIM(A160)))))*1,0)),"Revisar")</f>
        <v>Revisar</v>
      </c>
    </row>
    <row r="161" spans="1:2" x14ac:dyDescent="0.35">
      <c r="A161" t="s">
        <v>550</v>
      </c>
      <c r="B161" t="str" cm="1">
        <f t="array" ref="B161">IFERROR(INDEX(#REF!,MATCH(1,(ISNUMBER(SEARCH(#REF!,CLEAN(TRIM(A161)))))*1,0)),"Revisar")</f>
        <v>Revisar</v>
      </c>
    </row>
    <row r="162" spans="1:2" x14ac:dyDescent="0.35">
      <c r="A162" t="s">
        <v>551</v>
      </c>
      <c r="B162" t="str" cm="1">
        <f t="array" ref="B162">IFERROR(INDEX(#REF!,MATCH(1,(ISNUMBER(SEARCH(#REF!,CLEAN(TRIM(A162)))))*1,0)),"Revisar")</f>
        <v>Revisar</v>
      </c>
    </row>
    <row r="163" spans="1:2" x14ac:dyDescent="0.35">
      <c r="A163" t="s">
        <v>552</v>
      </c>
      <c r="B163" t="str" cm="1">
        <f t="array" ref="B163">IFERROR(INDEX(#REF!,MATCH(1,(ISNUMBER(SEARCH(#REF!,CLEAN(TRIM(A163)))))*1,0)),"Revisar")</f>
        <v>Revisar</v>
      </c>
    </row>
    <row r="164" spans="1:2" x14ac:dyDescent="0.35">
      <c r="A164" t="s">
        <v>389</v>
      </c>
      <c r="B164" t="str" cm="1">
        <f t="array" ref="B164">IFERROR(INDEX(#REF!,MATCH(1,(ISNUMBER(SEARCH(#REF!,CLEAN(TRIM(A164)))))*1,0)),"Revisar")</f>
        <v>Revisar</v>
      </c>
    </row>
    <row r="165" spans="1:2" x14ac:dyDescent="0.35">
      <c r="A165" t="s">
        <v>389</v>
      </c>
      <c r="B165" t="str" cm="1">
        <f t="array" ref="B165">IFERROR(INDEX(#REF!,MATCH(1,(ISNUMBER(SEARCH(#REF!,CLEAN(TRIM(A165)))))*1,0)),"Revisar")</f>
        <v>Revisar</v>
      </c>
    </row>
    <row r="166" spans="1:2" x14ac:dyDescent="0.35">
      <c r="A166" t="s">
        <v>389</v>
      </c>
      <c r="B166" t="str" cm="1">
        <f t="array" ref="B166">IFERROR(INDEX(#REF!,MATCH(1,(ISNUMBER(SEARCH(#REF!,CLEAN(TRIM(A166)))))*1,0)),"Revisar")</f>
        <v>Revisar</v>
      </c>
    </row>
    <row r="167" spans="1:2" x14ac:dyDescent="0.35">
      <c r="A167" t="s">
        <v>553</v>
      </c>
      <c r="B167" t="str" cm="1">
        <f t="array" ref="B167">IFERROR(INDEX(#REF!,MATCH(1,(ISNUMBER(SEARCH(#REF!,CLEAN(TRIM(A167)))))*1,0)),"Revisar")</f>
        <v>Revisar</v>
      </c>
    </row>
    <row r="168" spans="1:2" x14ac:dyDescent="0.35">
      <c r="A168" t="s">
        <v>373</v>
      </c>
      <c r="B168" t="str" cm="1">
        <f t="array" ref="B168">IFERROR(INDEX(#REF!,MATCH(1,(ISNUMBER(SEARCH(#REF!,CLEAN(TRIM(A168)))))*1,0)),"Revisar")</f>
        <v>Revisar</v>
      </c>
    </row>
    <row r="169" spans="1:2" x14ac:dyDescent="0.35">
      <c r="A169" t="s">
        <v>867</v>
      </c>
      <c r="B169" t="str" cm="1">
        <f t="array" ref="B169">IFERROR(INDEX(#REF!,MATCH(1,(ISNUMBER(SEARCH(#REF!,CLEAN(TRIM(A169)))))*1,0)),"Revisar")</f>
        <v>Revisar</v>
      </c>
    </row>
    <row r="170" spans="1:2" x14ac:dyDescent="0.35">
      <c r="A170" t="s">
        <v>554</v>
      </c>
      <c r="B170" t="str" cm="1">
        <f t="array" ref="B170">IFERROR(INDEX(#REF!,MATCH(1,(ISNUMBER(SEARCH(#REF!,CLEAN(TRIM(A170)))))*1,0)),"Revisar")</f>
        <v>Revisar</v>
      </c>
    </row>
    <row r="171" spans="1:2" x14ac:dyDescent="0.35">
      <c r="A171" t="s">
        <v>555</v>
      </c>
      <c r="B171" t="str" cm="1">
        <f t="array" ref="B171">IFERROR(INDEX(#REF!,MATCH(1,(ISNUMBER(SEARCH(#REF!,CLEAN(TRIM(A171)))))*1,0)),"Revisar")</f>
        <v>Revisar</v>
      </c>
    </row>
    <row r="172" spans="1:2" x14ac:dyDescent="0.35">
      <c r="A172" t="s">
        <v>556</v>
      </c>
      <c r="B172" t="str" cm="1">
        <f t="array" ref="B172">IFERROR(INDEX(#REF!,MATCH(1,(ISNUMBER(SEARCH(#REF!,CLEAN(TRIM(A172)))))*1,0)),"Revisar")</f>
        <v>Revisar</v>
      </c>
    </row>
    <row r="173" spans="1:2" x14ac:dyDescent="0.35">
      <c r="A173" t="s">
        <v>557</v>
      </c>
      <c r="B173" t="str" cm="1">
        <f t="array" ref="B173">IFERROR(INDEX(#REF!,MATCH(1,(ISNUMBER(SEARCH(#REF!,CLEAN(TRIM(A173)))))*1,0)),"Revisar")</f>
        <v>Revisar</v>
      </c>
    </row>
    <row r="174" spans="1:2" x14ac:dyDescent="0.35">
      <c r="A174" t="s">
        <v>390</v>
      </c>
      <c r="B174" t="str" cm="1">
        <f t="array" ref="B174">IFERROR(INDEX(#REF!,MATCH(1,(ISNUMBER(SEARCH(#REF!,CLEAN(TRIM(A174)))))*1,0)),"Revisar")</f>
        <v>Revisar</v>
      </c>
    </row>
    <row r="175" spans="1:2" x14ac:dyDescent="0.35">
      <c r="A175" t="s">
        <v>558</v>
      </c>
      <c r="B175" t="str" cm="1">
        <f t="array" ref="B175">IFERROR(INDEX(#REF!,MATCH(1,(ISNUMBER(SEARCH(#REF!,CLEAN(TRIM(A175)))))*1,0)),"Revisar")</f>
        <v>Revisar</v>
      </c>
    </row>
    <row r="176" spans="1:2" x14ac:dyDescent="0.35">
      <c r="A176" t="s">
        <v>391</v>
      </c>
      <c r="B176" t="str" cm="1">
        <f t="array" ref="B176">IFERROR(INDEX(#REF!,MATCH(1,(ISNUMBER(SEARCH(#REF!,CLEAN(TRIM(A176)))))*1,0)),"Revisar")</f>
        <v>Revisar</v>
      </c>
    </row>
    <row r="177" spans="1:2" x14ac:dyDescent="0.35">
      <c r="A177" t="s">
        <v>559</v>
      </c>
      <c r="B177" t="str" cm="1">
        <f t="array" ref="B177">IFERROR(INDEX(#REF!,MATCH(1,(ISNUMBER(SEARCH(#REF!,CLEAN(TRIM(A177)))))*1,0)),"Revisar")</f>
        <v>Revisar</v>
      </c>
    </row>
    <row r="178" spans="1:2" x14ac:dyDescent="0.35">
      <c r="A178" t="s">
        <v>560</v>
      </c>
      <c r="B178" t="str" cm="1">
        <f t="array" ref="B178">IFERROR(INDEX(#REF!,MATCH(1,(ISNUMBER(SEARCH(#REF!,CLEAN(TRIM(A178)))))*1,0)),"Revisar")</f>
        <v>Revisar</v>
      </c>
    </row>
    <row r="179" spans="1:2" x14ac:dyDescent="0.35">
      <c r="A179" t="s">
        <v>561</v>
      </c>
      <c r="B179" t="str" cm="1">
        <f t="array" ref="B179">IFERROR(INDEX(#REF!,MATCH(1,(ISNUMBER(SEARCH(#REF!,CLEAN(TRIM(A179)))))*1,0)),"Revisar")</f>
        <v>Revisar</v>
      </c>
    </row>
    <row r="180" spans="1:2" x14ac:dyDescent="0.35">
      <c r="A180" t="s">
        <v>562</v>
      </c>
      <c r="B180" t="str" cm="1">
        <f t="array" ref="B180">IFERROR(INDEX(#REF!,MATCH(1,(ISNUMBER(SEARCH(#REF!,CLEAN(TRIM(A180)))))*1,0)),"Revisar")</f>
        <v>Revisar</v>
      </c>
    </row>
    <row r="181" spans="1:2" x14ac:dyDescent="0.35">
      <c r="A181" t="s">
        <v>563</v>
      </c>
      <c r="B181" t="str" cm="1">
        <f t="array" ref="B181">IFERROR(INDEX(#REF!,MATCH(1,(ISNUMBER(SEARCH(#REF!,CLEAN(TRIM(A181)))))*1,0)),"Revisar")</f>
        <v>Revisar</v>
      </c>
    </row>
    <row r="182" spans="1:2" x14ac:dyDescent="0.35">
      <c r="A182" t="s">
        <v>564</v>
      </c>
      <c r="B182" t="str" cm="1">
        <f t="array" ref="B182">IFERROR(INDEX(#REF!,MATCH(1,(ISNUMBER(SEARCH(#REF!,CLEAN(TRIM(A182)))))*1,0)),"Revisar")</f>
        <v>Revisar</v>
      </c>
    </row>
    <row r="183" spans="1:2" x14ac:dyDescent="0.35">
      <c r="A183" t="s">
        <v>565</v>
      </c>
      <c r="B183" t="str" cm="1">
        <f t="array" ref="B183">IFERROR(INDEX(#REF!,MATCH(1,(ISNUMBER(SEARCH(#REF!,CLEAN(TRIM(A183)))))*1,0)),"Revisar")</f>
        <v>Revisar</v>
      </c>
    </row>
    <row r="184" spans="1:2" x14ac:dyDescent="0.35">
      <c r="A184" t="s">
        <v>566</v>
      </c>
      <c r="B184" t="str" cm="1">
        <f t="array" ref="B184">IFERROR(INDEX(#REF!,MATCH(1,(ISNUMBER(SEARCH(#REF!,CLEAN(TRIM(A184)))))*1,0)),"Revisar")</f>
        <v>Revisar</v>
      </c>
    </row>
    <row r="185" spans="1:2" x14ac:dyDescent="0.35">
      <c r="A185" t="s">
        <v>567</v>
      </c>
      <c r="B185" t="str" cm="1">
        <f t="array" ref="B185">IFERROR(INDEX(#REF!,MATCH(1,(ISNUMBER(SEARCH(#REF!,CLEAN(TRIM(A185)))))*1,0)),"Revisar")</f>
        <v>Revisar</v>
      </c>
    </row>
    <row r="186" spans="1:2" x14ac:dyDescent="0.35">
      <c r="A186" t="s">
        <v>568</v>
      </c>
      <c r="B186" t="str" cm="1">
        <f t="array" ref="B186">IFERROR(INDEX(#REF!,MATCH(1,(ISNUMBER(SEARCH(#REF!,CLEAN(TRIM(A186)))))*1,0)),"Revisar")</f>
        <v>Revisar</v>
      </c>
    </row>
    <row r="187" spans="1:2" x14ac:dyDescent="0.35">
      <c r="A187" t="s">
        <v>569</v>
      </c>
      <c r="B187" t="str" cm="1">
        <f t="array" ref="B187">IFERROR(INDEX(#REF!,MATCH(1,(ISNUMBER(SEARCH(#REF!,CLEAN(TRIM(A187)))))*1,0)),"Revisar")</f>
        <v>Revisar</v>
      </c>
    </row>
    <row r="188" spans="1:2" x14ac:dyDescent="0.35">
      <c r="A188" t="s">
        <v>570</v>
      </c>
      <c r="B188" t="str" cm="1">
        <f t="array" ref="B188">IFERROR(INDEX(#REF!,MATCH(1,(ISNUMBER(SEARCH(#REF!,CLEAN(TRIM(A188)))))*1,0)),"Revisar")</f>
        <v>Revisar</v>
      </c>
    </row>
    <row r="189" spans="1:2" x14ac:dyDescent="0.35">
      <c r="A189" t="s">
        <v>571</v>
      </c>
      <c r="B189" t="str" cm="1">
        <f t="array" ref="B189">IFERROR(INDEX(#REF!,MATCH(1,(ISNUMBER(SEARCH(#REF!,CLEAN(TRIM(A189)))))*1,0)),"Revisar")</f>
        <v>Revisar</v>
      </c>
    </row>
    <row r="190" spans="1:2" x14ac:dyDescent="0.35">
      <c r="A190" t="s">
        <v>572</v>
      </c>
      <c r="B190" t="str" cm="1">
        <f t="array" ref="B190">IFERROR(INDEX(#REF!,MATCH(1,(ISNUMBER(SEARCH(#REF!,CLEAN(TRIM(A190)))))*1,0)),"Revisar")</f>
        <v>Revisar</v>
      </c>
    </row>
    <row r="191" spans="1:2" x14ac:dyDescent="0.35">
      <c r="A191" t="s">
        <v>573</v>
      </c>
      <c r="B191" t="str" cm="1">
        <f t="array" ref="B191">IFERROR(INDEX(#REF!,MATCH(1,(ISNUMBER(SEARCH(#REF!,CLEAN(TRIM(A191)))))*1,0)),"Revisar")</f>
        <v>Revisar</v>
      </c>
    </row>
    <row r="192" spans="1:2" x14ac:dyDescent="0.35">
      <c r="A192" t="s">
        <v>392</v>
      </c>
      <c r="B192" t="str" cm="1">
        <f t="array" ref="B192">IFERROR(INDEX(#REF!,MATCH(1,(ISNUMBER(SEARCH(#REF!,CLEAN(TRIM(A192)))))*1,0)),"Revisar")</f>
        <v>Revisar</v>
      </c>
    </row>
    <row r="193" spans="1:2" x14ac:dyDescent="0.35">
      <c r="A193" t="s">
        <v>574</v>
      </c>
      <c r="B193" t="str" cm="1">
        <f t="array" ref="B193">IFERROR(INDEX(#REF!,MATCH(1,(ISNUMBER(SEARCH(#REF!,CLEAN(TRIM(A193)))))*1,0)),"Revisar")</f>
        <v>Revisar</v>
      </c>
    </row>
    <row r="194" spans="1:2" x14ac:dyDescent="0.35">
      <c r="A194" t="s">
        <v>575</v>
      </c>
      <c r="B194" t="str" cm="1">
        <f t="array" ref="B194">IFERROR(INDEX(#REF!,MATCH(1,(ISNUMBER(SEARCH(#REF!,CLEAN(TRIM(A194)))))*1,0)),"Revisar")</f>
        <v>Revisar</v>
      </c>
    </row>
    <row r="195" spans="1:2" x14ac:dyDescent="0.35">
      <c r="A195" t="s">
        <v>576</v>
      </c>
      <c r="B195" t="str" cm="1">
        <f t="array" ref="B195">IFERROR(INDEX(#REF!,MATCH(1,(ISNUMBER(SEARCH(#REF!,CLEAN(TRIM(A195)))))*1,0)),"Revisar")</f>
        <v>Revisar</v>
      </c>
    </row>
    <row r="196" spans="1:2" x14ac:dyDescent="0.35">
      <c r="A196" t="s">
        <v>393</v>
      </c>
      <c r="B196" t="str" cm="1">
        <f t="array" ref="B196">IFERROR(INDEX(#REF!,MATCH(1,(ISNUMBER(SEARCH(#REF!,CLEAN(TRIM(A196)))))*1,0)),"Revisar")</f>
        <v>Revisar</v>
      </c>
    </row>
    <row r="197" spans="1:2" x14ac:dyDescent="0.35">
      <c r="A197" t="s">
        <v>577</v>
      </c>
      <c r="B197" t="str" cm="1">
        <f t="array" ref="B197">IFERROR(INDEX(#REF!,MATCH(1,(ISNUMBER(SEARCH(#REF!,CLEAN(TRIM(A197)))))*1,0)),"Revisar")</f>
        <v>Revisar</v>
      </c>
    </row>
    <row r="198" spans="1:2" x14ac:dyDescent="0.35">
      <c r="A198" t="s">
        <v>578</v>
      </c>
      <c r="B198" t="str" cm="1">
        <f t="array" ref="B198">IFERROR(INDEX(#REF!,MATCH(1,(ISNUMBER(SEARCH(#REF!,CLEAN(TRIM(A198)))))*1,0)),"Revisar")</f>
        <v>Revisar</v>
      </c>
    </row>
    <row r="199" spans="1:2" x14ac:dyDescent="0.35">
      <c r="A199" t="s">
        <v>394</v>
      </c>
      <c r="B199" t="str" cm="1">
        <f t="array" ref="B199">IFERROR(INDEX(#REF!,MATCH(1,(ISNUMBER(SEARCH(#REF!,CLEAN(TRIM(A199)))))*1,0)),"Revisar")</f>
        <v>Revisar</v>
      </c>
    </row>
    <row r="200" spans="1:2" x14ac:dyDescent="0.35">
      <c r="A200" t="s">
        <v>579</v>
      </c>
      <c r="B200" t="str" cm="1">
        <f t="array" ref="B200">IFERROR(INDEX(#REF!,MATCH(1,(ISNUMBER(SEARCH(#REF!,CLEAN(TRIM(A200)))))*1,0)),"Revisar")</f>
        <v>Revisar</v>
      </c>
    </row>
    <row r="201" spans="1:2" x14ac:dyDescent="0.35">
      <c r="A201" t="s">
        <v>580</v>
      </c>
      <c r="B201" t="str" cm="1">
        <f t="array" ref="B201">IFERROR(INDEX(#REF!,MATCH(1,(ISNUMBER(SEARCH(#REF!,CLEAN(TRIM(A201)))))*1,0)),"Revisar")</f>
        <v>Revisar</v>
      </c>
    </row>
    <row r="202" spans="1:2" x14ac:dyDescent="0.35">
      <c r="A202" t="s">
        <v>581</v>
      </c>
      <c r="B202" t="str" cm="1">
        <f t="array" ref="B202">IFERROR(INDEX(#REF!,MATCH(1,(ISNUMBER(SEARCH(#REF!,CLEAN(TRIM(A202)))))*1,0)),"Revisar")</f>
        <v>Revisar</v>
      </c>
    </row>
    <row r="203" spans="1:2" x14ac:dyDescent="0.35">
      <c r="A203" t="s">
        <v>582</v>
      </c>
      <c r="B203" t="str" cm="1">
        <f t="array" ref="B203">IFERROR(INDEX(#REF!,MATCH(1,(ISNUMBER(SEARCH(#REF!,CLEAN(TRIM(A203)))))*1,0)),"Revisar")</f>
        <v>Revisar</v>
      </c>
    </row>
    <row r="204" spans="1:2" x14ac:dyDescent="0.35">
      <c r="A204" t="s">
        <v>868</v>
      </c>
      <c r="B204" t="str" cm="1">
        <f t="array" ref="B204">IFERROR(INDEX(#REF!,MATCH(1,(ISNUMBER(SEARCH(#REF!,CLEAN(TRIM(A204)))))*1,0)),"Revisar")</f>
        <v>Revisar</v>
      </c>
    </row>
    <row r="205" spans="1:2" x14ac:dyDescent="0.35">
      <c r="A205" t="s">
        <v>869</v>
      </c>
      <c r="B205" t="str" cm="1">
        <f t="array" ref="B205">IFERROR(INDEX(#REF!,MATCH(1,(ISNUMBER(SEARCH(#REF!,CLEAN(TRIM(A205)))))*1,0)),"Revisar")</f>
        <v>Revisar</v>
      </c>
    </row>
    <row r="206" spans="1:2" x14ac:dyDescent="0.35">
      <c r="A206" t="s">
        <v>583</v>
      </c>
      <c r="B206" t="str" cm="1">
        <f t="array" ref="B206">IFERROR(INDEX(#REF!,MATCH(1,(ISNUMBER(SEARCH(#REF!,CLEAN(TRIM(A206)))))*1,0)),"Revisar")</f>
        <v>Revisar</v>
      </c>
    </row>
    <row r="207" spans="1:2" x14ac:dyDescent="0.35">
      <c r="A207" t="s">
        <v>584</v>
      </c>
      <c r="B207" t="str" cm="1">
        <f t="array" ref="B207">IFERROR(INDEX(#REF!,MATCH(1,(ISNUMBER(SEARCH(#REF!,CLEAN(TRIM(A207)))))*1,0)),"Revisar")</f>
        <v>Revisar</v>
      </c>
    </row>
    <row r="208" spans="1:2" x14ac:dyDescent="0.35">
      <c r="A208" t="s">
        <v>585</v>
      </c>
      <c r="B208" t="str" cm="1">
        <f t="array" ref="B208">IFERROR(INDEX(#REF!,MATCH(1,(ISNUMBER(SEARCH(#REF!,CLEAN(TRIM(A208)))))*1,0)),"Revisar")</f>
        <v>Revisar</v>
      </c>
    </row>
    <row r="209" spans="1:2" x14ac:dyDescent="0.35">
      <c r="A209" t="s">
        <v>586</v>
      </c>
      <c r="B209" t="str" cm="1">
        <f t="array" ref="B209">IFERROR(INDEX(#REF!,MATCH(1,(ISNUMBER(SEARCH(#REF!,CLEAN(TRIM(A209)))))*1,0)),"Revisar")</f>
        <v>Revisar</v>
      </c>
    </row>
    <row r="210" spans="1:2" x14ac:dyDescent="0.35">
      <c r="A210" t="s">
        <v>587</v>
      </c>
      <c r="B210" t="str" cm="1">
        <f t="array" ref="B210">IFERROR(INDEX(#REF!,MATCH(1,(ISNUMBER(SEARCH(#REF!,CLEAN(TRIM(A210)))))*1,0)),"Revisar")</f>
        <v>Revisar</v>
      </c>
    </row>
    <row r="211" spans="1:2" x14ac:dyDescent="0.35">
      <c r="A211" t="s">
        <v>395</v>
      </c>
      <c r="B211" t="str" cm="1">
        <f t="array" ref="B211">IFERROR(INDEX(#REF!,MATCH(1,(ISNUMBER(SEARCH(#REF!,CLEAN(TRIM(A211)))))*1,0)),"Revisar")</f>
        <v>Revisar</v>
      </c>
    </row>
    <row r="212" spans="1:2" x14ac:dyDescent="0.35">
      <c r="A212" t="s">
        <v>588</v>
      </c>
      <c r="B212" t="str" cm="1">
        <f t="array" ref="B212">IFERROR(INDEX(#REF!,MATCH(1,(ISNUMBER(SEARCH(#REF!,CLEAN(TRIM(A212)))))*1,0)),"Revisar")</f>
        <v>Revisar</v>
      </c>
    </row>
    <row r="213" spans="1:2" x14ac:dyDescent="0.35">
      <c r="A213" t="s">
        <v>589</v>
      </c>
      <c r="B213" t="str" cm="1">
        <f t="array" ref="B213">IFERROR(INDEX(#REF!,MATCH(1,(ISNUMBER(SEARCH(#REF!,CLEAN(TRIM(A213)))))*1,0)),"Revisar")</f>
        <v>Revisar</v>
      </c>
    </row>
    <row r="214" spans="1:2" x14ac:dyDescent="0.35">
      <c r="A214" t="s">
        <v>590</v>
      </c>
      <c r="B214" t="str" cm="1">
        <f t="array" ref="B214">IFERROR(INDEX(#REF!,MATCH(1,(ISNUMBER(SEARCH(#REF!,CLEAN(TRIM(A214)))))*1,0)),"Revisar")</f>
        <v>Revisar</v>
      </c>
    </row>
    <row r="215" spans="1:2" x14ac:dyDescent="0.35">
      <c r="A215" t="s">
        <v>591</v>
      </c>
      <c r="B215" t="str" cm="1">
        <f t="array" ref="B215">IFERROR(INDEX(#REF!,MATCH(1,(ISNUMBER(SEARCH(#REF!,CLEAN(TRIM(A215)))))*1,0)),"Revisar")</f>
        <v>Revisar</v>
      </c>
    </row>
    <row r="216" spans="1:2" x14ac:dyDescent="0.35">
      <c r="A216" t="s">
        <v>870</v>
      </c>
      <c r="B216" t="str" cm="1">
        <f t="array" ref="B216">IFERROR(INDEX(#REF!,MATCH(1,(ISNUMBER(SEARCH(#REF!,CLEAN(TRIM(A216)))))*1,0)),"Revisar")</f>
        <v>Revisar</v>
      </c>
    </row>
    <row r="217" spans="1:2" x14ac:dyDescent="0.35">
      <c r="A217" t="s">
        <v>592</v>
      </c>
      <c r="B217" t="str" cm="1">
        <f t="array" ref="B217">IFERROR(INDEX(#REF!,MATCH(1,(ISNUMBER(SEARCH(#REF!,CLEAN(TRIM(A217)))))*1,0)),"Revisar")</f>
        <v>Revisar</v>
      </c>
    </row>
    <row r="218" spans="1:2" x14ac:dyDescent="0.35">
      <c r="A218" t="s">
        <v>593</v>
      </c>
      <c r="B218" t="str" cm="1">
        <f t="array" ref="B218">IFERROR(INDEX(#REF!,MATCH(1,(ISNUMBER(SEARCH(#REF!,CLEAN(TRIM(A218)))))*1,0)),"Revisar")</f>
        <v>Revisar</v>
      </c>
    </row>
    <row r="219" spans="1:2" x14ac:dyDescent="0.35">
      <c r="A219" t="s">
        <v>594</v>
      </c>
      <c r="B219" t="str" cm="1">
        <f t="array" ref="B219">IFERROR(INDEX(#REF!,MATCH(1,(ISNUMBER(SEARCH(#REF!,CLEAN(TRIM(A219)))))*1,0)),"Revisar")</f>
        <v>Revisar</v>
      </c>
    </row>
    <row r="220" spans="1:2" x14ac:dyDescent="0.35">
      <c r="A220" t="s">
        <v>396</v>
      </c>
      <c r="B220" t="str" cm="1">
        <f t="array" ref="B220">IFERROR(INDEX(#REF!,MATCH(1,(ISNUMBER(SEARCH(#REF!,CLEAN(TRIM(A220)))))*1,0)),"Revisar")</f>
        <v>Revisar</v>
      </c>
    </row>
    <row r="221" spans="1:2" x14ac:dyDescent="0.35">
      <c r="A221" t="s">
        <v>595</v>
      </c>
      <c r="B221" t="str" cm="1">
        <f t="array" ref="B221">IFERROR(INDEX(#REF!,MATCH(1,(ISNUMBER(SEARCH(#REF!,CLEAN(TRIM(A221)))))*1,0)),"Revisar")</f>
        <v>Revisar</v>
      </c>
    </row>
    <row r="222" spans="1:2" x14ac:dyDescent="0.35">
      <c r="A222" t="s">
        <v>397</v>
      </c>
      <c r="B222" t="str" cm="1">
        <f t="array" ref="B222">IFERROR(INDEX(#REF!,MATCH(1,(ISNUMBER(SEARCH(#REF!,CLEAN(TRIM(A222)))))*1,0)),"Revisar")</f>
        <v>Revisar</v>
      </c>
    </row>
    <row r="223" spans="1:2" x14ac:dyDescent="0.35">
      <c r="A223" t="s">
        <v>871</v>
      </c>
      <c r="B223" t="str" cm="1">
        <f t="array" ref="B223">IFERROR(INDEX(#REF!,MATCH(1,(ISNUMBER(SEARCH(#REF!,CLEAN(TRIM(A223)))))*1,0)),"Revisar")</f>
        <v>Revisar</v>
      </c>
    </row>
    <row r="224" spans="1:2" x14ac:dyDescent="0.35">
      <c r="A224" t="s">
        <v>596</v>
      </c>
      <c r="B224" t="str" cm="1">
        <f t="array" ref="B224">IFERROR(INDEX(#REF!,MATCH(1,(ISNUMBER(SEARCH(#REF!,CLEAN(TRIM(A224)))))*1,0)),"Revisar")</f>
        <v>Revisar</v>
      </c>
    </row>
    <row r="225" spans="1:2" x14ac:dyDescent="0.35">
      <c r="A225" t="s">
        <v>597</v>
      </c>
      <c r="B225" t="str" cm="1">
        <f t="array" ref="B225">IFERROR(INDEX(#REF!,MATCH(1,(ISNUMBER(SEARCH(#REF!,CLEAN(TRIM(A225)))))*1,0)),"Revisar")</f>
        <v>Revisar</v>
      </c>
    </row>
    <row r="226" spans="1:2" x14ac:dyDescent="0.35">
      <c r="A226" t="s">
        <v>598</v>
      </c>
      <c r="B226" t="str" cm="1">
        <f t="array" ref="B226">IFERROR(INDEX(#REF!,MATCH(1,(ISNUMBER(SEARCH(#REF!,CLEAN(TRIM(A226)))))*1,0)),"Revisar")</f>
        <v>Revisar</v>
      </c>
    </row>
    <row r="227" spans="1:2" x14ac:dyDescent="0.35">
      <c r="A227" t="s">
        <v>599</v>
      </c>
      <c r="B227" t="str" cm="1">
        <f t="array" ref="B227">IFERROR(INDEX(#REF!,MATCH(1,(ISNUMBER(SEARCH(#REF!,CLEAN(TRIM(A227)))))*1,0)),"Revisar")</f>
        <v>Revisar</v>
      </c>
    </row>
    <row r="228" spans="1:2" x14ac:dyDescent="0.35">
      <c r="A228" t="s">
        <v>600</v>
      </c>
      <c r="B228" t="str" cm="1">
        <f t="array" ref="B228">IFERROR(INDEX(#REF!,MATCH(1,(ISNUMBER(SEARCH(#REF!,CLEAN(TRIM(A228)))))*1,0)),"Revisar")</f>
        <v>Revisar</v>
      </c>
    </row>
    <row r="229" spans="1:2" x14ac:dyDescent="0.35">
      <c r="A229" t="s">
        <v>601</v>
      </c>
      <c r="B229" t="str" cm="1">
        <f t="array" ref="B229">IFERROR(INDEX(#REF!,MATCH(1,(ISNUMBER(SEARCH(#REF!,CLEAN(TRIM(A229)))))*1,0)),"Revisar")</f>
        <v>Revisar</v>
      </c>
    </row>
    <row r="230" spans="1:2" x14ac:dyDescent="0.35">
      <c r="A230" t="s">
        <v>602</v>
      </c>
      <c r="B230" t="str" cm="1">
        <f t="array" ref="B230">IFERROR(INDEX(#REF!,MATCH(1,(ISNUMBER(SEARCH(#REF!,CLEAN(TRIM(A230)))))*1,0)),"Revisar")</f>
        <v>Revisar</v>
      </c>
    </row>
    <row r="231" spans="1:2" x14ac:dyDescent="0.35">
      <c r="A231" t="s">
        <v>872</v>
      </c>
      <c r="B231" t="str" cm="1">
        <f t="array" ref="B231">IFERROR(INDEX(#REF!,MATCH(1,(ISNUMBER(SEARCH(#REF!,CLEAN(TRIM(A231)))))*1,0)),"Revisar")</f>
        <v>Revisar</v>
      </c>
    </row>
    <row r="232" spans="1:2" x14ac:dyDescent="0.35">
      <c r="A232" t="s">
        <v>873</v>
      </c>
      <c r="B232" t="str" cm="1">
        <f t="array" ref="B232">IFERROR(INDEX(#REF!,MATCH(1,(ISNUMBER(SEARCH(#REF!,CLEAN(TRIM(A232)))))*1,0)),"Revisar")</f>
        <v>Revisar</v>
      </c>
    </row>
    <row r="233" spans="1:2" x14ac:dyDescent="0.35">
      <c r="A233" t="s">
        <v>603</v>
      </c>
      <c r="B233" t="str" cm="1">
        <f t="array" ref="B233">IFERROR(INDEX(#REF!,MATCH(1,(ISNUMBER(SEARCH(#REF!,CLEAN(TRIM(A233)))))*1,0)),"Revisar")</f>
        <v>Revisar</v>
      </c>
    </row>
    <row r="234" spans="1:2" x14ac:dyDescent="0.35">
      <c r="A234" t="s">
        <v>604</v>
      </c>
      <c r="B234" t="str" cm="1">
        <f t="array" ref="B234">IFERROR(INDEX(#REF!,MATCH(1,(ISNUMBER(SEARCH(#REF!,CLEAN(TRIM(A234)))))*1,0)),"Revisar")</f>
        <v>Revisar</v>
      </c>
    </row>
    <row r="235" spans="1:2" x14ac:dyDescent="0.35">
      <c r="A235" t="s">
        <v>874</v>
      </c>
      <c r="B235" t="str" cm="1">
        <f t="array" ref="B235">IFERROR(INDEX(#REF!,MATCH(1,(ISNUMBER(SEARCH(#REF!,CLEAN(TRIM(A235)))))*1,0)),"Revisar")</f>
        <v>Revisar</v>
      </c>
    </row>
    <row r="236" spans="1:2" x14ac:dyDescent="0.35">
      <c r="A236" t="s">
        <v>605</v>
      </c>
      <c r="B236" t="str" cm="1">
        <f t="array" ref="B236">IFERROR(INDEX(#REF!,MATCH(1,(ISNUMBER(SEARCH(#REF!,CLEAN(TRIM(A236)))))*1,0)),"Revisar")</f>
        <v>Revisar</v>
      </c>
    </row>
    <row r="237" spans="1:2" x14ac:dyDescent="0.35">
      <c r="A237" t="s">
        <v>606</v>
      </c>
      <c r="B237" t="str" cm="1">
        <f t="array" ref="B237">IFERROR(INDEX(#REF!,MATCH(1,(ISNUMBER(SEARCH(#REF!,CLEAN(TRIM(A237)))))*1,0)),"Revisar")</f>
        <v>Revisar</v>
      </c>
    </row>
    <row r="238" spans="1:2" x14ac:dyDescent="0.35">
      <c r="A238" t="s">
        <v>607</v>
      </c>
      <c r="B238" t="str" cm="1">
        <f t="array" ref="B238">IFERROR(INDEX(#REF!,MATCH(1,(ISNUMBER(SEARCH(#REF!,CLEAN(TRIM(A238)))))*1,0)),"Revisar")</f>
        <v>Revisar</v>
      </c>
    </row>
    <row r="239" spans="1:2" x14ac:dyDescent="0.35">
      <c r="A239" t="s">
        <v>608</v>
      </c>
      <c r="B239" t="str" cm="1">
        <f t="array" ref="B239">IFERROR(INDEX(#REF!,MATCH(1,(ISNUMBER(SEARCH(#REF!,CLEAN(TRIM(A239)))))*1,0)),"Revisar")</f>
        <v>Revisar</v>
      </c>
    </row>
    <row r="240" spans="1:2" x14ac:dyDescent="0.35">
      <c r="A240" t="s">
        <v>609</v>
      </c>
      <c r="B240" t="str" cm="1">
        <f t="array" ref="B240">IFERROR(INDEX(#REF!,MATCH(1,(ISNUMBER(SEARCH(#REF!,CLEAN(TRIM(A240)))))*1,0)),"Revisar")</f>
        <v>Revisar</v>
      </c>
    </row>
    <row r="241" spans="1:2" x14ac:dyDescent="0.35">
      <c r="A241" t="s">
        <v>610</v>
      </c>
      <c r="B241" t="str" cm="1">
        <f t="array" ref="B241">IFERROR(INDEX(#REF!,MATCH(1,(ISNUMBER(SEARCH(#REF!,CLEAN(TRIM(A241)))))*1,0)),"Revisar")</f>
        <v>Revisar</v>
      </c>
    </row>
    <row r="242" spans="1:2" x14ac:dyDescent="0.35">
      <c r="A242" t="s">
        <v>611</v>
      </c>
      <c r="B242" t="str" cm="1">
        <f t="array" ref="B242">IFERROR(INDEX(#REF!,MATCH(1,(ISNUMBER(SEARCH(#REF!,CLEAN(TRIM(A242)))))*1,0)),"Revisar")</f>
        <v>Revisar</v>
      </c>
    </row>
    <row r="243" spans="1:2" x14ac:dyDescent="0.35">
      <c r="A243" t="s">
        <v>398</v>
      </c>
      <c r="B243" t="str" cm="1">
        <f t="array" ref="B243">IFERROR(INDEX(#REF!,MATCH(1,(ISNUMBER(SEARCH(#REF!,CLEAN(TRIM(A243)))))*1,0)),"Revisar")</f>
        <v>Revisar</v>
      </c>
    </row>
    <row r="244" spans="1:2" x14ac:dyDescent="0.35">
      <c r="A244" t="s">
        <v>398</v>
      </c>
      <c r="B244" t="str" cm="1">
        <f t="array" ref="B244">IFERROR(INDEX(#REF!,MATCH(1,(ISNUMBER(SEARCH(#REF!,CLEAN(TRIM(A244)))))*1,0)),"Revisar")</f>
        <v>Revisar</v>
      </c>
    </row>
    <row r="245" spans="1:2" x14ac:dyDescent="0.35">
      <c r="A245" t="s">
        <v>612</v>
      </c>
      <c r="B245" t="str" cm="1">
        <f t="array" ref="B245">IFERROR(INDEX(#REF!,MATCH(1,(ISNUMBER(SEARCH(#REF!,CLEAN(TRIM(A245)))))*1,0)),"Revisar")</f>
        <v>Revisar</v>
      </c>
    </row>
    <row r="246" spans="1:2" x14ac:dyDescent="0.35">
      <c r="A246" t="s">
        <v>613</v>
      </c>
      <c r="B246" t="str" cm="1">
        <f t="array" ref="B246">IFERROR(INDEX(#REF!,MATCH(1,(ISNUMBER(SEARCH(#REF!,CLEAN(TRIM(A246)))))*1,0)),"Revisar")</f>
        <v>Revisar</v>
      </c>
    </row>
    <row r="247" spans="1:2" x14ac:dyDescent="0.35">
      <c r="A247" t="s">
        <v>614</v>
      </c>
      <c r="B247" t="str" cm="1">
        <f t="array" ref="B247">IFERROR(INDEX(#REF!,MATCH(1,(ISNUMBER(SEARCH(#REF!,CLEAN(TRIM(A247)))))*1,0)),"Revisar")</f>
        <v>Revisar</v>
      </c>
    </row>
    <row r="248" spans="1:2" x14ac:dyDescent="0.35">
      <c r="A248" t="s">
        <v>615</v>
      </c>
      <c r="B248" t="str" cm="1">
        <f t="array" ref="B248">IFERROR(INDEX(#REF!,MATCH(1,(ISNUMBER(SEARCH(#REF!,CLEAN(TRIM(A248)))))*1,0)),"Revisar")</f>
        <v>Revisar</v>
      </c>
    </row>
    <row r="249" spans="1:2" x14ac:dyDescent="0.35">
      <c r="A249" t="s">
        <v>616</v>
      </c>
      <c r="B249" t="str" cm="1">
        <f t="array" ref="B249">IFERROR(INDEX(#REF!,MATCH(1,(ISNUMBER(SEARCH(#REF!,CLEAN(TRIM(A249)))))*1,0)),"Revisar")</f>
        <v>Revisar</v>
      </c>
    </row>
    <row r="250" spans="1:2" x14ac:dyDescent="0.35">
      <c r="A250" t="s">
        <v>617</v>
      </c>
      <c r="B250" t="str" cm="1">
        <f t="array" ref="B250">IFERROR(INDEX(#REF!,MATCH(1,(ISNUMBER(SEARCH(#REF!,CLEAN(TRIM(A250)))))*1,0)),"Revisar")</f>
        <v>Revisar</v>
      </c>
    </row>
    <row r="251" spans="1:2" x14ac:dyDescent="0.35">
      <c r="A251" t="s">
        <v>618</v>
      </c>
      <c r="B251" t="str" cm="1">
        <f t="array" ref="B251">IFERROR(INDEX(#REF!,MATCH(1,(ISNUMBER(SEARCH(#REF!,CLEAN(TRIM(A251)))))*1,0)),"Revisar")</f>
        <v>Revisar</v>
      </c>
    </row>
    <row r="252" spans="1:2" x14ac:dyDescent="0.35">
      <c r="A252" t="s">
        <v>619</v>
      </c>
      <c r="B252" t="str" cm="1">
        <f t="array" ref="B252">IFERROR(INDEX(#REF!,MATCH(1,(ISNUMBER(SEARCH(#REF!,CLEAN(TRIM(A252)))))*1,0)),"Revisar")</f>
        <v>Revisar</v>
      </c>
    </row>
    <row r="253" spans="1:2" x14ac:dyDescent="0.35">
      <c r="A253" t="s">
        <v>619</v>
      </c>
      <c r="B253" t="str" cm="1">
        <f t="array" ref="B253">IFERROR(INDEX(#REF!,MATCH(1,(ISNUMBER(SEARCH(#REF!,CLEAN(TRIM(A253)))))*1,0)),"Revisar")</f>
        <v>Revisar</v>
      </c>
    </row>
    <row r="254" spans="1:2" x14ac:dyDescent="0.35">
      <c r="A254" t="s">
        <v>875</v>
      </c>
      <c r="B254" t="str" cm="1">
        <f t="array" ref="B254">IFERROR(INDEX(#REF!,MATCH(1,(ISNUMBER(SEARCH(#REF!,CLEAN(TRIM(A254)))))*1,0)),"Revisar")</f>
        <v>Revisar</v>
      </c>
    </row>
    <row r="255" spans="1:2" x14ac:dyDescent="0.35">
      <c r="A255" t="s">
        <v>399</v>
      </c>
      <c r="B255" t="str" cm="1">
        <f t="array" ref="B255">IFERROR(INDEX(#REF!,MATCH(1,(ISNUMBER(SEARCH(#REF!,CLEAN(TRIM(A255)))))*1,0)),"Revisar")</f>
        <v>Revisar</v>
      </c>
    </row>
    <row r="256" spans="1:2" x14ac:dyDescent="0.35">
      <c r="A256" t="s">
        <v>399</v>
      </c>
      <c r="B256" t="str" cm="1">
        <f t="array" ref="B256">IFERROR(INDEX(#REF!,MATCH(1,(ISNUMBER(SEARCH(#REF!,CLEAN(TRIM(A256)))))*1,0)),"Revisar")</f>
        <v>Revisar</v>
      </c>
    </row>
    <row r="257" spans="1:2" x14ac:dyDescent="0.35">
      <c r="A257" t="s">
        <v>399</v>
      </c>
      <c r="B257" t="str" cm="1">
        <f t="array" ref="B257">IFERROR(INDEX(#REF!,MATCH(1,(ISNUMBER(SEARCH(#REF!,CLEAN(TRIM(A257)))))*1,0)),"Revisar")</f>
        <v>Revisar</v>
      </c>
    </row>
    <row r="258" spans="1:2" x14ac:dyDescent="0.35">
      <c r="A258" t="s">
        <v>399</v>
      </c>
      <c r="B258" t="str" cm="1">
        <f t="array" ref="B258">IFERROR(INDEX(#REF!,MATCH(1,(ISNUMBER(SEARCH(#REF!,CLEAN(TRIM(A258)))))*1,0)),"Revisar")</f>
        <v>Revisar</v>
      </c>
    </row>
    <row r="259" spans="1:2" x14ac:dyDescent="0.35">
      <c r="A259" t="s">
        <v>399</v>
      </c>
      <c r="B259" t="str" cm="1">
        <f t="array" ref="B259">IFERROR(INDEX(#REF!,MATCH(1,(ISNUMBER(SEARCH(#REF!,CLEAN(TRIM(A259)))))*1,0)),"Revisar")</f>
        <v>Revisar</v>
      </c>
    </row>
    <row r="260" spans="1:2" x14ac:dyDescent="0.35">
      <c r="A260" t="s">
        <v>876</v>
      </c>
      <c r="B260" t="str" cm="1">
        <f t="array" ref="B260">IFERROR(INDEX(#REF!,MATCH(1,(ISNUMBER(SEARCH(#REF!,CLEAN(TRIM(A260)))))*1,0)),"Revisar")</f>
        <v>Revisar</v>
      </c>
    </row>
    <row r="261" spans="1:2" x14ac:dyDescent="0.35">
      <c r="A261" t="s">
        <v>400</v>
      </c>
      <c r="B261" t="str" cm="1">
        <f t="array" ref="B261">IFERROR(INDEX(#REF!,MATCH(1,(ISNUMBER(SEARCH(#REF!,CLEAN(TRIM(A261)))))*1,0)),"Revisar")</f>
        <v>Revisar</v>
      </c>
    </row>
    <row r="262" spans="1:2" x14ac:dyDescent="0.35">
      <c r="A262" t="s">
        <v>400</v>
      </c>
      <c r="B262" t="str" cm="1">
        <f t="array" ref="B262">IFERROR(INDEX(#REF!,MATCH(1,(ISNUMBER(SEARCH(#REF!,CLEAN(TRIM(A262)))))*1,0)),"Revisar")</f>
        <v>Revisar</v>
      </c>
    </row>
    <row r="263" spans="1:2" x14ac:dyDescent="0.35">
      <c r="A263" t="s">
        <v>401</v>
      </c>
      <c r="B263" t="str" cm="1">
        <f t="array" ref="B263">IFERROR(INDEX(#REF!,MATCH(1,(ISNUMBER(SEARCH(#REF!,CLEAN(TRIM(A263)))))*1,0)),"Revisar")</f>
        <v>Revisar</v>
      </c>
    </row>
    <row r="264" spans="1:2" x14ac:dyDescent="0.35">
      <c r="A264" t="s">
        <v>620</v>
      </c>
      <c r="B264" t="str" cm="1">
        <f t="array" ref="B264">IFERROR(INDEX(#REF!,MATCH(1,(ISNUMBER(SEARCH(#REF!,CLEAN(TRIM(A264)))))*1,0)),"Revisar")</f>
        <v>Revisar</v>
      </c>
    </row>
    <row r="265" spans="1:2" x14ac:dyDescent="0.35">
      <c r="A265" t="s">
        <v>621</v>
      </c>
      <c r="B265" t="str" cm="1">
        <f t="array" ref="B265">IFERROR(INDEX(#REF!,MATCH(1,(ISNUMBER(SEARCH(#REF!,CLEAN(TRIM(A265)))))*1,0)),"Revisar")</f>
        <v>Revisar</v>
      </c>
    </row>
    <row r="266" spans="1:2" x14ac:dyDescent="0.35">
      <c r="A266" t="s">
        <v>877</v>
      </c>
      <c r="B266" t="str" cm="1">
        <f t="array" ref="B266">IFERROR(INDEX(#REF!,MATCH(1,(ISNUMBER(SEARCH(#REF!,CLEAN(TRIM(A266)))))*1,0)),"Revisar")</f>
        <v>Revisar</v>
      </c>
    </row>
    <row r="267" spans="1:2" x14ac:dyDescent="0.35">
      <c r="A267" t="s">
        <v>622</v>
      </c>
      <c r="B267" t="str" cm="1">
        <f t="array" ref="B267">IFERROR(INDEX(#REF!,MATCH(1,(ISNUMBER(SEARCH(#REF!,CLEAN(TRIM(A267)))))*1,0)),"Revisar")</f>
        <v>Revisar</v>
      </c>
    </row>
    <row r="268" spans="1:2" x14ac:dyDescent="0.35">
      <c r="A268" t="s">
        <v>623</v>
      </c>
      <c r="B268" t="str" cm="1">
        <f t="array" ref="B268">IFERROR(INDEX(#REF!,MATCH(1,(ISNUMBER(SEARCH(#REF!,CLEAN(TRIM(A268)))))*1,0)),"Revisar")</f>
        <v>Revisar</v>
      </c>
    </row>
    <row r="269" spans="1:2" x14ac:dyDescent="0.35">
      <c r="A269" t="s">
        <v>624</v>
      </c>
      <c r="B269" t="str" cm="1">
        <f t="array" ref="B269">IFERROR(INDEX(#REF!,MATCH(1,(ISNUMBER(SEARCH(#REF!,CLEAN(TRIM(A269)))))*1,0)),"Revisar")</f>
        <v>Revisar</v>
      </c>
    </row>
    <row r="270" spans="1:2" x14ac:dyDescent="0.35">
      <c r="A270" t="s">
        <v>625</v>
      </c>
      <c r="B270" t="str" cm="1">
        <f t="array" ref="B270">IFERROR(INDEX(#REF!,MATCH(1,(ISNUMBER(SEARCH(#REF!,CLEAN(TRIM(A270)))))*1,0)),"Revisar")</f>
        <v>Revisar</v>
      </c>
    </row>
    <row r="271" spans="1:2" x14ac:dyDescent="0.35">
      <c r="A271" t="s">
        <v>626</v>
      </c>
      <c r="B271" t="str" cm="1">
        <f t="array" ref="B271">IFERROR(INDEX(#REF!,MATCH(1,(ISNUMBER(SEARCH(#REF!,CLEAN(TRIM(A271)))))*1,0)),"Revisar")</f>
        <v>Revisar</v>
      </c>
    </row>
    <row r="272" spans="1:2" x14ac:dyDescent="0.35">
      <c r="A272" t="s">
        <v>627</v>
      </c>
      <c r="B272" t="str" cm="1">
        <f t="array" ref="B272">IFERROR(INDEX(#REF!,MATCH(1,(ISNUMBER(SEARCH(#REF!,CLEAN(TRIM(A272)))))*1,0)),"Revisar")</f>
        <v>Revisar</v>
      </c>
    </row>
    <row r="273" spans="1:2" x14ac:dyDescent="0.35">
      <c r="A273" t="s">
        <v>628</v>
      </c>
      <c r="B273" t="str" cm="1">
        <f t="array" ref="B273">IFERROR(INDEX(#REF!,MATCH(1,(ISNUMBER(SEARCH(#REF!,CLEAN(TRIM(A273)))))*1,0)),"Revisar")</f>
        <v>Revisar</v>
      </c>
    </row>
    <row r="274" spans="1:2" x14ac:dyDescent="0.35">
      <c r="A274" t="s">
        <v>402</v>
      </c>
      <c r="B274" t="str" cm="1">
        <f t="array" ref="B274">IFERROR(INDEX(#REF!,MATCH(1,(ISNUMBER(SEARCH(#REF!,CLEAN(TRIM(A274)))))*1,0)),"Revisar")</f>
        <v>Revisar</v>
      </c>
    </row>
    <row r="275" spans="1:2" x14ac:dyDescent="0.35">
      <c r="A275" t="s">
        <v>629</v>
      </c>
      <c r="B275" t="str" cm="1">
        <f t="array" ref="B275">IFERROR(INDEX(#REF!,MATCH(1,(ISNUMBER(SEARCH(#REF!,CLEAN(TRIM(A275)))))*1,0)),"Revisar")</f>
        <v>Revisar</v>
      </c>
    </row>
    <row r="276" spans="1:2" x14ac:dyDescent="0.35">
      <c r="A276" t="s">
        <v>630</v>
      </c>
      <c r="B276" t="str" cm="1">
        <f t="array" ref="B276">IFERROR(INDEX(#REF!,MATCH(1,(ISNUMBER(SEARCH(#REF!,CLEAN(TRIM(A276)))))*1,0)),"Revisar")</f>
        <v>Revisar</v>
      </c>
    </row>
    <row r="277" spans="1:2" x14ac:dyDescent="0.35">
      <c r="A277" t="s">
        <v>878</v>
      </c>
      <c r="B277" t="str" cm="1">
        <f t="array" ref="B277">IFERROR(INDEX(#REF!,MATCH(1,(ISNUMBER(SEARCH(#REF!,CLEAN(TRIM(A277)))))*1,0)),"Revisar")</f>
        <v>Revisar</v>
      </c>
    </row>
    <row r="278" spans="1:2" x14ac:dyDescent="0.35">
      <c r="A278" t="s">
        <v>631</v>
      </c>
      <c r="B278" t="str" cm="1">
        <f t="array" ref="B278">IFERROR(INDEX(#REF!,MATCH(1,(ISNUMBER(SEARCH(#REF!,CLEAN(TRIM(A278)))))*1,0)),"Revisar")</f>
        <v>Revisar</v>
      </c>
    </row>
    <row r="279" spans="1:2" x14ac:dyDescent="0.35">
      <c r="A279" t="s">
        <v>632</v>
      </c>
      <c r="B279" t="str" cm="1">
        <f t="array" ref="B279">IFERROR(INDEX(#REF!,MATCH(1,(ISNUMBER(SEARCH(#REF!,CLEAN(TRIM(A279)))))*1,0)),"Revisar")</f>
        <v>Revisar</v>
      </c>
    </row>
    <row r="280" spans="1:2" x14ac:dyDescent="0.35">
      <c r="A280" t="s">
        <v>633</v>
      </c>
      <c r="B280" t="str" cm="1">
        <f t="array" ref="B280">IFERROR(INDEX(#REF!,MATCH(1,(ISNUMBER(SEARCH(#REF!,CLEAN(TRIM(A280)))))*1,0)),"Revisar")</f>
        <v>Revisar</v>
      </c>
    </row>
    <row r="281" spans="1:2" x14ac:dyDescent="0.35">
      <c r="A281" t="s">
        <v>634</v>
      </c>
      <c r="B281" t="str" cm="1">
        <f t="array" ref="B281">IFERROR(INDEX(#REF!,MATCH(1,(ISNUMBER(SEARCH(#REF!,CLEAN(TRIM(A281)))))*1,0)),"Revisar")</f>
        <v>Revisar</v>
      </c>
    </row>
    <row r="282" spans="1:2" x14ac:dyDescent="0.35">
      <c r="A282" t="s">
        <v>635</v>
      </c>
      <c r="B282" t="str" cm="1">
        <f t="array" ref="B282">IFERROR(INDEX(#REF!,MATCH(1,(ISNUMBER(SEARCH(#REF!,CLEAN(TRIM(A282)))))*1,0)),"Revisar")</f>
        <v>Revisar</v>
      </c>
    </row>
    <row r="283" spans="1:2" x14ac:dyDescent="0.35">
      <c r="A283" t="s">
        <v>636</v>
      </c>
      <c r="B283" t="str" cm="1">
        <f t="array" ref="B283">IFERROR(INDEX(#REF!,MATCH(1,(ISNUMBER(SEARCH(#REF!,CLEAN(TRIM(A283)))))*1,0)),"Revisar")</f>
        <v>Revisar</v>
      </c>
    </row>
    <row r="284" spans="1:2" x14ac:dyDescent="0.35">
      <c r="A284" t="s">
        <v>403</v>
      </c>
      <c r="B284" t="str" cm="1">
        <f t="array" ref="B284">IFERROR(INDEX(#REF!,MATCH(1,(ISNUMBER(SEARCH(#REF!,CLEAN(TRIM(A284)))))*1,0)),"Revisar")</f>
        <v>Revisar</v>
      </c>
    </row>
    <row r="285" spans="1:2" x14ac:dyDescent="0.35">
      <c r="A285" t="s">
        <v>403</v>
      </c>
      <c r="B285" t="str" cm="1">
        <f t="array" ref="B285">IFERROR(INDEX(#REF!,MATCH(1,(ISNUMBER(SEARCH(#REF!,CLEAN(TRIM(A285)))))*1,0)),"Revisar")</f>
        <v>Revisar</v>
      </c>
    </row>
    <row r="286" spans="1:2" x14ac:dyDescent="0.35">
      <c r="A286" t="s">
        <v>879</v>
      </c>
      <c r="B286" t="str" cm="1">
        <f t="array" ref="B286">IFERROR(INDEX(#REF!,MATCH(1,(ISNUMBER(SEARCH(#REF!,CLEAN(TRIM(A286)))))*1,0)),"Revisar")</f>
        <v>Revisar</v>
      </c>
    </row>
    <row r="287" spans="1:2" x14ac:dyDescent="0.35">
      <c r="A287" t="s">
        <v>637</v>
      </c>
      <c r="B287" t="str" cm="1">
        <f t="array" ref="B287">IFERROR(INDEX(#REF!,MATCH(1,(ISNUMBER(SEARCH(#REF!,CLEAN(TRIM(A287)))))*1,0)),"Revisar")</f>
        <v>Revisar</v>
      </c>
    </row>
    <row r="288" spans="1:2" x14ac:dyDescent="0.35">
      <c r="A288" t="s">
        <v>638</v>
      </c>
      <c r="B288" t="str" cm="1">
        <f t="array" ref="B288">IFERROR(INDEX(#REF!,MATCH(1,(ISNUMBER(SEARCH(#REF!,CLEAN(TRIM(A288)))))*1,0)),"Revisar")</f>
        <v>Revisar</v>
      </c>
    </row>
    <row r="289" spans="1:2" x14ac:dyDescent="0.35">
      <c r="A289" t="s">
        <v>639</v>
      </c>
      <c r="B289" t="str" cm="1">
        <f t="array" ref="B289">IFERROR(INDEX(#REF!,MATCH(1,(ISNUMBER(SEARCH(#REF!,CLEAN(TRIM(A289)))))*1,0)),"Revisar")</f>
        <v>Revisar</v>
      </c>
    </row>
    <row r="290" spans="1:2" x14ac:dyDescent="0.35">
      <c r="A290" t="s">
        <v>640</v>
      </c>
      <c r="B290" t="str" cm="1">
        <f t="array" ref="B290">IFERROR(INDEX(#REF!,MATCH(1,(ISNUMBER(SEARCH(#REF!,CLEAN(TRIM(A290)))))*1,0)),"Revisar")</f>
        <v>Revisar</v>
      </c>
    </row>
    <row r="291" spans="1:2" x14ac:dyDescent="0.35">
      <c r="A291" t="s">
        <v>641</v>
      </c>
      <c r="B291" t="str" cm="1">
        <f t="array" ref="B291">IFERROR(INDEX(#REF!,MATCH(1,(ISNUMBER(SEARCH(#REF!,CLEAN(TRIM(A291)))))*1,0)),"Revisar")</f>
        <v>Revisar</v>
      </c>
    </row>
    <row r="292" spans="1:2" x14ac:dyDescent="0.35">
      <c r="A292" t="s">
        <v>642</v>
      </c>
      <c r="B292" t="str" cm="1">
        <f t="array" ref="B292">IFERROR(INDEX(#REF!,MATCH(1,(ISNUMBER(SEARCH(#REF!,CLEAN(TRIM(A292)))))*1,0)),"Revisar")</f>
        <v>Revisar</v>
      </c>
    </row>
    <row r="293" spans="1:2" x14ac:dyDescent="0.35">
      <c r="A293" t="s">
        <v>643</v>
      </c>
      <c r="B293" t="str" cm="1">
        <f t="array" ref="B293">IFERROR(INDEX(#REF!,MATCH(1,(ISNUMBER(SEARCH(#REF!,CLEAN(TRIM(A293)))))*1,0)),"Revisar")</f>
        <v>Revisar</v>
      </c>
    </row>
    <row r="294" spans="1:2" x14ac:dyDescent="0.35">
      <c r="A294" t="s">
        <v>644</v>
      </c>
      <c r="B294" t="str" cm="1">
        <f t="array" ref="B294">IFERROR(INDEX(#REF!,MATCH(1,(ISNUMBER(SEARCH(#REF!,CLEAN(TRIM(A294)))))*1,0)),"Revisar")</f>
        <v>Revisar</v>
      </c>
    </row>
    <row r="295" spans="1:2" x14ac:dyDescent="0.35">
      <c r="A295" t="s">
        <v>645</v>
      </c>
      <c r="B295" t="str" cm="1">
        <f t="array" ref="B295">IFERROR(INDEX(#REF!,MATCH(1,(ISNUMBER(SEARCH(#REF!,CLEAN(TRIM(A295)))))*1,0)),"Revisar")</f>
        <v>Revisar</v>
      </c>
    </row>
    <row r="296" spans="1:2" x14ac:dyDescent="0.35">
      <c r="A296" t="s">
        <v>646</v>
      </c>
      <c r="B296" t="str" cm="1">
        <f t="array" ref="B296">IFERROR(INDEX(#REF!,MATCH(1,(ISNUMBER(SEARCH(#REF!,CLEAN(TRIM(A296)))))*1,0)),"Revisar")</f>
        <v>Revisar</v>
      </c>
    </row>
    <row r="297" spans="1:2" x14ac:dyDescent="0.35">
      <c r="A297" t="s">
        <v>647</v>
      </c>
      <c r="B297" t="str" cm="1">
        <f t="array" ref="B297">IFERROR(INDEX(#REF!,MATCH(1,(ISNUMBER(SEARCH(#REF!,CLEAN(TRIM(A297)))))*1,0)),"Revisar")</f>
        <v>Revisar</v>
      </c>
    </row>
    <row r="298" spans="1:2" x14ac:dyDescent="0.35">
      <c r="A298" t="s">
        <v>648</v>
      </c>
      <c r="B298" t="str" cm="1">
        <f t="array" ref="B298">IFERROR(INDEX(#REF!,MATCH(1,(ISNUMBER(SEARCH(#REF!,CLEAN(TRIM(A298)))))*1,0)),"Revisar")</f>
        <v>Revisar</v>
      </c>
    </row>
    <row r="299" spans="1:2" x14ac:dyDescent="0.35">
      <c r="A299" t="s">
        <v>649</v>
      </c>
      <c r="B299" t="str" cm="1">
        <f t="array" ref="B299">IFERROR(INDEX(#REF!,MATCH(1,(ISNUMBER(SEARCH(#REF!,CLEAN(TRIM(A299)))))*1,0)),"Revisar")</f>
        <v>Revisar</v>
      </c>
    </row>
    <row r="300" spans="1:2" x14ac:dyDescent="0.35">
      <c r="A300" t="s">
        <v>650</v>
      </c>
      <c r="B300" t="str" cm="1">
        <f t="array" ref="B300">IFERROR(INDEX(#REF!,MATCH(1,(ISNUMBER(SEARCH(#REF!,CLEAN(TRIM(A300)))))*1,0)),"Revisar")</f>
        <v>Revisar</v>
      </c>
    </row>
    <row r="301" spans="1:2" x14ac:dyDescent="0.35">
      <c r="A301" t="s">
        <v>404</v>
      </c>
      <c r="B301" t="str" cm="1">
        <f t="array" ref="B301">IFERROR(INDEX(#REF!,MATCH(1,(ISNUMBER(SEARCH(#REF!,CLEAN(TRIM(A301)))))*1,0)),"Revisar")</f>
        <v>Revisar</v>
      </c>
    </row>
    <row r="302" spans="1:2" x14ac:dyDescent="0.35">
      <c r="A302" t="s">
        <v>880</v>
      </c>
      <c r="B302" t="str" cm="1">
        <f t="array" ref="B302">IFERROR(INDEX(#REF!,MATCH(1,(ISNUMBER(SEARCH(#REF!,CLEAN(TRIM(A302)))))*1,0)),"Revisar")</f>
        <v>Revisar</v>
      </c>
    </row>
    <row r="303" spans="1:2" x14ac:dyDescent="0.35">
      <c r="A303" t="s">
        <v>651</v>
      </c>
      <c r="B303" t="str" cm="1">
        <f t="array" ref="B303">IFERROR(INDEX(#REF!,MATCH(1,(ISNUMBER(SEARCH(#REF!,CLEAN(TRIM(A303)))))*1,0)),"Revisar")</f>
        <v>Revisar</v>
      </c>
    </row>
    <row r="304" spans="1:2" x14ac:dyDescent="0.35">
      <c r="A304" t="s">
        <v>652</v>
      </c>
      <c r="B304" t="str" cm="1">
        <f t="array" ref="B304">IFERROR(INDEX(#REF!,MATCH(1,(ISNUMBER(SEARCH(#REF!,CLEAN(TRIM(A304)))))*1,0)),"Revisar")</f>
        <v>Revisar</v>
      </c>
    </row>
    <row r="305" spans="1:2" x14ac:dyDescent="0.35">
      <c r="A305" t="s">
        <v>653</v>
      </c>
      <c r="B305" t="str" cm="1">
        <f t="array" ref="B305">IFERROR(INDEX(#REF!,MATCH(1,(ISNUMBER(SEARCH(#REF!,CLEAN(TRIM(A305)))))*1,0)),"Revisar")</f>
        <v>Revisar</v>
      </c>
    </row>
    <row r="306" spans="1:2" x14ac:dyDescent="0.35">
      <c r="A306" t="s">
        <v>405</v>
      </c>
      <c r="B306" t="str" cm="1">
        <f t="array" ref="B306">IFERROR(INDEX(#REF!,MATCH(1,(ISNUMBER(SEARCH(#REF!,CLEAN(TRIM(A306)))))*1,0)),"Revisar")</f>
        <v>Revisar</v>
      </c>
    </row>
    <row r="307" spans="1:2" x14ac:dyDescent="0.35">
      <c r="A307" t="s">
        <v>881</v>
      </c>
      <c r="B307" t="str" cm="1">
        <f t="array" ref="B307">IFERROR(INDEX(#REF!,MATCH(1,(ISNUMBER(SEARCH(#REF!,CLEAN(TRIM(A307)))))*1,0)),"Revisar")</f>
        <v>Revisar</v>
      </c>
    </row>
    <row r="308" spans="1:2" x14ac:dyDescent="0.35">
      <c r="A308" t="s">
        <v>654</v>
      </c>
      <c r="B308" t="str" cm="1">
        <f t="array" ref="B308">IFERROR(INDEX(#REF!,MATCH(1,(ISNUMBER(SEARCH(#REF!,CLEAN(TRIM(A308)))))*1,0)),"Revisar")</f>
        <v>Revisar</v>
      </c>
    </row>
    <row r="309" spans="1:2" x14ac:dyDescent="0.35">
      <c r="A309" t="s">
        <v>655</v>
      </c>
      <c r="B309" t="str" cm="1">
        <f t="array" ref="B309">IFERROR(INDEX(#REF!,MATCH(1,(ISNUMBER(SEARCH(#REF!,CLEAN(TRIM(A309)))))*1,0)),"Revisar")</f>
        <v>Revisar</v>
      </c>
    </row>
    <row r="310" spans="1:2" x14ac:dyDescent="0.35">
      <c r="A310" t="s">
        <v>656</v>
      </c>
      <c r="B310" t="str" cm="1">
        <f t="array" ref="B310">IFERROR(INDEX(#REF!,MATCH(1,(ISNUMBER(SEARCH(#REF!,CLEAN(TRIM(A310)))))*1,0)),"Revisar")</f>
        <v>Revisar</v>
      </c>
    </row>
    <row r="311" spans="1:2" x14ac:dyDescent="0.35">
      <c r="A311" t="s">
        <v>657</v>
      </c>
      <c r="B311" t="str" cm="1">
        <f t="array" ref="B311">IFERROR(INDEX(#REF!,MATCH(1,(ISNUMBER(SEARCH(#REF!,CLEAN(TRIM(A311)))))*1,0)),"Revisar")</f>
        <v>Revisar</v>
      </c>
    </row>
    <row r="312" spans="1:2" x14ac:dyDescent="0.35">
      <c r="A312" t="s">
        <v>406</v>
      </c>
      <c r="B312" t="str" cm="1">
        <f t="array" ref="B312">IFERROR(INDEX(#REF!,MATCH(1,(ISNUMBER(SEARCH(#REF!,CLEAN(TRIM(A312)))))*1,0)),"Revisar")</f>
        <v>Revisar</v>
      </c>
    </row>
    <row r="313" spans="1:2" x14ac:dyDescent="0.35">
      <c r="A313" t="s">
        <v>882</v>
      </c>
      <c r="B313" t="str" cm="1">
        <f t="array" ref="B313">IFERROR(INDEX(#REF!,MATCH(1,(ISNUMBER(SEARCH(#REF!,CLEAN(TRIM(A313)))))*1,0)),"Revisar")</f>
        <v>Revisar</v>
      </c>
    </row>
    <row r="314" spans="1:2" x14ac:dyDescent="0.35">
      <c r="A314" t="s">
        <v>658</v>
      </c>
      <c r="B314" t="str" cm="1">
        <f t="array" ref="B314">IFERROR(INDEX(#REF!,MATCH(1,(ISNUMBER(SEARCH(#REF!,CLEAN(TRIM(A314)))))*1,0)),"Revisar")</f>
        <v>Revisar</v>
      </c>
    </row>
    <row r="315" spans="1:2" x14ac:dyDescent="0.35">
      <c r="A315" t="s">
        <v>407</v>
      </c>
      <c r="B315" t="str" cm="1">
        <f t="array" ref="B315">IFERROR(INDEX(#REF!,MATCH(1,(ISNUMBER(SEARCH(#REF!,CLEAN(TRIM(A315)))))*1,0)),"Revisar")</f>
        <v>Revisar</v>
      </c>
    </row>
    <row r="316" spans="1:2" x14ac:dyDescent="0.35">
      <c r="A316" t="s">
        <v>883</v>
      </c>
      <c r="B316" t="str" cm="1">
        <f t="array" ref="B316">IFERROR(INDEX(#REF!,MATCH(1,(ISNUMBER(SEARCH(#REF!,CLEAN(TRIM(A316)))))*1,0)),"Revisar")</f>
        <v>Revisar</v>
      </c>
    </row>
    <row r="317" spans="1:2" x14ac:dyDescent="0.35">
      <c r="A317" t="s">
        <v>659</v>
      </c>
      <c r="B317" t="str" cm="1">
        <f t="array" ref="B317">IFERROR(INDEX(#REF!,MATCH(1,(ISNUMBER(SEARCH(#REF!,CLEAN(TRIM(A317)))))*1,0)),"Revisar")</f>
        <v>Revisar</v>
      </c>
    </row>
    <row r="318" spans="1:2" x14ac:dyDescent="0.35">
      <c r="A318" t="s">
        <v>660</v>
      </c>
      <c r="B318" t="str" cm="1">
        <f t="array" ref="B318">IFERROR(INDEX(#REF!,MATCH(1,(ISNUMBER(SEARCH(#REF!,CLEAN(TRIM(A318)))))*1,0)),"Revisar")</f>
        <v>Revisar</v>
      </c>
    </row>
    <row r="319" spans="1:2" x14ac:dyDescent="0.35">
      <c r="A319" t="s">
        <v>661</v>
      </c>
      <c r="B319" t="str" cm="1">
        <f t="array" ref="B319">IFERROR(INDEX(#REF!,MATCH(1,(ISNUMBER(SEARCH(#REF!,CLEAN(TRIM(A319)))))*1,0)),"Revisar")</f>
        <v>Revisar</v>
      </c>
    </row>
    <row r="320" spans="1:2" x14ac:dyDescent="0.35">
      <c r="A320" t="s">
        <v>662</v>
      </c>
      <c r="B320" t="str" cm="1">
        <f t="array" ref="B320">IFERROR(INDEX(#REF!,MATCH(1,(ISNUMBER(SEARCH(#REF!,CLEAN(TRIM(A320)))))*1,0)),"Revisar")</f>
        <v>Revisar</v>
      </c>
    </row>
    <row r="321" spans="1:2" x14ac:dyDescent="0.35">
      <c r="A321" t="s">
        <v>663</v>
      </c>
      <c r="B321" t="str" cm="1">
        <f t="array" ref="B321">IFERROR(INDEX(#REF!,MATCH(1,(ISNUMBER(SEARCH(#REF!,CLEAN(TRIM(A321)))))*1,0)),"Revisar")</f>
        <v>Revisar</v>
      </c>
    </row>
    <row r="322" spans="1:2" x14ac:dyDescent="0.35">
      <c r="A322" t="s">
        <v>664</v>
      </c>
      <c r="B322" t="str" cm="1">
        <f t="array" ref="B322">IFERROR(INDEX(#REF!,MATCH(1,(ISNUMBER(SEARCH(#REF!,CLEAN(TRIM(A322)))))*1,0)),"Revisar")</f>
        <v>Revisar</v>
      </c>
    </row>
    <row r="323" spans="1:2" x14ac:dyDescent="0.35">
      <c r="A323" t="s">
        <v>665</v>
      </c>
      <c r="B323" t="str" cm="1">
        <f t="array" ref="B323">IFERROR(INDEX(#REF!,MATCH(1,(ISNUMBER(SEARCH(#REF!,CLEAN(TRIM(A323)))))*1,0)),"Revisar")</f>
        <v>Revisar</v>
      </c>
    </row>
    <row r="324" spans="1:2" x14ac:dyDescent="0.35">
      <c r="A324" t="s">
        <v>666</v>
      </c>
      <c r="B324" t="str" cm="1">
        <f t="array" ref="B324">IFERROR(INDEX(#REF!,MATCH(1,(ISNUMBER(SEARCH(#REF!,CLEAN(TRIM(A324)))))*1,0)),"Revisar")</f>
        <v>Revisar</v>
      </c>
    </row>
    <row r="325" spans="1:2" x14ac:dyDescent="0.35">
      <c r="A325" t="s">
        <v>667</v>
      </c>
      <c r="B325" t="str" cm="1">
        <f t="array" ref="B325">IFERROR(INDEX(#REF!,MATCH(1,(ISNUMBER(SEARCH(#REF!,CLEAN(TRIM(A325)))))*1,0)),"Revisar")</f>
        <v>Revisar</v>
      </c>
    </row>
    <row r="326" spans="1:2" x14ac:dyDescent="0.35">
      <c r="A326" t="s">
        <v>668</v>
      </c>
      <c r="B326" t="str" cm="1">
        <f t="array" ref="B326">IFERROR(INDEX(#REF!,MATCH(1,(ISNUMBER(SEARCH(#REF!,CLEAN(TRIM(A326)))))*1,0)),"Revisar")</f>
        <v>Revisar</v>
      </c>
    </row>
    <row r="327" spans="1:2" x14ac:dyDescent="0.35">
      <c r="A327" t="s">
        <v>669</v>
      </c>
      <c r="B327" t="str" cm="1">
        <f t="array" ref="B327">IFERROR(INDEX(#REF!,MATCH(1,(ISNUMBER(SEARCH(#REF!,CLEAN(TRIM(A327)))))*1,0)),"Revisar")</f>
        <v>Revisar</v>
      </c>
    </row>
    <row r="328" spans="1:2" x14ac:dyDescent="0.35">
      <c r="A328" t="s">
        <v>884</v>
      </c>
      <c r="B328" t="str" cm="1">
        <f t="array" ref="B328">IFERROR(INDEX(#REF!,MATCH(1,(ISNUMBER(SEARCH(#REF!,CLEAN(TRIM(A328)))))*1,0)),"Revisar")</f>
        <v>Revisar</v>
      </c>
    </row>
    <row r="329" spans="1:2" x14ac:dyDescent="0.35">
      <c r="A329" t="s">
        <v>670</v>
      </c>
      <c r="B329" t="str" cm="1">
        <f t="array" ref="B329">IFERROR(INDEX(#REF!,MATCH(1,(ISNUMBER(SEARCH(#REF!,CLEAN(TRIM(A329)))))*1,0)),"Revisar")</f>
        <v>Revisar</v>
      </c>
    </row>
    <row r="330" spans="1:2" x14ac:dyDescent="0.35">
      <c r="A330" t="s">
        <v>671</v>
      </c>
      <c r="B330" t="str" cm="1">
        <f t="array" ref="B330">IFERROR(INDEX(#REF!,MATCH(1,(ISNUMBER(SEARCH(#REF!,CLEAN(TRIM(A330)))))*1,0)),"Revisar")</f>
        <v>Revisar</v>
      </c>
    </row>
    <row r="331" spans="1:2" x14ac:dyDescent="0.35">
      <c r="A331" t="s">
        <v>408</v>
      </c>
      <c r="B331" t="str" cm="1">
        <f t="array" ref="B331">IFERROR(INDEX(#REF!,MATCH(1,(ISNUMBER(SEARCH(#REF!,CLEAN(TRIM(A331)))))*1,0)),"Revisar")</f>
        <v>Revisar</v>
      </c>
    </row>
    <row r="332" spans="1:2" x14ac:dyDescent="0.35">
      <c r="A332" t="s">
        <v>885</v>
      </c>
      <c r="B332" t="str" cm="1">
        <f t="array" ref="B332">IFERROR(INDEX(#REF!,MATCH(1,(ISNUMBER(SEARCH(#REF!,CLEAN(TRIM(A332)))))*1,0)),"Revisar")</f>
        <v>Revisar</v>
      </c>
    </row>
    <row r="333" spans="1:2" x14ac:dyDescent="0.35">
      <c r="A333" t="s">
        <v>885</v>
      </c>
      <c r="B333" t="str" cm="1">
        <f t="array" ref="B333">IFERROR(INDEX(#REF!,MATCH(1,(ISNUMBER(SEARCH(#REF!,CLEAN(TRIM(A333)))))*1,0)),"Revisar")</f>
        <v>Revisar</v>
      </c>
    </row>
    <row r="334" spans="1:2" x14ac:dyDescent="0.35">
      <c r="A334" t="s">
        <v>886</v>
      </c>
      <c r="B334" t="str" cm="1">
        <f t="array" ref="B334">IFERROR(INDEX(#REF!,MATCH(1,(ISNUMBER(SEARCH(#REF!,CLEAN(TRIM(A334)))))*1,0)),"Revisar")</f>
        <v>Revisar</v>
      </c>
    </row>
    <row r="335" spans="1:2" x14ac:dyDescent="0.35">
      <c r="A335" t="s">
        <v>887</v>
      </c>
      <c r="B335" t="str" cm="1">
        <f t="array" ref="B335">IFERROR(INDEX(#REF!,MATCH(1,(ISNUMBER(SEARCH(#REF!,CLEAN(TRIM(A335)))))*1,0)),"Revisar")</f>
        <v>Revisar</v>
      </c>
    </row>
    <row r="336" spans="1:2" x14ac:dyDescent="0.35">
      <c r="A336" t="s">
        <v>888</v>
      </c>
      <c r="B336" t="str" cm="1">
        <f t="array" ref="B336">IFERROR(INDEX(#REF!,MATCH(1,(ISNUMBER(SEARCH(#REF!,CLEAN(TRIM(A336)))))*1,0)),"Revisar")</f>
        <v>Revisar</v>
      </c>
    </row>
    <row r="337" spans="1:2" x14ac:dyDescent="0.35">
      <c r="A337" t="s">
        <v>889</v>
      </c>
      <c r="B337" t="str" cm="1">
        <f t="array" ref="B337">IFERROR(INDEX(#REF!,MATCH(1,(ISNUMBER(SEARCH(#REF!,CLEAN(TRIM(A337)))))*1,0)),"Revisar")</f>
        <v>Revisar</v>
      </c>
    </row>
    <row r="338" spans="1:2" x14ac:dyDescent="0.35">
      <c r="A338" t="s">
        <v>672</v>
      </c>
      <c r="B338" t="str" cm="1">
        <f t="array" ref="B338">IFERROR(INDEX(#REF!,MATCH(1,(ISNUMBER(SEARCH(#REF!,CLEAN(TRIM(A338)))))*1,0)),"Revisar")</f>
        <v>Revisar</v>
      </c>
    </row>
    <row r="339" spans="1:2" x14ac:dyDescent="0.35">
      <c r="A339" t="s">
        <v>673</v>
      </c>
      <c r="B339" t="str" cm="1">
        <f t="array" ref="B339">IFERROR(INDEX(#REF!,MATCH(1,(ISNUMBER(SEARCH(#REF!,CLEAN(TRIM(A339)))))*1,0)),"Revisar")</f>
        <v>Revisar</v>
      </c>
    </row>
    <row r="340" spans="1:2" x14ac:dyDescent="0.35">
      <c r="A340" t="s">
        <v>674</v>
      </c>
      <c r="B340" t="str" cm="1">
        <f t="array" ref="B340">IFERROR(INDEX(#REF!,MATCH(1,(ISNUMBER(SEARCH(#REF!,CLEAN(TRIM(A340)))))*1,0)),"Revisar")</f>
        <v>Revisar</v>
      </c>
    </row>
    <row r="341" spans="1:2" x14ac:dyDescent="0.35">
      <c r="A341" t="s">
        <v>675</v>
      </c>
      <c r="B341" t="str" cm="1">
        <f t="array" ref="B341">IFERROR(INDEX(#REF!,MATCH(1,(ISNUMBER(SEARCH(#REF!,CLEAN(TRIM(A341)))))*1,0)),"Revisar")</f>
        <v>Revisar</v>
      </c>
    </row>
    <row r="342" spans="1:2" x14ac:dyDescent="0.35">
      <c r="A342" t="s">
        <v>676</v>
      </c>
      <c r="B342" t="str" cm="1">
        <f t="array" ref="B342">IFERROR(INDEX(#REF!,MATCH(1,(ISNUMBER(SEARCH(#REF!,CLEAN(TRIM(A342)))))*1,0)),"Revisar")</f>
        <v>Revisar</v>
      </c>
    </row>
    <row r="343" spans="1:2" x14ac:dyDescent="0.35">
      <c r="A343" t="s">
        <v>677</v>
      </c>
      <c r="B343" t="str" cm="1">
        <f t="array" ref="B343">IFERROR(INDEX(#REF!,MATCH(1,(ISNUMBER(SEARCH(#REF!,CLEAN(TRIM(A343)))))*1,0)),"Revisar")</f>
        <v>Revisar</v>
      </c>
    </row>
    <row r="344" spans="1:2" x14ac:dyDescent="0.35">
      <c r="A344" t="s">
        <v>678</v>
      </c>
      <c r="B344" t="str" cm="1">
        <f t="array" ref="B344">IFERROR(INDEX(#REF!,MATCH(1,(ISNUMBER(SEARCH(#REF!,CLEAN(TRIM(A344)))))*1,0)),"Revisar")</f>
        <v>Revisar</v>
      </c>
    </row>
    <row r="345" spans="1:2" x14ac:dyDescent="0.35">
      <c r="A345" t="s">
        <v>679</v>
      </c>
      <c r="B345" t="str" cm="1">
        <f t="array" ref="B345">IFERROR(INDEX(#REF!,MATCH(1,(ISNUMBER(SEARCH(#REF!,CLEAN(TRIM(A345)))))*1,0)),"Revisar")</f>
        <v>Revisar</v>
      </c>
    </row>
    <row r="346" spans="1:2" x14ac:dyDescent="0.35">
      <c r="A346" t="s">
        <v>680</v>
      </c>
      <c r="B346" t="str" cm="1">
        <f t="array" ref="B346">IFERROR(INDEX(#REF!,MATCH(1,(ISNUMBER(SEARCH(#REF!,CLEAN(TRIM(A346)))))*1,0)),"Revisar")</f>
        <v>Revisar</v>
      </c>
    </row>
    <row r="347" spans="1:2" x14ac:dyDescent="0.35">
      <c r="A347" t="s">
        <v>409</v>
      </c>
      <c r="B347" t="str" cm="1">
        <f t="array" ref="B347">IFERROR(INDEX(#REF!,MATCH(1,(ISNUMBER(SEARCH(#REF!,CLEAN(TRIM(A347)))))*1,0)),"Revisar")</f>
        <v>Revisar</v>
      </c>
    </row>
    <row r="348" spans="1:2" x14ac:dyDescent="0.35">
      <c r="A348" t="s">
        <v>409</v>
      </c>
      <c r="B348" t="str" cm="1">
        <f t="array" ref="B348">IFERROR(INDEX(#REF!,MATCH(1,(ISNUMBER(SEARCH(#REF!,CLEAN(TRIM(A348)))))*1,0)),"Revisar")</f>
        <v>Revisar</v>
      </c>
    </row>
    <row r="349" spans="1:2" x14ac:dyDescent="0.35">
      <c r="A349" t="s">
        <v>681</v>
      </c>
      <c r="B349" t="str" cm="1">
        <f t="array" ref="B349">IFERROR(INDEX(#REF!,MATCH(1,(ISNUMBER(SEARCH(#REF!,CLEAN(TRIM(A349)))))*1,0)),"Revisar")</f>
        <v>Revisar</v>
      </c>
    </row>
    <row r="350" spans="1:2" x14ac:dyDescent="0.35">
      <c r="A350" t="s">
        <v>682</v>
      </c>
      <c r="B350" t="str" cm="1">
        <f t="array" ref="B350">IFERROR(INDEX(#REF!,MATCH(1,(ISNUMBER(SEARCH(#REF!,CLEAN(TRIM(A350)))))*1,0)),"Revisar")</f>
        <v>Revisar</v>
      </c>
    </row>
    <row r="351" spans="1:2" x14ac:dyDescent="0.35">
      <c r="A351" t="s">
        <v>683</v>
      </c>
      <c r="B351" t="str" cm="1">
        <f t="array" ref="B351">IFERROR(INDEX(#REF!,MATCH(1,(ISNUMBER(SEARCH(#REF!,CLEAN(TRIM(A351)))))*1,0)),"Revisar")</f>
        <v>Revisar</v>
      </c>
    </row>
    <row r="352" spans="1:2" x14ac:dyDescent="0.35">
      <c r="A352" t="s">
        <v>446</v>
      </c>
      <c r="B352" t="str" cm="1">
        <f t="array" ref="B352">IFERROR(INDEX(#REF!,MATCH(1,(ISNUMBER(SEARCH(#REF!,CLEAN(TRIM(A352)))))*1,0)),"Revisar")</f>
        <v>Revisar</v>
      </c>
    </row>
    <row r="353" spans="1:2" x14ac:dyDescent="0.35">
      <c r="A353" t="s">
        <v>446</v>
      </c>
      <c r="B353" t="str" cm="1">
        <f t="array" ref="B353">IFERROR(INDEX(#REF!,MATCH(1,(ISNUMBER(SEARCH(#REF!,CLEAN(TRIM(A353)))))*1,0)),"Revisar")</f>
        <v>Revisar</v>
      </c>
    </row>
    <row r="354" spans="1:2" x14ac:dyDescent="0.35">
      <c r="A354" t="s">
        <v>685</v>
      </c>
      <c r="B354" t="str" cm="1">
        <f t="array" ref="B354">IFERROR(INDEX(#REF!,MATCH(1,(ISNUMBER(SEARCH(#REF!,CLEAN(TRIM(A354)))))*1,0)),"Revisar")</f>
        <v>Revisar</v>
      </c>
    </row>
    <row r="355" spans="1:2" x14ac:dyDescent="0.35">
      <c r="A355" t="s">
        <v>686</v>
      </c>
      <c r="B355" t="str" cm="1">
        <f t="array" ref="B355">IFERROR(INDEX(#REF!,MATCH(1,(ISNUMBER(SEARCH(#REF!,CLEAN(TRIM(A355)))))*1,0)),"Revisar")</f>
        <v>Revisar</v>
      </c>
    </row>
    <row r="356" spans="1:2" x14ac:dyDescent="0.35">
      <c r="A356" t="s">
        <v>410</v>
      </c>
      <c r="B356" t="str" cm="1">
        <f t="array" ref="B356">IFERROR(INDEX(#REF!,MATCH(1,(ISNUMBER(SEARCH(#REF!,CLEAN(TRIM(A356)))))*1,0)),"Revisar")</f>
        <v>Revisar</v>
      </c>
    </row>
    <row r="357" spans="1:2" x14ac:dyDescent="0.35">
      <c r="A357" t="s">
        <v>410</v>
      </c>
      <c r="B357" t="str" cm="1">
        <f t="array" ref="B357">IFERROR(INDEX(#REF!,MATCH(1,(ISNUMBER(SEARCH(#REF!,CLEAN(TRIM(A357)))))*1,0)),"Revisar")</f>
        <v>Revisar</v>
      </c>
    </row>
    <row r="358" spans="1:2" x14ac:dyDescent="0.35">
      <c r="A358" t="s">
        <v>687</v>
      </c>
      <c r="B358" t="str" cm="1">
        <f t="array" ref="B358">IFERROR(INDEX(#REF!,MATCH(1,(ISNUMBER(SEARCH(#REF!,CLEAN(TRIM(A358)))))*1,0)),"Revisar")</f>
        <v>Revisar</v>
      </c>
    </row>
    <row r="359" spans="1:2" x14ac:dyDescent="0.35">
      <c r="A359" t="s">
        <v>688</v>
      </c>
      <c r="B359" t="str" cm="1">
        <f t="array" ref="B359">IFERROR(INDEX(#REF!,MATCH(1,(ISNUMBER(SEARCH(#REF!,CLEAN(TRIM(A359)))))*1,0)),"Revisar")</f>
        <v>Revisar</v>
      </c>
    </row>
    <row r="360" spans="1:2" x14ac:dyDescent="0.35">
      <c r="A360" t="s">
        <v>689</v>
      </c>
      <c r="B360" t="str" cm="1">
        <f t="array" ref="B360">IFERROR(INDEX(#REF!,MATCH(1,(ISNUMBER(SEARCH(#REF!,CLEAN(TRIM(A360)))))*1,0)),"Revisar")</f>
        <v>Revisar</v>
      </c>
    </row>
    <row r="361" spans="1:2" x14ac:dyDescent="0.35">
      <c r="A361" t="s">
        <v>448</v>
      </c>
      <c r="B361" t="str" cm="1">
        <f t="array" ref="B361">IFERROR(INDEX(#REF!,MATCH(1,(ISNUMBER(SEARCH(#REF!,CLEAN(TRIM(A361)))))*1,0)),"Revisar")</f>
        <v>Revisar</v>
      </c>
    </row>
    <row r="362" spans="1:2" x14ac:dyDescent="0.35">
      <c r="A362" t="s">
        <v>448</v>
      </c>
      <c r="B362" t="str" cm="1">
        <f t="array" ref="B362">IFERROR(INDEX(#REF!,MATCH(1,(ISNUMBER(SEARCH(#REF!,CLEAN(TRIM(A362)))))*1,0)),"Revisar")</f>
        <v>Revisar</v>
      </c>
    </row>
    <row r="363" spans="1:2" x14ac:dyDescent="0.35">
      <c r="A363" t="s">
        <v>448</v>
      </c>
      <c r="B363" t="str" cm="1">
        <f t="array" ref="B363">IFERROR(INDEX(#REF!,MATCH(1,(ISNUMBER(SEARCH(#REF!,CLEAN(TRIM(A363)))))*1,0)),"Revisar")</f>
        <v>Revisar</v>
      </c>
    </row>
    <row r="364" spans="1:2" x14ac:dyDescent="0.35">
      <c r="A364" t="s">
        <v>448</v>
      </c>
      <c r="B364" t="str" cm="1">
        <f t="array" ref="B364">IFERROR(INDEX(#REF!,MATCH(1,(ISNUMBER(SEARCH(#REF!,CLEAN(TRIM(A364)))))*1,0)),"Revisar")</f>
        <v>Revisar</v>
      </c>
    </row>
    <row r="365" spans="1:2" x14ac:dyDescent="0.35">
      <c r="A365" t="s">
        <v>691</v>
      </c>
      <c r="B365" t="str" cm="1">
        <f t="array" ref="B365">IFERROR(INDEX(#REF!,MATCH(1,(ISNUMBER(SEARCH(#REF!,CLEAN(TRIM(A365)))))*1,0)),"Revisar")</f>
        <v>Revisar</v>
      </c>
    </row>
    <row r="366" spans="1:2" x14ac:dyDescent="0.35">
      <c r="A366" t="s">
        <v>411</v>
      </c>
      <c r="B366" t="str" cm="1">
        <f t="array" ref="B366">IFERROR(INDEX(#REF!,MATCH(1,(ISNUMBER(SEARCH(#REF!,CLEAN(TRIM(A366)))))*1,0)),"Revisar")</f>
        <v>Revisar</v>
      </c>
    </row>
    <row r="367" spans="1:2" x14ac:dyDescent="0.35">
      <c r="A367" t="s">
        <v>412</v>
      </c>
      <c r="B367" t="str" cm="1">
        <f t="array" ref="B367">IFERROR(INDEX(#REF!,MATCH(1,(ISNUMBER(SEARCH(#REF!,CLEAN(TRIM(A367)))))*1,0)),"Revisar")</f>
        <v>Revisar</v>
      </c>
    </row>
    <row r="368" spans="1:2" x14ac:dyDescent="0.35">
      <c r="A368" t="s">
        <v>692</v>
      </c>
      <c r="B368" t="str" cm="1">
        <f t="array" ref="B368">IFERROR(INDEX(#REF!,MATCH(1,(ISNUMBER(SEARCH(#REF!,CLEAN(TRIM(A368)))))*1,0)),"Revisar")</f>
        <v>Revisar</v>
      </c>
    </row>
    <row r="369" spans="1:2" x14ac:dyDescent="0.35">
      <c r="A369" t="s">
        <v>692</v>
      </c>
      <c r="B369" t="str" cm="1">
        <f t="array" ref="B369">IFERROR(INDEX(#REF!,MATCH(1,(ISNUMBER(SEARCH(#REF!,CLEAN(TRIM(A369)))))*1,0)),"Revisar")</f>
        <v>Revisar</v>
      </c>
    </row>
    <row r="370" spans="1:2" x14ac:dyDescent="0.35">
      <c r="A370" t="s">
        <v>693</v>
      </c>
      <c r="B370" t="str" cm="1">
        <f t="array" ref="B370">IFERROR(INDEX(#REF!,MATCH(1,(ISNUMBER(SEARCH(#REF!,CLEAN(TRIM(A370)))))*1,0)),"Revisar")</f>
        <v>Revisar</v>
      </c>
    </row>
    <row r="371" spans="1:2" x14ac:dyDescent="0.35">
      <c r="A371" t="s">
        <v>694</v>
      </c>
      <c r="B371" t="str" cm="1">
        <f t="array" ref="B371">IFERROR(INDEX(#REF!,MATCH(1,(ISNUMBER(SEARCH(#REF!,CLEAN(TRIM(A371)))))*1,0)),"Revisar")</f>
        <v>Revisar</v>
      </c>
    </row>
    <row r="372" spans="1:2" x14ac:dyDescent="0.35">
      <c r="A372" t="s">
        <v>695</v>
      </c>
      <c r="B372" t="str" cm="1">
        <f t="array" ref="B372">IFERROR(INDEX(#REF!,MATCH(1,(ISNUMBER(SEARCH(#REF!,CLEAN(TRIM(A372)))))*1,0)),"Revisar")</f>
        <v>Revisar</v>
      </c>
    </row>
    <row r="373" spans="1:2" x14ac:dyDescent="0.35">
      <c r="A373" t="s">
        <v>696</v>
      </c>
      <c r="B373" t="str" cm="1">
        <f t="array" ref="B373">IFERROR(INDEX(#REF!,MATCH(1,(ISNUMBER(SEARCH(#REF!,CLEAN(TRIM(A373)))))*1,0)),"Revisar")</f>
        <v>Revisar</v>
      </c>
    </row>
    <row r="374" spans="1:2" x14ac:dyDescent="0.35">
      <c r="A374" t="s">
        <v>697</v>
      </c>
      <c r="B374" t="str" cm="1">
        <f t="array" ref="B374">IFERROR(INDEX(#REF!,MATCH(1,(ISNUMBER(SEARCH(#REF!,CLEAN(TRIM(A374)))))*1,0)),"Revisar")</f>
        <v>Revisar</v>
      </c>
    </row>
    <row r="375" spans="1:2" x14ac:dyDescent="0.35">
      <c r="A375" t="s">
        <v>698</v>
      </c>
      <c r="B375" t="str" cm="1">
        <f t="array" ref="B375">IFERROR(INDEX(#REF!,MATCH(1,(ISNUMBER(SEARCH(#REF!,CLEAN(TRIM(A375)))))*1,0)),"Revisar")</f>
        <v>Revisar</v>
      </c>
    </row>
    <row r="376" spans="1:2" x14ac:dyDescent="0.35">
      <c r="A376" t="s">
        <v>699</v>
      </c>
      <c r="B376" t="str" cm="1">
        <f t="array" ref="B376">IFERROR(INDEX(#REF!,MATCH(1,(ISNUMBER(SEARCH(#REF!,CLEAN(TRIM(A376)))))*1,0)),"Revisar")</f>
        <v>Revisar</v>
      </c>
    </row>
    <row r="377" spans="1:2" x14ac:dyDescent="0.35">
      <c r="A377" t="s">
        <v>699</v>
      </c>
      <c r="B377" t="str" cm="1">
        <f t="array" ref="B377">IFERROR(INDEX(#REF!,MATCH(1,(ISNUMBER(SEARCH(#REF!,CLEAN(TRIM(A377)))))*1,0)),"Revisar")</f>
        <v>Revisar</v>
      </c>
    </row>
    <row r="378" spans="1:2" x14ac:dyDescent="0.35">
      <c r="A378" t="s">
        <v>700</v>
      </c>
      <c r="B378" t="str" cm="1">
        <f t="array" ref="B378">IFERROR(INDEX(#REF!,MATCH(1,(ISNUMBER(SEARCH(#REF!,CLEAN(TRIM(A378)))))*1,0)),"Revisar")</f>
        <v>Revisar</v>
      </c>
    </row>
    <row r="379" spans="1:2" x14ac:dyDescent="0.35">
      <c r="A379" t="s">
        <v>701</v>
      </c>
      <c r="B379" t="str" cm="1">
        <f t="array" ref="B379">IFERROR(INDEX(#REF!,MATCH(1,(ISNUMBER(SEARCH(#REF!,CLEAN(TRIM(A379)))))*1,0)),"Revisar")</f>
        <v>Revisar</v>
      </c>
    </row>
    <row r="380" spans="1:2" x14ac:dyDescent="0.35">
      <c r="A380" t="s">
        <v>702</v>
      </c>
      <c r="B380" t="str" cm="1">
        <f t="array" ref="B380">IFERROR(INDEX(#REF!,MATCH(1,(ISNUMBER(SEARCH(#REF!,CLEAN(TRIM(A380)))))*1,0)),"Revisar")</f>
        <v>Revisar</v>
      </c>
    </row>
    <row r="381" spans="1:2" x14ac:dyDescent="0.35">
      <c r="A381" t="s">
        <v>703</v>
      </c>
      <c r="B381" t="str" cm="1">
        <f t="array" ref="B381">IFERROR(INDEX(#REF!,MATCH(1,(ISNUMBER(SEARCH(#REF!,CLEAN(TRIM(A381)))))*1,0)),"Revisar")</f>
        <v>Revisar</v>
      </c>
    </row>
    <row r="382" spans="1:2" x14ac:dyDescent="0.35">
      <c r="A382" t="s">
        <v>704</v>
      </c>
      <c r="B382" t="str" cm="1">
        <f t="array" ref="B382">IFERROR(INDEX(#REF!,MATCH(1,(ISNUMBER(SEARCH(#REF!,CLEAN(TRIM(A382)))))*1,0)),"Revisar")</f>
        <v>Revisar</v>
      </c>
    </row>
    <row r="383" spans="1:2" x14ac:dyDescent="0.35">
      <c r="A383" t="s">
        <v>705</v>
      </c>
      <c r="B383" t="str" cm="1">
        <f t="array" ref="B383">IFERROR(INDEX(#REF!,MATCH(1,(ISNUMBER(SEARCH(#REF!,CLEAN(TRIM(A383)))))*1,0)),"Revisar")</f>
        <v>Revisar</v>
      </c>
    </row>
    <row r="384" spans="1:2" x14ac:dyDescent="0.35">
      <c r="A384" t="s">
        <v>706</v>
      </c>
      <c r="B384" t="str" cm="1">
        <f t="array" ref="B384">IFERROR(INDEX(#REF!,MATCH(1,(ISNUMBER(SEARCH(#REF!,CLEAN(TRIM(A384)))))*1,0)),"Revisar")</f>
        <v>Revisar</v>
      </c>
    </row>
    <row r="385" spans="1:2" x14ac:dyDescent="0.35">
      <c r="A385" t="s">
        <v>707</v>
      </c>
      <c r="B385" t="str" cm="1">
        <f t="array" ref="B385">IFERROR(INDEX(#REF!,MATCH(1,(ISNUMBER(SEARCH(#REF!,CLEAN(TRIM(A385)))))*1,0)),"Revisar")</f>
        <v>Revisar</v>
      </c>
    </row>
    <row r="386" spans="1:2" x14ac:dyDescent="0.35">
      <c r="A386" t="s">
        <v>708</v>
      </c>
      <c r="B386" t="str" cm="1">
        <f t="array" ref="B386">IFERROR(INDEX(#REF!,MATCH(1,(ISNUMBER(SEARCH(#REF!,CLEAN(TRIM(A386)))))*1,0)),"Revisar")</f>
        <v>Revisar</v>
      </c>
    </row>
    <row r="387" spans="1:2" x14ac:dyDescent="0.35">
      <c r="A387" t="s">
        <v>709</v>
      </c>
      <c r="B387" t="str" cm="1">
        <f t="array" ref="B387">IFERROR(INDEX(#REF!,MATCH(1,(ISNUMBER(SEARCH(#REF!,CLEAN(TRIM(A387)))))*1,0)),"Revisar")</f>
        <v>Revisar</v>
      </c>
    </row>
    <row r="388" spans="1:2" x14ac:dyDescent="0.35">
      <c r="A388" t="s">
        <v>413</v>
      </c>
      <c r="B388" t="str" cm="1">
        <f t="array" ref="B388">IFERROR(INDEX(#REF!,MATCH(1,(ISNUMBER(SEARCH(#REF!,CLEAN(TRIM(A388)))))*1,0)),"Revisar")</f>
        <v>Revisar</v>
      </c>
    </row>
    <row r="389" spans="1:2" x14ac:dyDescent="0.35">
      <c r="A389" t="s">
        <v>414</v>
      </c>
      <c r="B389" t="str" cm="1">
        <f t="array" ref="B389">IFERROR(INDEX(#REF!,MATCH(1,(ISNUMBER(SEARCH(#REF!,CLEAN(TRIM(A389)))))*1,0)),"Revisar")</f>
        <v>Revisar</v>
      </c>
    </row>
    <row r="390" spans="1:2" x14ac:dyDescent="0.35">
      <c r="A390" t="s">
        <v>710</v>
      </c>
      <c r="B390" t="str" cm="1">
        <f t="array" ref="B390">IFERROR(INDEX(#REF!,MATCH(1,(ISNUMBER(SEARCH(#REF!,CLEAN(TRIM(A390)))))*1,0)),"Revisar")</f>
        <v>Revisar</v>
      </c>
    </row>
    <row r="391" spans="1:2" x14ac:dyDescent="0.35">
      <c r="A391" t="s">
        <v>711</v>
      </c>
      <c r="B391" t="str" cm="1">
        <f t="array" ref="B391">IFERROR(INDEX(#REF!,MATCH(1,(ISNUMBER(SEARCH(#REF!,CLEAN(TRIM(A391)))))*1,0)),"Revisar")</f>
        <v>Revisar</v>
      </c>
    </row>
    <row r="392" spans="1:2" x14ac:dyDescent="0.35">
      <c r="A392" t="s">
        <v>712</v>
      </c>
      <c r="B392" t="str" cm="1">
        <f t="array" ref="B392">IFERROR(INDEX(#REF!,MATCH(1,(ISNUMBER(SEARCH(#REF!,CLEAN(TRIM(A392)))))*1,0)),"Revisar")</f>
        <v>Revisar</v>
      </c>
    </row>
    <row r="393" spans="1:2" x14ac:dyDescent="0.35">
      <c r="A393" t="s">
        <v>713</v>
      </c>
      <c r="B393" t="str" cm="1">
        <f t="array" ref="B393">IFERROR(INDEX(#REF!,MATCH(1,(ISNUMBER(SEARCH(#REF!,CLEAN(TRIM(A393)))))*1,0)),"Revisar")</f>
        <v>Revisar</v>
      </c>
    </row>
    <row r="394" spans="1:2" x14ac:dyDescent="0.35">
      <c r="A394" t="s">
        <v>714</v>
      </c>
      <c r="B394" t="str" cm="1">
        <f t="array" ref="B394">IFERROR(INDEX(#REF!,MATCH(1,(ISNUMBER(SEARCH(#REF!,CLEAN(TRIM(A394)))))*1,0)),"Revisar")</f>
        <v>Revisar</v>
      </c>
    </row>
    <row r="395" spans="1:2" x14ac:dyDescent="0.35">
      <c r="A395" t="s">
        <v>715</v>
      </c>
      <c r="B395" t="str" cm="1">
        <f t="array" ref="B395">IFERROR(INDEX(#REF!,MATCH(1,(ISNUMBER(SEARCH(#REF!,CLEAN(TRIM(A395)))))*1,0)),"Revisar")</f>
        <v>Revisar</v>
      </c>
    </row>
    <row r="396" spans="1:2" x14ac:dyDescent="0.35">
      <c r="A396" t="s">
        <v>415</v>
      </c>
      <c r="B396" t="str" cm="1">
        <f t="array" ref="B396">IFERROR(INDEX(#REF!,MATCH(1,(ISNUMBER(SEARCH(#REF!,CLEAN(TRIM(A396)))))*1,0)),"Revisar")</f>
        <v>Revisar</v>
      </c>
    </row>
    <row r="397" spans="1:2" x14ac:dyDescent="0.35">
      <c r="A397" t="s">
        <v>716</v>
      </c>
      <c r="B397" t="str" cm="1">
        <f t="array" ref="B397">IFERROR(INDEX(#REF!,MATCH(1,(ISNUMBER(SEARCH(#REF!,CLEAN(TRIM(A397)))))*1,0)),"Revisar")</f>
        <v>Revisar</v>
      </c>
    </row>
    <row r="398" spans="1:2" x14ac:dyDescent="0.35">
      <c r="A398" t="s">
        <v>717</v>
      </c>
      <c r="B398" t="str" cm="1">
        <f t="array" ref="B398">IFERROR(INDEX(#REF!,MATCH(1,(ISNUMBER(SEARCH(#REF!,CLEAN(TRIM(A398)))))*1,0)),"Revisar")</f>
        <v>Revisar</v>
      </c>
    </row>
    <row r="399" spans="1:2" x14ac:dyDescent="0.35">
      <c r="A399" t="s">
        <v>718</v>
      </c>
      <c r="B399" t="str" cm="1">
        <f t="array" ref="B399">IFERROR(INDEX(#REF!,MATCH(1,(ISNUMBER(SEARCH(#REF!,CLEAN(TRIM(A399)))))*1,0)),"Revisar")</f>
        <v>Revisar</v>
      </c>
    </row>
    <row r="400" spans="1:2" x14ac:dyDescent="0.35">
      <c r="A400" t="s">
        <v>719</v>
      </c>
      <c r="B400" t="str" cm="1">
        <f t="array" ref="B400">IFERROR(INDEX(#REF!,MATCH(1,(ISNUMBER(SEARCH(#REF!,CLEAN(TRIM(A400)))))*1,0)),"Revisar")</f>
        <v>Revisar</v>
      </c>
    </row>
    <row r="401" spans="1:2" x14ac:dyDescent="0.35">
      <c r="A401" t="s">
        <v>720</v>
      </c>
      <c r="B401" t="str" cm="1">
        <f t="array" ref="B401">IFERROR(INDEX(#REF!,MATCH(1,(ISNUMBER(SEARCH(#REF!,CLEAN(TRIM(A401)))))*1,0)),"Revisar")</f>
        <v>Revisar</v>
      </c>
    </row>
    <row r="402" spans="1:2" x14ac:dyDescent="0.35">
      <c r="A402" t="s">
        <v>721</v>
      </c>
      <c r="B402" t="str" cm="1">
        <f t="array" ref="B402">IFERROR(INDEX(#REF!,MATCH(1,(ISNUMBER(SEARCH(#REF!,CLEAN(TRIM(A402)))))*1,0)),"Revisar")</f>
        <v>Revisar</v>
      </c>
    </row>
    <row r="403" spans="1:2" x14ac:dyDescent="0.35">
      <c r="A403" t="s">
        <v>890</v>
      </c>
      <c r="B403" t="str" cm="1">
        <f t="array" ref="B403">IFERROR(INDEX(#REF!,MATCH(1,(ISNUMBER(SEARCH(#REF!,CLEAN(TRIM(A403)))))*1,0)),"Revisar")</f>
        <v>Revisar</v>
      </c>
    </row>
    <row r="404" spans="1:2" x14ac:dyDescent="0.35">
      <c r="A404" t="s">
        <v>722</v>
      </c>
      <c r="B404" t="str" cm="1">
        <f t="array" ref="B404">IFERROR(INDEX(#REF!,MATCH(1,(ISNUMBER(SEARCH(#REF!,CLEAN(TRIM(A404)))))*1,0)),"Revisar")</f>
        <v>Revisar</v>
      </c>
    </row>
    <row r="405" spans="1:2" x14ac:dyDescent="0.35">
      <c r="A405" t="s">
        <v>723</v>
      </c>
      <c r="B405" t="str" cm="1">
        <f t="array" ref="B405">IFERROR(INDEX(#REF!,MATCH(1,(ISNUMBER(SEARCH(#REF!,CLEAN(TRIM(A405)))))*1,0)),"Revisar")</f>
        <v>Revisar</v>
      </c>
    </row>
    <row r="406" spans="1:2" x14ac:dyDescent="0.35">
      <c r="A406" t="s">
        <v>724</v>
      </c>
      <c r="B406" t="str" cm="1">
        <f t="array" ref="B406">IFERROR(INDEX(#REF!,MATCH(1,(ISNUMBER(SEARCH(#REF!,CLEAN(TRIM(A406)))))*1,0)),"Revisar")</f>
        <v>Revisar</v>
      </c>
    </row>
    <row r="407" spans="1:2" x14ac:dyDescent="0.35">
      <c r="A407" t="s">
        <v>725</v>
      </c>
      <c r="B407" t="str" cm="1">
        <f t="array" ref="B407">IFERROR(INDEX(#REF!,MATCH(1,(ISNUMBER(SEARCH(#REF!,CLEAN(TRIM(A407)))))*1,0)),"Revisar")</f>
        <v>Revisar</v>
      </c>
    </row>
    <row r="408" spans="1:2" x14ac:dyDescent="0.35">
      <c r="A408" t="s">
        <v>726</v>
      </c>
      <c r="B408" t="str" cm="1">
        <f t="array" ref="B408">IFERROR(INDEX(#REF!,MATCH(1,(ISNUMBER(SEARCH(#REF!,CLEAN(TRIM(A408)))))*1,0)),"Revisar")</f>
        <v>Revisar</v>
      </c>
    </row>
    <row r="409" spans="1:2" x14ac:dyDescent="0.35">
      <c r="A409" t="s">
        <v>416</v>
      </c>
      <c r="B409" t="str" cm="1">
        <f t="array" ref="B409">IFERROR(INDEX(#REF!,MATCH(1,(ISNUMBER(SEARCH(#REF!,CLEAN(TRIM(A409)))))*1,0)),"Revisar")</f>
        <v>Revisar</v>
      </c>
    </row>
    <row r="410" spans="1:2" x14ac:dyDescent="0.35">
      <c r="A410" t="s">
        <v>416</v>
      </c>
      <c r="B410" t="str" cm="1">
        <f t="array" ref="B410">IFERROR(INDEX(#REF!,MATCH(1,(ISNUMBER(SEARCH(#REF!,CLEAN(TRIM(A410)))))*1,0)),"Revisar")</f>
        <v>Revisar</v>
      </c>
    </row>
    <row r="411" spans="1:2" x14ac:dyDescent="0.35">
      <c r="A411" t="s">
        <v>727</v>
      </c>
      <c r="B411" t="str" cm="1">
        <f t="array" ref="B411">IFERROR(INDEX(#REF!,MATCH(1,(ISNUMBER(SEARCH(#REF!,CLEAN(TRIM(A411)))))*1,0)),"Revisar")</f>
        <v>Revisar</v>
      </c>
    </row>
    <row r="412" spans="1:2" x14ac:dyDescent="0.35">
      <c r="A412" t="s">
        <v>728</v>
      </c>
      <c r="B412" t="str" cm="1">
        <f t="array" ref="B412">IFERROR(INDEX(#REF!,MATCH(1,(ISNUMBER(SEARCH(#REF!,CLEAN(TRIM(A412)))))*1,0)),"Revisar")</f>
        <v>Revisar</v>
      </c>
    </row>
    <row r="413" spans="1:2" x14ac:dyDescent="0.35">
      <c r="A413" t="s">
        <v>729</v>
      </c>
      <c r="B413" t="str" cm="1">
        <f t="array" ref="B413">IFERROR(INDEX(#REF!,MATCH(1,(ISNUMBER(SEARCH(#REF!,CLEAN(TRIM(A413)))))*1,0)),"Revisar")</f>
        <v>Revisar</v>
      </c>
    </row>
    <row r="414" spans="1:2" x14ac:dyDescent="0.35">
      <c r="A414" t="s">
        <v>730</v>
      </c>
      <c r="B414" t="str" cm="1">
        <f t="array" ref="B414">IFERROR(INDEX(#REF!,MATCH(1,(ISNUMBER(SEARCH(#REF!,CLEAN(TRIM(A414)))))*1,0)),"Revisar")</f>
        <v>Revisar</v>
      </c>
    </row>
    <row r="415" spans="1:2" x14ac:dyDescent="0.35">
      <c r="A415" t="s">
        <v>417</v>
      </c>
      <c r="B415" t="str" cm="1">
        <f t="array" ref="B415">IFERROR(INDEX(#REF!,MATCH(1,(ISNUMBER(SEARCH(#REF!,CLEAN(TRIM(A415)))))*1,0)),"Revisar")</f>
        <v>Revisar</v>
      </c>
    </row>
    <row r="416" spans="1:2" x14ac:dyDescent="0.35">
      <c r="A416" t="s">
        <v>449</v>
      </c>
      <c r="B416" t="str" cm="1">
        <f t="array" ref="B416">IFERROR(INDEX(#REF!,MATCH(1,(ISNUMBER(SEARCH(#REF!,CLEAN(TRIM(A416)))))*1,0)),"Revisar")</f>
        <v>Revisar</v>
      </c>
    </row>
    <row r="417" spans="1:2" x14ac:dyDescent="0.35">
      <c r="A417" t="s">
        <v>449</v>
      </c>
      <c r="B417" t="str" cm="1">
        <f t="array" ref="B417">IFERROR(INDEX(#REF!,MATCH(1,(ISNUMBER(SEARCH(#REF!,CLEAN(TRIM(A417)))))*1,0)),"Revisar")</f>
        <v>Revisar</v>
      </c>
    </row>
    <row r="418" spans="1:2" x14ac:dyDescent="0.35">
      <c r="A418" t="s">
        <v>449</v>
      </c>
      <c r="B418" t="str" cm="1">
        <f t="array" ref="B418">IFERROR(INDEX(#REF!,MATCH(1,(ISNUMBER(SEARCH(#REF!,CLEAN(TRIM(A418)))))*1,0)),"Revisar")</f>
        <v>Revisar</v>
      </c>
    </row>
    <row r="419" spans="1:2" x14ac:dyDescent="0.35">
      <c r="A419" t="s">
        <v>732</v>
      </c>
      <c r="B419" t="str" cm="1">
        <f t="array" ref="B419">IFERROR(INDEX(#REF!,MATCH(1,(ISNUMBER(SEARCH(#REF!,CLEAN(TRIM(A419)))))*1,0)),"Revisar")</f>
        <v>Revisar</v>
      </c>
    </row>
    <row r="420" spans="1:2" x14ac:dyDescent="0.35">
      <c r="A420" t="s">
        <v>733</v>
      </c>
      <c r="B420" t="str" cm="1">
        <f t="array" ref="B420">IFERROR(INDEX(#REF!,MATCH(1,(ISNUMBER(SEARCH(#REF!,CLEAN(TRIM(A420)))))*1,0)),"Revisar")</f>
        <v>Revisar</v>
      </c>
    </row>
    <row r="421" spans="1:2" x14ac:dyDescent="0.35">
      <c r="A421" t="s">
        <v>734</v>
      </c>
      <c r="B421" t="str" cm="1">
        <f t="array" ref="B421">IFERROR(INDEX(#REF!,MATCH(1,(ISNUMBER(SEARCH(#REF!,CLEAN(TRIM(A421)))))*1,0)),"Revisar")</f>
        <v>Revisar</v>
      </c>
    </row>
    <row r="422" spans="1:2" x14ac:dyDescent="0.35">
      <c r="A422" t="s">
        <v>735</v>
      </c>
      <c r="B422" t="str" cm="1">
        <f t="array" ref="B422">IFERROR(INDEX(#REF!,MATCH(1,(ISNUMBER(SEARCH(#REF!,CLEAN(TRIM(A422)))))*1,0)),"Revisar")</f>
        <v>Revisar</v>
      </c>
    </row>
    <row r="423" spans="1:2" x14ac:dyDescent="0.35">
      <c r="A423" t="s">
        <v>736</v>
      </c>
      <c r="B423" t="str" cm="1">
        <f t="array" ref="B423">IFERROR(INDEX(#REF!,MATCH(1,(ISNUMBER(SEARCH(#REF!,CLEAN(TRIM(A423)))))*1,0)),"Revisar")</f>
        <v>Revisar</v>
      </c>
    </row>
    <row r="424" spans="1:2" x14ac:dyDescent="0.35">
      <c r="A424" t="s">
        <v>891</v>
      </c>
      <c r="B424" t="str" cm="1">
        <f t="array" ref="B424">IFERROR(INDEX(#REF!,MATCH(1,(ISNUMBER(SEARCH(#REF!,CLEAN(TRIM(A424)))))*1,0)),"Revisar")</f>
        <v>Revisar</v>
      </c>
    </row>
    <row r="425" spans="1:2" x14ac:dyDescent="0.35">
      <c r="A425" t="s">
        <v>737</v>
      </c>
      <c r="B425" t="str" cm="1">
        <f t="array" ref="B425">IFERROR(INDEX(#REF!,MATCH(1,(ISNUMBER(SEARCH(#REF!,CLEAN(TRIM(A425)))))*1,0)),"Revisar")</f>
        <v>Revisar</v>
      </c>
    </row>
    <row r="426" spans="1:2" x14ac:dyDescent="0.35">
      <c r="A426" t="s">
        <v>892</v>
      </c>
      <c r="B426" t="str" cm="1">
        <f t="array" ref="B426">IFERROR(INDEX(#REF!,MATCH(1,(ISNUMBER(SEARCH(#REF!,CLEAN(TRIM(A426)))))*1,0)),"Revisar")</f>
        <v>Revisar</v>
      </c>
    </row>
    <row r="427" spans="1:2" x14ac:dyDescent="0.35">
      <c r="A427" t="s">
        <v>738</v>
      </c>
      <c r="B427" t="str" cm="1">
        <f t="array" ref="B427">IFERROR(INDEX(#REF!,MATCH(1,(ISNUMBER(SEARCH(#REF!,CLEAN(TRIM(A427)))))*1,0)),"Revisar")</f>
        <v>Revisar</v>
      </c>
    </row>
    <row r="428" spans="1:2" x14ac:dyDescent="0.35">
      <c r="A428" t="s">
        <v>739</v>
      </c>
      <c r="B428" t="str" cm="1">
        <f t="array" ref="B428">IFERROR(INDEX(#REF!,MATCH(1,(ISNUMBER(SEARCH(#REF!,CLEAN(TRIM(A428)))))*1,0)),"Revisar")</f>
        <v>Revisar</v>
      </c>
    </row>
    <row r="429" spans="1:2" x14ac:dyDescent="0.35">
      <c r="A429" t="s">
        <v>740</v>
      </c>
      <c r="B429" t="str" cm="1">
        <f t="array" ref="B429">IFERROR(INDEX(#REF!,MATCH(1,(ISNUMBER(SEARCH(#REF!,CLEAN(TRIM(A429)))))*1,0)),"Revisar")</f>
        <v>Revisar</v>
      </c>
    </row>
    <row r="430" spans="1:2" x14ac:dyDescent="0.35">
      <c r="A430" t="s">
        <v>741</v>
      </c>
      <c r="B430" t="str" cm="1">
        <f t="array" ref="B430">IFERROR(INDEX(#REF!,MATCH(1,(ISNUMBER(SEARCH(#REF!,CLEAN(TRIM(A430)))))*1,0)),"Revisar")</f>
        <v>Revisar</v>
      </c>
    </row>
    <row r="431" spans="1:2" x14ac:dyDescent="0.35">
      <c r="A431" t="s">
        <v>742</v>
      </c>
      <c r="B431" t="str" cm="1">
        <f t="array" ref="B431">IFERROR(INDEX(#REF!,MATCH(1,(ISNUMBER(SEARCH(#REF!,CLEAN(TRIM(A431)))))*1,0)),"Revisar")</f>
        <v>Revisar</v>
      </c>
    </row>
    <row r="432" spans="1:2" x14ac:dyDescent="0.35">
      <c r="A432" t="s">
        <v>743</v>
      </c>
      <c r="B432" t="str" cm="1">
        <f t="array" ref="B432">IFERROR(INDEX(#REF!,MATCH(1,(ISNUMBER(SEARCH(#REF!,CLEAN(TRIM(A432)))))*1,0)),"Revisar")</f>
        <v>Revisar</v>
      </c>
    </row>
    <row r="433" spans="1:2" x14ac:dyDescent="0.35">
      <c r="A433" t="s">
        <v>744</v>
      </c>
      <c r="B433" t="str" cm="1">
        <f t="array" ref="B433">IFERROR(INDEX(#REF!,MATCH(1,(ISNUMBER(SEARCH(#REF!,CLEAN(TRIM(A433)))))*1,0)),"Revisar")</f>
        <v>Revisar</v>
      </c>
    </row>
    <row r="434" spans="1:2" x14ac:dyDescent="0.35">
      <c r="A434" t="s">
        <v>745</v>
      </c>
      <c r="B434" t="str" cm="1">
        <f t="array" ref="B434">IFERROR(INDEX(#REF!,MATCH(1,(ISNUMBER(SEARCH(#REF!,CLEAN(TRIM(A434)))))*1,0)),"Revisar")</f>
        <v>Revisar</v>
      </c>
    </row>
    <row r="435" spans="1:2" x14ac:dyDescent="0.35">
      <c r="A435" t="s">
        <v>746</v>
      </c>
      <c r="B435" t="str" cm="1">
        <f t="array" ref="B435">IFERROR(INDEX(#REF!,MATCH(1,(ISNUMBER(SEARCH(#REF!,CLEAN(TRIM(A435)))))*1,0)),"Revisar")</f>
        <v>Revisar</v>
      </c>
    </row>
    <row r="436" spans="1:2" x14ac:dyDescent="0.35">
      <c r="A436" t="s">
        <v>747</v>
      </c>
      <c r="B436" t="str" cm="1">
        <f t="array" ref="B436">IFERROR(INDEX(#REF!,MATCH(1,(ISNUMBER(SEARCH(#REF!,CLEAN(TRIM(A436)))))*1,0)),"Revisar")</f>
        <v>Revisar</v>
      </c>
    </row>
    <row r="437" spans="1:2" x14ac:dyDescent="0.35">
      <c r="A437" t="s">
        <v>748</v>
      </c>
      <c r="B437" t="str" cm="1">
        <f t="array" ref="B437">IFERROR(INDEX(#REF!,MATCH(1,(ISNUMBER(SEARCH(#REF!,CLEAN(TRIM(A437)))))*1,0)),"Revisar")</f>
        <v>Revisar</v>
      </c>
    </row>
    <row r="438" spans="1:2" x14ac:dyDescent="0.35">
      <c r="A438" t="s">
        <v>749</v>
      </c>
      <c r="B438" t="str" cm="1">
        <f t="array" ref="B438">IFERROR(INDEX(#REF!,MATCH(1,(ISNUMBER(SEARCH(#REF!,CLEAN(TRIM(A438)))))*1,0)),"Revisar")</f>
        <v>Revisar</v>
      </c>
    </row>
    <row r="439" spans="1:2" x14ac:dyDescent="0.35">
      <c r="A439" t="s">
        <v>750</v>
      </c>
      <c r="B439" t="str" cm="1">
        <f t="array" ref="B439">IFERROR(INDEX(#REF!,MATCH(1,(ISNUMBER(SEARCH(#REF!,CLEAN(TRIM(A439)))))*1,0)),"Revisar")</f>
        <v>Revisar</v>
      </c>
    </row>
    <row r="440" spans="1:2" x14ac:dyDescent="0.35">
      <c r="A440" t="s">
        <v>751</v>
      </c>
      <c r="B440" t="str" cm="1">
        <f t="array" ref="B440">IFERROR(INDEX(#REF!,MATCH(1,(ISNUMBER(SEARCH(#REF!,CLEAN(TRIM(A440)))))*1,0)),"Revisar")</f>
        <v>Revisar</v>
      </c>
    </row>
    <row r="441" spans="1:2" x14ac:dyDescent="0.35">
      <c r="A441" t="s">
        <v>752</v>
      </c>
      <c r="B441" t="str" cm="1">
        <f t="array" ref="B441">IFERROR(INDEX(#REF!,MATCH(1,(ISNUMBER(SEARCH(#REF!,CLEAN(TRIM(A441)))))*1,0)),"Revisar")</f>
        <v>Revisar</v>
      </c>
    </row>
    <row r="442" spans="1:2" x14ac:dyDescent="0.35">
      <c r="A442" t="s">
        <v>372</v>
      </c>
      <c r="B442" t="str" cm="1">
        <f t="array" ref="B442">IFERROR(INDEX(#REF!,MATCH(1,(ISNUMBER(SEARCH(#REF!,CLEAN(TRIM(A442)))))*1,0)),"Revisar")</f>
        <v>Revisar</v>
      </c>
    </row>
    <row r="443" spans="1:2" x14ac:dyDescent="0.35">
      <c r="A443" t="s">
        <v>753</v>
      </c>
      <c r="B443" t="str" cm="1">
        <f t="array" ref="B443">IFERROR(INDEX(#REF!,MATCH(1,(ISNUMBER(SEARCH(#REF!,CLEAN(TRIM(A443)))))*1,0)),"Revisar")</f>
        <v>Revisar</v>
      </c>
    </row>
    <row r="444" spans="1:2" x14ac:dyDescent="0.35">
      <c r="A444" t="s">
        <v>754</v>
      </c>
      <c r="B444" t="str" cm="1">
        <f t="array" ref="B444">IFERROR(INDEX(#REF!,MATCH(1,(ISNUMBER(SEARCH(#REF!,CLEAN(TRIM(A444)))))*1,0)),"Revisar")</f>
        <v>Revisar</v>
      </c>
    </row>
    <row r="445" spans="1:2" x14ac:dyDescent="0.35">
      <c r="A445" t="s">
        <v>755</v>
      </c>
      <c r="B445" t="str" cm="1">
        <f t="array" ref="B445">IFERROR(INDEX(#REF!,MATCH(1,(ISNUMBER(SEARCH(#REF!,CLEAN(TRIM(A445)))))*1,0)),"Revisar")</f>
        <v>Revisar</v>
      </c>
    </row>
    <row r="446" spans="1:2" x14ac:dyDescent="0.35">
      <c r="A446" t="s">
        <v>756</v>
      </c>
      <c r="B446" t="str" cm="1">
        <f t="array" ref="B446">IFERROR(INDEX(#REF!,MATCH(1,(ISNUMBER(SEARCH(#REF!,CLEAN(TRIM(A446)))))*1,0)),"Revisar")</f>
        <v>Revisar</v>
      </c>
    </row>
    <row r="447" spans="1:2" x14ac:dyDescent="0.35">
      <c r="A447" t="s">
        <v>757</v>
      </c>
      <c r="B447" t="str" cm="1">
        <f t="array" ref="B447">IFERROR(INDEX(#REF!,MATCH(1,(ISNUMBER(SEARCH(#REF!,CLEAN(TRIM(A447)))))*1,0)),"Revisar")</f>
        <v>Revisar</v>
      </c>
    </row>
    <row r="448" spans="1:2" x14ac:dyDescent="0.35">
      <c r="A448" t="s">
        <v>758</v>
      </c>
      <c r="B448" t="str" cm="1">
        <f t="array" ref="B448">IFERROR(INDEX(#REF!,MATCH(1,(ISNUMBER(SEARCH(#REF!,CLEAN(TRIM(A448)))))*1,0)),"Revisar")</f>
        <v>Revisar</v>
      </c>
    </row>
    <row r="449" spans="1:2" x14ac:dyDescent="0.35">
      <c r="A449" t="s">
        <v>759</v>
      </c>
      <c r="B449" t="str" cm="1">
        <f t="array" ref="B449">IFERROR(INDEX(#REF!,MATCH(1,(ISNUMBER(SEARCH(#REF!,CLEAN(TRIM(A449)))))*1,0)),"Revisar")</f>
        <v>Revisar</v>
      </c>
    </row>
    <row r="450" spans="1:2" x14ac:dyDescent="0.35">
      <c r="A450" t="s">
        <v>760</v>
      </c>
      <c r="B450" t="str" cm="1">
        <f t="array" ref="B450">IFERROR(INDEX(#REF!,MATCH(1,(ISNUMBER(SEARCH(#REF!,CLEAN(TRIM(A450)))))*1,0)),"Revisar")</f>
        <v>Revisar</v>
      </c>
    </row>
    <row r="451" spans="1:2" x14ac:dyDescent="0.35">
      <c r="A451" t="s">
        <v>761</v>
      </c>
      <c r="B451" t="str" cm="1">
        <f t="array" ref="B451">IFERROR(INDEX(#REF!,MATCH(1,(ISNUMBER(SEARCH(#REF!,CLEAN(TRIM(A451)))))*1,0)),"Revisar")</f>
        <v>Revisar</v>
      </c>
    </row>
    <row r="452" spans="1:2" x14ac:dyDescent="0.35">
      <c r="A452" t="s">
        <v>762</v>
      </c>
      <c r="B452" t="str" cm="1">
        <f t="array" ref="B452">IFERROR(INDEX(#REF!,MATCH(1,(ISNUMBER(SEARCH(#REF!,CLEAN(TRIM(A452)))))*1,0)),"Revisar")</f>
        <v>Revisar</v>
      </c>
    </row>
    <row r="453" spans="1:2" x14ac:dyDescent="0.35">
      <c r="A453" t="s">
        <v>763</v>
      </c>
      <c r="B453" t="str" cm="1">
        <f t="array" ref="B453">IFERROR(INDEX(#REF!,MATCH(1,(ISNUMBER(SEARCH(#REF!,CLEAN(TRIM(A453)))))*1,0)),"Revisar")</f>
        <v>Revisar</v>
      </c>
    </row>
    <row r="454" spans="1:2" x14ac:dyDescent="0.35">
      <c r="A454" t="s">
        <v>893</v>
      </c>
      <c r="B454" t="str" cm="1">
        <f t="array" ref="B454">IFERROR(INDEX(#REF!,MATCH(1,(ISNUMBER(SEARCH(#REF!,CLEAN(TRIM(A454)))))*1,0)),"Revisar")</f>
        <v>Revisar</v>
      </c>
    </row>
    <row r="455" spans="1:2" x14ac:dyDescent="0.35">
      <c r="A455" t="s">
        <v>418</v>
      </c>
      <c r="B455" t="str" cm="1">
        <f t="array" ref="B455">IFERROR(INDEX(#REF!,MATCH(1,(ISNUMBER(SEARCH(#REF!,CLEAN(TRIM(A455)))))*1,0)),"Revisar")</f>
        <v>Revisar</v>
      </c>
    </row>
    <row r="456" spans="1:2" x14ac:dyDescent="0.35">
      <c r="A456" t="s">
        <v>764</v>
      </c>
      <c r="B456" t="str" cm="1">
        <f t="array" ref="B456">IFERROR(INDEX(#REF!,MATCH(1,(ISNUMBER(SEARCH(#REF!,CLEAN(TRIM(A456)))))*1,0)),"Revisar")</f>
        <v>Revisar</v>
      </c>
    </row>
    <row r="457" spans="1:2" x14ac:dyDescent="0.35">
      <c r="A457" t="s">
        <v>765</v>
      </c>
      <c r="B457" t="str" cm="1">
        <f t="array" ref="B457">IFERROR(INDEX(#REF!,MATCH(1,(ISNUMBER(SEARCH(#REF!,CLEAN(TRIM(A457)))))*1,0)),"Revisar")</f>
        <v>Revisar</v>
      </c>
    </row>
    <row r="458" spans="1:2" x14ac:dyDescent="0.35">
      <c r="A458" t="s">
        <v>766</v>
      </c>
      <c r="B458" t="str" cm="1">
        <f t="array" ref="B458">IFERROR(INDEX(#REF!,MATCH(1,(ISNUMBER(SEARCH(#REF!,CLEAN(TRIM(A458)))))*1,0)),"Revisar")</f>
        <v>Revisar</v>
      </c>
    </row>
    <row r="459" spans="1:2" x14ac:dyDescent="0.35">
      <c r="A459" t="s">
        <v>767</v>
      </c>
      <c r="B459" t="str" cm="1">
        <f t="array" ref="B459">IFERROR(INDEX(#REF!,MATCH(1,(ISNUMBER(SEARCH(#REF!,CLEAN(TRIM(A459)))))*1,0)),"Revisar")</f>
        <v>Revisar</v>
      </c>
    </row>
    <row r="460" spans="1:2" x14ac:dyDescent="0.35">
      <c r="A460" t="s">
        <v>894</v>
      </c>
      <c r="B460" t="str" cm="1">
        <f t="array" ref="B460">IFERROR(INDEX(#REF!,MATCH(1,(ISNUMBER(SEARCH(#REF!,CLEAN(TRIM(A460)))))*1,0)),"Revisar")</f>
        <v>Revisar</v>
      </c>
    </row>
    <row r="461" spans="1:2" x14ac:dyDescent="0.35">
      <c r="A461" t="s">
        <v>895</v>
      </c>
      <c r="B461" t="str" cm="1">
        <f t="array" ref="B461">IFERROR(INDEX(#REF!,MATCH(1,(ISNUMBER(SEARCH(#REF!,CLEAN(TRIM(A461)))))*1,0)),"Revisar")</f>
        <v>Revisar</v>
      </c>
    </row>
    <row r="462" spans="1:2" x14ac:dyDescent="0.35">
      <c r="A462" t="s">
        <v>768</v>
      </c>
      <c r="B462" t="str" cm="1">
        <f t="array" ref="B462">IFERROR(INDEX(#REF!,MATCH(1,(ISNUMBER(SEARCH(#REF!,CLEAN(TRIM(A462)))))*1,0)),"Revisar")</f>
        <v>Revisar</v>
      </c>
    </row>
    <row r="463" spans="1:2" x14ac:dyDescent="0.35">
      <c r="A463" t="s">
        <v>769</v>
      </c>
      <c r="B463" t="str" cm="1">
        <f t="array" ref="B463">IFERROR(INDEX(#REF!,MATCH(1,(ISNUMBER(SEARCH(#REF!,CLEAN(TRIM(A463)))))*1,0)),"Revisar")</f>
        <v>Revisar</v>
      </c>
    </row>
    <row r="464" spans="1:2" x14ac:dyDescent="0.35">
      <c r="A464" t="s">
        <v>770</v>
      </c>
      <c r="B464" t="str" cm="1">
        <f t="array" ref="B464">IFERROR(INDEX(#REF!,MATCH(1,(ISNUMBER(SEARCH(#REF!,CLEAN(TRIM(A464)))))*1,0)),"Revisar")</f>
        <v>Revisar</v>
      </c>
    </row>
    <row r="465" spans="1:2" x14ac:dyDescent="0.35">
      <c r="A465" t="s">
        <v>419</v>
      </c>
      <c r="B465" t="str" cm="1">
        <f t="array" ref="B465">IFERROR(INDEX(#REF!,MATCH(1,(ISNUMBER(SEARCH(#REF!,CLEAN(TRIM(A465)))))*1,0)),"Revisar")</f>
        <v>Revisar</v>
      </c>
    </row>
    <row r="466" spans="1:2" x14ac:dyDescent="0.35">
      <c r="A466" t="s">
        <v>419</v>
      </c>
      <c r="B466" t="str" cm="1">
        <f t="array" ref="B466">IFERROR(INDEX(#REF!,MATCH(1,(ISNUMBER(SEARCH(#REF!,CLEAN(TRIM(A466)))))*1,0)),"Revisar")</f>
        <v>Revisar</v>
      </c>
    </row>
    <row r="467" spans="1:2" x14ac:dyDescent="0.35">
      <c r="A467" t="s">
        <v>771</v>
      </c>
      <c r="B467" t="str" cm="1">
        <f t="array" ref="B467">IFERROR(INDEX(#REF!,MATCH(1,(ISNUMBER(SEARCH(#REF!,CLEAN(TRIM(A467)))))*1,0)),"Revisar")</f>
        <v>Revisar</v>
      </c>
    </row>
    <row r="468" spans="1:2" x14ac:dyDescent="0.35">
      <c r="A468" t="s">
        <v>772</v>
      </c>
      <c r="B468" t="str" cm="1">
        <f t="array" ref="B468">IFERROR(INDEX(#REF!,MATCH(1,(ISNUMBER(SEARCH(#REF!,CLEAN(TRIM(A468)))))*1,0)),"Revisar")</f>
        <v>Revisar</v>
      </c>
    </row>
    <row r="469" spans="1:2" x14ac:dyDescent="0.35">
      <c r="A469" t="s">
        <v>773</v>
      </c>
      <c r="B469" t="str" cm="1">
        <f t="array" ref="B469">IFERROR(INDEX(#REF!,MATCH(1,(ISNUMBER(SEARCH(#REF!,CLEAN(TRIM(A469)))))*1,0)),"Revisar")</f>
        <v>Revisar</v>
      </c>
    </row>
    <row r="470" spans="1:2" x14ac:dyDescent="0.35">
      <c r="A470" t="s">
        <v>774</v>
      </c>
      <c r="B470" t="str" cm="1">
        <f t="array" ref="B470">IFERROR(INDEX(#REF!,MATCH(1,(ISNUMBER(SEARCH(#REF!,CLEAN(TRIM(A470)))))*1,0)),"Revisar")</f>
        <v>Revisar</v>
      </c>
    </row>
    <row r="471" spans="1:2" x14ac:dyDescent="0.35">
      <c r="A471" t="s">
        <v>775</v>
      </c>
      <c r="B471" t="str" cm="1">
        <f t="array" ref="B471">IFERROR(INDEX(#REF!,MATCH(1,(ISNUMBER(SEARCH(#REF!,CLEAN(TRIM(A471)))))*1,0)),"Revisar")</f>
        <v>Revisar</v>
      </c>
    </row>
  </sheetData>
  <sortState xmlns:xlrd2="http://schemas.microsoft.com/office/spreadsheetml/2017/richdata2" ref="E2:E39003">
    <sortCondition ref="E46:E39003"/>
  </sortState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C896-22AD-49E8-AAD2-AE8CE546AC34}">
  <dimension ref="A1:L21"/>
  <sheetViews>
    <sheetView workbookViewId="0">
      <selection activeCell="C12" sqref="C12"/>
    </sheetView>
  </sheetViews>
  <sheetFormatPr baseColWidth="10" defaultColWidth="11.453125" defaultRowHeight="14.5" x14ac:dyDescent="0.35"/>
  <cols>
    <col min="4" max="4" width="14.453125" bestFit="1" customWidth="1"/>
    <col min="7" max="7" width="12.54296875" bestFit="1" customWidth="1"/>
    <col min="8" max="8" width="11.54296875" bestFit="1" customWidth="1"/>
    <col min="10" max="10" width="11.1796875" style="5" bestFit="1" customWidth="1"/>
  </cols>
  <sheetData>
    <row r="1" spans="1:12" x14ac:dyDescent="0.35">
      <c r="G1" s="6">
        <f>+G21+G9+G18</f>
        <v>235000</v>
      </c>
      <c r="H1" s="6">
        <f>+H21+H9+H18</f>
        <v>51000</v>
      </c>
      <c r="I1" t="s">
        <v>363</v>
      </c>
    </row>
    <row r="2" spans="1:12" x14ac:dyDescent="0.35">
      <c r="C2" t="s">
        <v>6</v>
      </c>
      <c r="D2" t="s">
        <v>364</v>
      </c>
      <c r="G2" t="s">
        <v>365</v>
      </c>
      <c r="H2" t="s">
        <v>158</v>
      </c>
    </row>
    <row r="3" spans="1:12" x14ac:dyDescent="0.35">
      <c r="A3" s="3">
        <v>45821</v>
      </c>
      <c r="B3">
        <v>23894</v>
      </c>
      <c r="C3">
        <v>211204.87</v>
      </c>
      <c r="D3">
        <v>204431.89</v>
      </c>
      <c r="E3">
        <f>+D3-C3</f>
        <v>-6772.9799999999814</v>
      </c>
      <c r="G3" s="3">
        <v>45826</v>
      </c>
      <c r="H3" s="3">
        <v>45826</v>
      </c>
      <c r="I3" t="s">
        <v>2</v>
      </c>
      <c r="J3" s="5" t="s">
        <v>366</v>
      </c>
    </row>
    <row r="4" spans="1:12" x14ac:dyDescent="0.35">
      <c r="A4" s="3">
        <v>45827</v>
      </c>
      <c r="B4">
        <v>24401</v>
      </c>
      <c r="C4">
        <v>144454.41</v>
      </c>
      <c r="D4">
        <v>144454.41</v>
      </c>
      <c r="E4">
        <f t="shared" ref="E4:E5" si="0">+D4-C4</f>
        <v>0</v>
      </c>
      <c r="G4" s="5">
        <v>17000</v>
      </c>
      <c r="H4" s="5"/>
      <c r="I4" t="s">
        <v>367</v>
      </c>
      <c r="J4" s="5">
        <f>+G4/5</f>
        <v>3400</v>
      </c>
      <c r="K4" t="s">
        <v>368</v>
      </c>
    </row>
    <row r="5" spans="1:12" x14ac:dyDescent="0.35">
      <c r="A5" s="3">
        <v>45832</v>
      </c>
      <c r="B5">
        <v>24709</v>
      </c>
      <c r="C5">
        <v>170282.46</v>
      </c>
      <c r="D5">
        <v>170282.46</v>
      </c>
      <c r="E5">
        <f t="shared" si="0"/>
        <v>0</v>
      </c>
      <c r="G5" s="5">
        <v>11000</v>
      </c>
      <c r="H5" s="5">
        <v>11000</v>
      </c>
      <c r="I5" t="s">
        <v>23</v>
      </c>
      <c r="J5" s="5">
        <f>22000/2</f>
        <v>11000</v>
      </c>
      <c r="K5" t="s">
        <v>368</v>
      </c>
    </row>
    <row r="6" spans="1:12" x14ac:dyDescent="0.35">
      <c r="G6" s="5">
        <v>5000</v>
      </c>
      <c r="H6" s="5">
        <v>5000</v>
      </c>
      <c r="I6" t="s">
        <v>331</v>
      </c>
      <c r="J6" s="5">
        <f>10000/14</f>
        <v>714.28571428571433</v>
      </c>
      <c r="K6" t="s">
        <v>368</v>
      </c>
    </row>
    <row r="7" spans="1:12" x14ac:dyDescent="0.35">
      <c r="G7" s="5">
        <v>32000</v>
      </c>
      <c r="H7" s="5"/>
      <c r="I7" t="s">
        <v>332</v>
      </c>
      <c r="J7" s="5">
        <f>(32000-6000)/28</f>
        <v>928.57142857142856</v>
      </c>
      <c r="K7" t="s">
        <v>368</v>
      </c>
      <c r="L7" t="s">
        <v>369</v>
      </c>
    </row>
    <row r="8" spans="1:12" x14ac:dyDescent="0.35">
      <c r="G8" s="5">
        <v>55000</v>
      </c>
      <c r="H8" s="5"/>
      <c r="I8" t="s">
        <v>19</v>
      </c>
      <c r="J8" s="5">
        <f>+G8/11</f>
        <v>5000</v>
      </c>
      <c r="K8" t="s">
        <v>368</v>
      </c>
    </row>
    <row r="9" spans="1:12" x14ac:dyDescent="0.35">
      <c r="G9" s="5">
        <f>SUM(G4:G8)</f>
        <v>120000</v>
      </c>
      <c r="H9" s="5">
        <f>SUM(H5:H8)</f>
        <v>16000</v>
      </c>
      <c r="I9" t="s">
        <v>10</v>
      </c>
    </row>
    <row r="11" spans="1:12" x14ac:dyDescent="0.35">
      <c r="G11" s="3">
        <v>45839</v>
      </c>
      <c r="H11" s="3">
        <v>45839</v>
      </c>
    </row>
    <row r="12" spans="1:12" x14ac:dyDescent="0.35">
      <c r="G12" s="5">
        <v>18000</v>
      </c>
      <c r="H12" s="5"/>
      <c r="I12" t="s">
        <v>367</v>
      </c>
      <c r="J12" s="5">
        <f>+G12/5</f>
        <v>3600</v>
      </c>
      <c r="K12" t="s">
        <v>368</v>
      </c>
    </row>
    <row r="13" spans="1:12" x14ac:dyDescent="0.35">
      <c r="G13" s="5">
        <v>8500</v>
      </c>
      <c r="H13" s="5">
        <v>8500</v>
      </c>
      <c r="I13" t="s">
        <v>356</v>
      </c>
      <c r="J13" s="5">
        <f>+(H13+G13)/18</f>
        <v>944.44444444444446</v>
      </c>
      <c r="K13" t="s">
        <v>368</v>
      </c>
    </row>
    <row r="14" spans="1:12" x14ac:dyDescent="0.35">
      <c r="G14" s="5">
        <f>21000/2</f>
        <v>10500</v>
      </c>
      <c r="H14" s="5">
        <f>21000/2</f>
        <v>10500</v>
      </c>
      <c r="I14" t="s">
        <v>316</v>
      </c>
      <c r="J14" s="5">
        <v>10400</v>
      </c>
      <c r="K14" t="s">
        <v>368</v>
      </c>
    </row>
    <row r="15" spans="1:12" x14ac:dyDescent="0.35">
      <c r="G15" s="5">
        <v>5500</v>
      </c>
      <c r="H15" s="5">
        <v>5500</v>
      </c>
      <c r="I15" t="s">
        <v>331</v>
      </c>
      <c r="J15" s="5">
        <v>785.71428571428567</v>
      </c>
      <c r="K15" t="s">
        <v>368</v>
      </c>
    </row>
    <row r="16" spans="1:12" x14ac:dyDescent="0.35">
      <c r="G16" s="5">
        <v>30000</v>
      </c>
      <c r="H16" s="5"/>
      <c r="I16" t="s">
        <v>332</v>
      </c>
      <c r="J16" s="5">
        <f>+(G16-3000)/28</f>
        <v>964.28571428571433</v>
      </c>
      <c r="K16" t="s">
        <v>368</v>
      </c>
      <c r="L16" t="s">
        <v>370</v>
      </c>
    </row>
    <row r="17" spans="7:12" x14ac:dyDescent="0.35">
      <c r="G17" s="5">
        <v>10500</v>
      </c>
      <c r="H17" s="5">
        <v>10500</v>
      </c>
      <c r="I17" t="s">
        <v>17</v>
      </c>
      <c r="J17" s="5">
        <f>+(H17+G17)/18</f>
        <v>1166.6666666666667</v>
      </c>
      <c r="K17" t="s">
        <v>368</v>
      </c>
    </row>
    <row r="18" spans="7:12" x14ac:dyDescent="0.35">
      <c r="G18" s="6">
        <f>+SUM(G12:G17)</f>
        <v>83000</v>
      </c>
      <c r="H18" s="6">
        <f>+SUM(H12:H17)</f>
        <v>35000</v>
      </c>
      <c r="I18" t="s">
        <v>10</v>
      </c>
    </row>
    <row r="20" spans="7:12" x14ac:dyDescent="0.35">
      <c r="G20" s="3">
        <v>45846</v>
      </c>
      <c r="H20" s="3">
        <v>45846</v>
      </c>
    </row>
    <row r="21" spans="7:12" x14ac:dyDescent="0.35">
      <c r="G21" s="6">
        <v>32000</v>
      </c>
      <c r="I21" t="s">
        <v>19</v>
      </c>
      <c r="J21" s="5">
        <f>+G21/(11/2)</f>
        <v>5818.181818181818</v>
      </c>
      <c r="K21" t="s">
        <v>368</v>
      </c>
      <c r="L21" t="s">
        <v>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624994-B25A-45D3-B87A-A49BF5825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DATAIN_COMPRAS</vt:lpstr>
      <vt:lpstr>VALIDACION</vt:lpstr>
      <vt:lpstr>CALC AUX</vt:lpstr>
      <vt:lpstr>INTERLOC_VALIDOS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Nicolás Vitale</dc:creator>
  <cp:keywords/>
  <dc:description/>
  <cp:lastModifiedBy>Nicolás Vitale</cp:lastModifiedBy>
  <cp:revision/>
  <dcterms:created xsi:type="dcterms:W3CDTF">2025-04-16T15:23:30Z</dcterms:created>
  <dcterms:modified xsi:type="dcterms:W3CDTF">2025-11-11T15:05:51Z</dcterms:modified>
  <cp:category/>
  <cp:contentStatus/>
</cp:coreProperties>
</file>
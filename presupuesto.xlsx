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e93ad95b3f7bd/Desktop/"/>
    </mc:Choice>
  </mc:AlternateContent>
  <xr:revisionPtr revIDLastSave="2851" documentId="13_ncr:1_{7FA88590-A60F-4C01-81C3-52C287C6832A}" xr6:coauthVersionLast="47" xr6:coauthVersionMax="47" xr10:uidLastSave="{ACC6C4DF-4A37-4F7B-977B-C701AA4ED3B0}"/>
  <bookViews>
    <workbookView xWindow="-110" yWindow="-110" windowWidth="19420" windowHeight="11020" activeTab="1" xr2:uid="{210E2A4B-FB6E-4314-AFDB-E67134637FEB}"/>
  </bookViews>
  <sheets>
    <sheet name="OCTUBRE" sheetId="10" r:id="rId1"/>
    <sheet name="NOVIEMBRE" sheetId="5" r:id="rId2"/>
    <sheet name="DICIEMBRE" sheetId="9" r:id="rId3"/>
    <sheet name="ENERO" sheetId="11" r:id="rId4"/>
    <sheet name="Hoja1" sheetId="12" r:id="rId5"/>
    <sheet name="VISITA JU" sheetId="3" r:id="rId6"/>
    <sheet name="TABLAS" sheetId="6" r:id="rId7"/>
  </sheets>
  <definedNames>
    <definedName name="_xlnm._FilterDatabase" localSheetId="2" hidden="1">DICIEMBRE!$Q$1:$X$142</definedName>
    <definedName name="_xlnm._FilterDatabase" localSheetId="3" hidden="1">ENERO!$Q$1:$X$142</definedName>
    <definedName name="_xlnm._FilterDatabase" localSheetId="1" hidden="1">NOVIEMBRE!$Q$1:$X$278</definedName>
    <definedName name="_xlnm._FilterDatabase" localSheetId="0" hidden="1">OCTUBRE!$Q$1:$X$243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5" l="1"/>
  <c r="W223" i="5"/>
  <c r="J7" i="9"/>
  <c r="N7" i="9"/>
  <c r="O7" i="9"/>
  <c r="F2" i="5"/>
  <c r="G2" i="5" s="1"/>
  <c r="F3" i="5"/>
  <c r="F4" i="5"/>
  <c r="F5" i="5"/>
  <c r="F6" i="5"/>
  <c r="F7" i="5"/>
  <c r="F8" i="5"/>
  <c r="F9" i="5"/>
  <c r="G9" i="5" s="1"/>
  <c r="F10" i="5"/>
  <c r="G10" i="5" s="1"/>
  <c r="F11" i="5"/>
  <c r="F12" i="5"/>
  <c r="F14" i="5"/>
  <c r="F15" i="5"/>
  <c r="F16" i="5"/>
  <c r="F17" i="5"/>
  <c r="F18" i="5"/>
  <c r="F19" i="5"/>
  <c r="V113" i="5"/>
  <c r="V144" i="5"/>
  <c r="F13" i="5" s="1"/>
  <c r="V143" i="5"/>
  <c r="V142" i="5"/>
  <c r="V141" i="5"/>
  <c r="V139" i="5"/>
  <c r="V137" i="5"/>
  <c r="V161" i="5"/>
  <c r="A2" i="9"/>
  <c r="F2" i="9"/>
  <c r="C1" i="12"/>
  <c r="E2" i="9" s="1"/>
  <c r="C32" i="12"/>
  <c r="C31" i="12"/>
  <c r="C30" i="12"/>
  <c r="C28" i="12"/>
  <c r="C27" i="12"/>
  <c r="C26" i="12"/>
  <c r="C25" i="12"/>
  <c r="C24" i="12"/>
  <c r="C23" i="12"/>
  <c r="C21" i="12"/>
  <c r="C20" i="12"/>
  <c r="C19" i="12"/>
  <c r="C18" i="12"/>
  <c r="C17" i="12"/>
  <c r="C16" i="12"/>
  <c r="C14" i="12"/>
  <c r="C13" i="12"/>
  <c r="C12" i="12"/>
  <c r="C11" i="12"/>
  <c r="C10" i="12"/>
  <c r="C9" i="12"/>
  <c r="C7" i="12"/>
  <c r="C6" i="12"/>
  <c r="C5" i="12"/>
  <c r="C4" i="12"/>
  <c r="C3" i="12"/>
  <c r="C2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E19" i="11"/>
  <c r="AE18" i="11"/>
  <c r="AG23" i="9"/>
  <c r="AH23" i="9" s="1"/>
  <c r="N5" i="9"/>
  <c r="O5" i="9" s="1"/>
  <c r="AL11" i="5"/>
  <c r="AL12" i="5"/>
  <c r="AL13" i="5"/>
  <c r="AL14" i="5"/>
  <c r="AL15" i="5"/>
  <c r="AL16" i="5"/>
  <c r="AL17" i="5"/>
  <c r="AL18" i="5"/>
  <c r="AL19" i="5"/>
  <c r="AL20" i="5"/>
  <c r="AH11" i="5"/>
  <c r="AH12" i="5"/>
  <c r="AH13" i="5"/>
  <c r="AH14" i="5"/>
  <c r="AH15" i="5"/>
  <c r="AH16" i="5"/>
  <c r="AH17" i="5"/>
  <c r="AH18" i="5"/>
  <c r="AH19" i="5"/>
  <c r="AH20" i="5"/>
  <c r="AL16" i="11"/>
  <c r="AH16" i="11"/>
  <c r="AF16" i="11"/>
  <c r="AJ16" i="11" s="1"/>
  <c r="AI16" i="11" s="1"/>
  <c r="AH10" i="11"/>
  <c r="AH11" i="11"/>
  <c r="AH12" i="11"/>
  <c r="AH13" i="11"/>
  <c r="AH14" i="11"/>
  <c r="AH15" i="11"/>
  <c r="AH17" i="11"/>
  <c r="AH18" i="11"/>
  <c r="AH19" i="11"/>
  <c r="AH20" i="11"/>
  <c r="AH21" i="11"/>
  <c r="AF14" i="11"/>
  <c r="AF13" i="11"/>
  <c r="AJ13" i="11"/>
  <c r="AI13" i="11" s="1"/>
  <c r="AL13" i="11"/>
  <c r="AJ14" i="11"/>
  <c r="AI14" i="11" s="1"/>
  <c r="AL14" i="11"/>
  <c r="AL22" i="9"/>
  <c r="AH22" i="9"/>
  <c r="AF22" i="9"/>
  <c r="AJ22" i="9" s="1"/>
  <c r="AI22" i="9" s="1"/>
  <c r="AL21" i="9"/>
  <c r="AH21" i="9"/>
  <c r="AF21" i="9"/>
  <c r="AJ21" i="9" s="1"/>
  <c r="AI21" i="9" s="1"/>
  <c r="AL19" i="11"/>
  <c r="AF19" i="11"/>
  <c r="AL15" i="11"/>
  <c r="AF15" i="11"/>
  <c r="AJ15" i="11" s="1"/>
  <c r="AI15" i="11" s="1"/>
  <c r="AL20" i="9"/>
  <c r="AH20" i="9"/>
  <c r="AF20" i="9"/>
  <c r="AJ20" i="9" s="1"/>
  <c r="AI20" i="9" s="1"/>
  <c r="AL12" i="11"/>
  <c r="AF12" i="11"/>
  <c r="AJ12" i="11" s="1"/>
  <c r="AI12" i="11" s="1"/>
  <c r="AL11" i="11"/>
  <c r="AF11" i="11"/>
  <c r="AJ11" i="11" s="1"/>
  <c r="AI11" i="11" s="1"/>
  <c r="AL21" i="11"/>
  <c r="AF21" i="11"/>
  <c r="AJ21" i="11" s="1"/>
  <c r="AI21" i="11" s="1"/>
  <c r="AL20" i="11"/>
  <c r="AF20" i="11"/>
  <c r="AJ20" i="11" s="1"/>
  <c r="AI20" i="11" s="1"/>
  <c r="AL18" i="11"/>
  <c r="AF18" i="11"/>
  <c r="AJ18" i="11" s="1"/>
  <c r="AI18" i="11" s="1"/>
  <c r="AL17" i="11"/>
  <c r="AF17" i="11"/>
  <c r="AJ17" i="11" s="1"/>
  <c r="AI17" i="11" s="1"/>
  <c r="AL10" i="11"/>
  <c r="AF10" i="11"/>
  <c r="AJ10" i="11" s="1"/>
  <c r="AI10" i="11" s="1"/>
  <c r="AL18" i="9"/>
  <c r="AF18" i="9"/>
  <c r="AL17" i="9"/>
  <c r="AF17" i="9"/>
  <c r="F6" i="11"/>
  <c r="G6" i="11" s="1"/>
  <c r="A6" i="11"/>
  <c r="F5" i="11"/>
  <c r="G5" i="11" s="1"/>
  <c r="A5" i="11"/>
  <c r="F19" i="11"/>
  <c r="G19" i="11" s="1"/>
  <c r="A19" i="11"/>
  <c r="F18" i="11"/>
  <c r="G18" i="11" s="1"/>
  <c r="A18" i="11"/>
  <c r="F17" i="11"/>
  <c r="G17" i="11" s="1"/>
  <c r="A17" i="11"/>
  <c r="F16" i="11"/>
  <c r="E16" i="11"/>
  <c r="E20" i="11" s="1"/>
  <c r="A16" i="11"/>
  <c r="F14" i="11"/>
  <c r="G14" i="11" s="1"/>
  <c r="A14" i="11"/>
  <c r="F15" i="11"/>
  <c r="G15" i="11" s="1"/>
  <c r="A15" i="11"/>
  <c r="F13" i="11"/>
  <c r="G13" i="11" s="1"/>
  <c r="A13" i="11"/>
  <c r="F12" i="11"/>
  <c r="G12" i="11" s="1"/>
  <c r="A12" i="11"/>
  <c r="F11" i="11"/>
  <c r="G11" i="11" s="1"/>
  <c r="A11" i="11"/>
  <c r="F10" i="11"/>
  <c r="G10" i="11" s="1"/>
  <c r="A10" i="11"/>
  <c r="F9" i="11"/>
  <c r="G9" i="11" s="1"/>
  <c r="A9" i="11"/>
  <c r="AH6" i="11"/>
  <c r="AG6" i="11"/>
  <c r="AF6" i="11"/>
  <c r="AE6" i="11"/>
  <c r="AD6" i="11"/>
  <c r="AC6" i="11"/>
  <c r="AB6" i="11"/>
  <c r="J4" i="11"/>
  <c r="N4" i="11" s="1"/>
  <c r="O4" i="11" s="1"/>
  <c r="F8" i="11"/>
  <c r="G8" i="11" s="1"/>
  <c r="A8" i="11"/>
  <c r="AH5" i="11"/>
  <c r="AG5" i="11"/>
  <c r="AF5" i="11"/>
  <c r="AE5" i="11"/>
  <c r="AD5" i="11"/>
  <c r="AC5" i="11"/>
  <c r="AB5" i="11"/>
  <c r="F7" i="11"/>
  <c r="G7" i="11" s="1"/>
  <c r="A7" i="11"/>
  <c r="N3" i="11"/>
  <c r="O3" i="11" s="1"/>
  <c r="J3" i="11"/>
  <c r="F2" i="11"/>
  <c r="G2" i="11" s="1"/>
  <c r="A2" i="11"/>
  <c r="AL3" i="11"/>
  <c r="AK3" i="11"/>
  <c r="F4" i="11"/>
  <c r="G4" i="11" s="1"/>
  <c r="A4" i="11"/>
  <c r="N2" i="11"/>
  <c r="J2" i="11"/>
  <c r="F3" i="11"/>
  <c r="A3" i="11"/>
  <c r="W244" i="10"/>
  <c r="AB4" i="10"/>
  <c r="C3" i="3"/>
  <c r="AH10" i="9"/>
  <c r="AH19" i="9"/>
  <c r="AH13" i="9"/>
  <c r="AH14" i="9"/>
  <c r="AH15" i="9"/>
  <c r="AH12" i="9"/>
  <c r="AH11" i="9"/>
  <c r="AH16" i="9"/>
  <c r="AL11" i="10"/>
  <c r="AL12" i="10"/>
  <c r="AL13" i="10"/>
  <c r="AL14" i="10"/>
  <c r="AL15" i="10"/>
  <c r="AH11" i="10"/>
  <c r="AH12" i="10"/>
  <c r="AH13" i="10"/>
  <c r="AH14" i="10"/>
  <c r="AH15" i="10"/>
  <c r="AF12" i="5"/>
  <c r="AJ12" i="5" s="1"/>
  <c r="AF15" i="10"/>
  <c r="AJ15" i="10" s="1"/>
  <c r="AI15" i="10" s="1"/>
  <c r="AL11" i="9"/>
  <c r="AF11" i="9"/>
  <c r="AJ11" i="9" s="1"/>
  <c r="AI11" i="9" s="1"/>
  <c r="AF18" i="5"/>
  <c r="AJ18" i="5" s="1"/>
  <c r="AF19" i="9"/>
  <c r="AJ19" i="9" s="1"/>
  <c r="AI19" i="9" s="1"/>
  <c r="AL19" i="9"/>
  <c r="AL10" i="9"/>
  <c r="AF10" i="9"/>
  <c r="AJ10" i="9" s="1"/>
  <c r="AI10" i="9" s="1"/>
  <c r="AF17" i="5"/>
  <c r="AJ17" i="5" s="1"/>
  <c r="AI17" i="5" s="1"/>
  <c r="AL12" i="9"/>
  <c r="AF12" i="9"/>
  <c r="AJ12" i="9" s="1"/>
  <c r="AI12" i="9" s="1"/>
  <c r="AL15" i="9"/>
  <c r="AF15" i="9"/>
  <c r="AJ15" i="9" s="1"/>
  <c r="AI15" i="9" s="1"/>
  <c r="AF20" i="5"/>
  <c r="AJ20" i="5" s="1"/>
  <c r="AI20" i="5" s="1"/>
  <c r="AF19" i="5"/>
  <c r="AJ19" i="5" s="1"/>
  <c r="AI19" i="5" s="1"/>
  <c r="AF13" i="5"/>
  <c r="AJ13" i="5" s="1"/>
  <c r="AE23" i="9"/>
  <c r="AF23" i="9" s="1"/>
  <c r="AL23" i="9"/>
  <c r="AL16" i="9"/>
  <c r="AE16" i="9"/>
  <c r="AF16" i="9" s="1"/>
  <c r="AJ16" i="9" s="1"/>
  <c r="AI16" i="9" s="1"/>
  <c r="AL14" i="9"/>
  <c r="AF14" i="9"/>
  <c r="AJ14" i="9" s="1"/>
  <c r="AI14" i="9" s="1"/>
  <c r="AL13" i="9"/>
  <c r="AF13" i="9"/>
  <c r="AJ13" i="9" s="1"/>
  <c r="AI13" i="9" s="1"/>
  <c r="AF16" i="5"/>
  <c r="AJ16" i="5" s="1"/>
  <c r="AF14" i="10"/>
  <c r="AJ14" i="10" s="1"/>
  <c r="AI14" i="10" s="1"/>
  <c r="AF15" i="5"/>
  <c r="AJ15" i="5" s="1"/>
  <c r="F12" i="10"/>
  <c r="G12" i="10" s="1"/>
  <c r="A12" i="10"/>
  <c r="V49" i="10"/>
  <c r="F11" i="10" s="1"/>
  <c r="G11" i="10" s="1"/>
  <c r="V30" i="10"/>
  <c r="V244" i="10" s="1"/>
  <c r="V91" i="10"/>
  <c r="F6" i="10"/>
  <c r="G6" i="10" s="1"/>
  <c r="A6" i="10"/>
  <c r="F5" i="10"/>
  <c r="G5" i="10" s="1"/>
  <c r="A5" i="10"/>
  <c r="F19" i="10"/>
  <c r="G19" i="10" s="1"/>
  <c r="A19" i="10"/>
  <c r="F18" i="10"/>
  <c r="G18" i="10" s="1"/>
  <c r="A18" i="10"/>
  <c r="F17" i="10"/>
  <c r="G17" i="10" s="1"/>
  <c r="A17" i="10"/>
  <c r="AG16" i="10"/>
  <c r="F16" i="10"/>
  <c r="G16" i="10" s="1"/>
  <c r="E16" i="10"/>
  <c r="E20" i="10" s="1"/>
  <c r="K9" i="10" s="1"/>
  <c r="A16" i="10"/>
  <c r="AF13" i="10"/>
  <c r="AJ13" i="10" s="1"/>
  <c r="AI13" i="10" s="1"/>
  <c r="F14" i="10"/>
  <c r="G14" i="10" s="1"/>
  <c r="A14" i="10"/>
  <c r="AF12" i="10"/>
  <c r="AJ12" i="10" s="1"/>
  <c r="AI12" i="10" s="1"/>
  <c r="F15" i="10"/>
  <c r="G15" i="10" s="1"/>
  <c r="A15" i="10"/>
  <c r="AF11" i="10"/>
  <c r="AJ11" i="10" s="1"/>
  <c r="F13" i="10"/>
  <c r="G13" i="10" s="1"/>
  <c r="A13" i="10"/>
  <c r="A11" i="10"/>
  <c r="F10" i="10"/>
  <c r="G10" i="10" s="1"/>
  <c r="A10" i="10"/>
  <c r="F9" i="10"/>
  <c r="G9" i="10" s="1"/>
  <c r="A9" i="10"/>
  <c r="F8" i="10"/>
  <c r="G8" i="10" s="1"/>
  <c r="A8" i="10"/>
  <c r="F7" i="10"/>
  <c r="G7" i="10" s="1"/>
  <c r="A7" i="10"/>
  <c r="N4" i="10"/>
  <c r="O4" i="10" s="1"/>
  <c r="J4" i="10"/>
  <c r="F2" i="10"/>
  <c r="G2" i="10" s="1"/>
  <c r="A2" i="10"/>
  <c r="AL3" i="10"/>
  <c r="AK3" i="10"/>
  <c r="N3" i="10"/>
  <c r="O3" i="10" s="1"/>
  <c r="J3" i="10"/>
  <c r="F4" i="10"/>
  <c r="G4" i="10" s="1"/>
  <c r="A4" i="10"/>
  <c r="N2" i="10"/>
  <c r="J2" i="10"/>
  <c r="F3" i="10"/>
  <c r="A3" i="10"/>
  <c r="F7" i="9"/>
  <c r="G7" i="9" s="1"/>
  <c r="A7" i="9"/>
  <c r="F5" i="9"/>
  <c r="G5" i="9" s="1"/>
  <c r="A5" i="9"/>
  <c r="F20" i="9"/>
  <c r="G20" i="9" s="1"/>
  <c r="A20" i="9"/>
  <c r="F17" i="9"/>
  <c r="G17" i="9" s="1"/>
  <c r="A17" i="9"/>
  <c r="F19" i="9"/>
  <c r="G19" i="9" s="1"/>
  <c r="A19" i="9"/>
  <c r="F18" i="9"/>
  <c r="E18" i="9"/>
  <c r="A18" i="9"/>
  <c r="F16" i="9"/>
  <c r="G16" i="9" s="1"/>
  <c r="A16" i="9"/>
  <c r="F15" i="9"/>
  <c r="G15" i="9" s="1"/>
  <c r="A15" i="9"/>
  <c r="F14" i="9"/>
  <c r="G14" i="9" s="1"/>
  <c r="A14" i="9"/>
  <c r="F13" i="9"/>
  <c r="G13" i="9" s="1"/>
  <c r="A13" i="9"/>
  <c r="F12" i="9"/>
  <c r="G12" i="9" s="1"/>
  <c r="A12" i="9"/>
  <c r="F11" i="9"/>
  <c r="G11" i="9" s="1"/>
  <c r="A11" i="9"/>
  <c r="F10" i="9"/>
  <c r="G10" i="9" s="1"/>
  <c r="A10" i="9"/>
  <c r="AH6" i="9"/>
  <c r="AG6" i="9"/>
  <c r="AF6" i="9"/>
  <c r="AE6" i="9"/>
  <c r="AD6" i="9"/>
  <c r="AC6" i="9"/>
  <c r="AB6" i="9"/>
  <c r="J6" i="9"/>
  <c r="F9" i="9"/>
  <c r="G9" i="9" s="1"/>
  <c r="A9" i="9"/>
  <c r="AH5" i="9"/>
  <c r="AG5" i="9"/>
  <c r="AF5" i="9"/>
  <c r="AE5" i="9"/>
  <c r="AD5" i="9"/>
  <c r="AD3" i="9" s="1"/>
  <c r="AC5" i="9"/>
  <c r="AB5" i="9"/>
  <c r="N4" i="9"/>
  <c r="J4" i="9"/>
  <c r="F8" i="9"/>
  <c r="G8" i="9" s="1"/>
  <c r="A8" i="9"/>
  <c r="N3" i="9"/>
  <c r="O3" i="9" s="1"/>
  <c r="J3" i="9"/>
  <c r="F3" i="9"/>
  <c r="G3" i="9" s="1"/>
  <c r="A3" i="9"/>
  <c r="AL3" i="9"/>
  <c r="AK3" i="9"/>
  <c r="F4" i="9"/>
  <c r="G4" i="9" s="1"/>
  <c r="A4" i="9"/>
  <c r="N2" i="9"/>
  <c r="J2" i="9"/>
  <c r="F6" i="9"/>
  <c r="A6" i="9"/>
  <c r="A2" i="5"/>
  <c r="AH5" i="5"/>
  <c r="AH6" i="5"/>
  <c r="AF14" i="5"/>
  <c r="AJ14" i="5" s="1"/>
  <c r="A10" i="5"/>
  <c r="A9" i="5"/>
  <c r="J2" i="5"/>
  <c r="J3" i="5"/>
  <c r="J4" i="5"/>
  <c r="J5" i="5"/>
  <c r="N3" i="5"/>
  <c r="N4" i="5"/>
  <c r="N5" i="5"/>
  <c r="N2" i="5"/>
  <c r="AI12" i="5" l="1"/>
  <c r="AI18" i="5"/>
  <c r="AI13" i="5"/>
  <c r="AJ23" i="9"/>
  <c r="AI23" i="9" s="1"/>
  <c r="AE3" i="9"/>
  <c r="E21" i="9"/>
  <c r="G2" i="9"/>
  <c r="AC3" i="9"/>
  <c r="AB3" i="9"/>
  <c r="AI14" i="5"/>
  <c r="AI16" i="5"/>
  <c r="AI15" i="5"/>
  <c r="AH3" i="11"/>
  <c r="AG3" i="11"/>
  <c r="AE3" i="11"/>
  <c r="AD3" i="11"/>
  <c r="AC3" i="11"/>
  <c r="AB3" i="11"/>
  <c r="AL1" i="11"/>
  <c r="G16" i="11"/>
  <c r="O2" i="11"/>
  <c r="F20" i="11"/>
  <c r="G20" i="11" s="1"/>
  <c r="G3" i="11"/>
  <c r="X244" i="10"/>
  <c r="K10" i="10"/>
  <c r="AD5" i="10"/>
  <c r="AH6" i="10"/>
  <c r="AC5" i="10"/>
  <c r="AG5" i="10"/>
  <c r="AG6" i="10"/>
  <c r="AH5" i="10"/>
  <c r="AB6" i="10"/>
  <c r="AD6" i="10"/>
  <c r="AE6" i="10"/>
  <c r="AL1" i="9"/>
  <c r="AK1" i="10"/>
  <c r="AH16" i="10"/>
  <c r="AJ16" i="10"/>
  <c r="AI11" i="10"/>
  <c r="AI16" i="10" s="1"/>
  <c r="O2" i="10"/>
  <c r="G3" i="10"/>
  <c r="F20" i="10"/>
  <c r="G20" i="10" s="1"/>
  <c r="AH3" i="9"/>
  <c r="G18" i="9"/>
  <c r="AG3" i="9"/>
  <c r="O4" i="9"/>
  <c r="N6" i="9"/>
  <c r="O2" i="9"/>
  <c r="F21" i="9"/>
  <c r="G6" i="9"/>
  <c r="AH3" i="5"/>
  <c r="AH21" i="5"/>
  <c r="AF3" i="5" s="1"/>
  <c r="G21" i="9" l="1"/>
  <c r="AB1" i="9"/>
  <c r="AB5" i="10"/>
  <c r="AB3" i="10" s="1"/>
  <c r="AE5" i="10"/>
  <c r="AE3" i="10" s="1"/>
  <c r="AF5" i="10"/>
  <c r="AF6" i="10"/>
  <c r="AC6" i="10"/>
  <c r="AC3" i="10" s="1"/>
  <c r="AH3" i="10"/>
  <c r="AB1" i="11"/>
  <c r="M5" i="11"/>
  <c r="N5" i="11"/>
  <c r="AD3" i="10"/>
  <c r="AF3" i="10"/>
  <c r="K12" i="10"/>
  <c r="AG3" i="10"/>
  <c r="N5" i="10"/>
  <c r="K8" i="10" s="1"/>
  <c r="K11" i="10" s="1"/>
  <c r="O5" i="11" l="1"/>
  <c r="AB1" i="10"/>
  <c r="M5" i="10"/>
  <c r="O5" i="10" s="1"/>
  <c r="O6" i="9"/>
  <c r="M6" i="5"/>
  <c r="A12" i="5" l="1"/>
  <c r="A13" i="5"/>
  <c r="A19" i="5"/>
  <c r="A14" i="5"/>
  <c r="A15" i="5"/>
  <c r="A4" i="5"/>
  <c r="A6" i="5"/>
  <c r="A3" i="5"/>
  <c r="A16" i="5"/>
  <c r="A18" i="5"/>
  <c r="A5" i="5"/>
  <c r="A8" i="5"/>
  <c r="A11" i="5"/>
  <c r="A7" i="5"/>
  <c r="A17" i="5"/>
  <c r="AF11" i="5" l="1"/>
  <c r="AJ11" i="5" s="1"/>
  <c r="AG6" i="5"/>
  <c r="AF6" i="5"/>
  <c r="AE6" i="5"/>
  <c r="AD6" i="5"/>
  <c r="AC6" i="5"/>
  <c r="AB6" i="5"/>
  <c r="AG5" i="5"/>
  <c r="AF5" i="5"/>
  <c r="AE5" i="5"/>
  <c r="AD5" i="5"/>
  <c r="AC5" i="5"/>
  <c r="AB5" i="5"/>
  <c r="C2" i="3"/>
  <c r="AI11" i="5" l="1"/>
  <c r="AI21" i="5" s="1"/>
  <c r="AJ21" i="5"/>
  <c r="AD3" i="5"/>
  <c r="AG3" i="5" l="1"/>
  <c r="E20" i="5"/>
  <c r="AE3" i="5" l="1"/>
  <c r="AC3" i="5"/>
  <c r="AB3" i="5"/>
  <c r="O4" i="5"/>
  <c r="O5" i="5"/>
  <c r="O3" i="5"/>
  <c r="AB1" i="5" l="1"/>
  <c r="O2" i="5"/>
  <c r="N6" i="5"/>
  <c r="O6" i="5" l="1"/>
  <c r="G17" i="5" l="1"/>
  <c r="G8" i="5"/>
  <c r="G5" i="5"/>
  <c r="G18" i="5"/>
  <c r="G16" i="5"/>
  <c r="G3" i="5"/>
  <c r="G6" i="5"/>
  <c r="G4" i="5"/>
  <c r="G14" i="5"/>
  <c r="G19" i="5"/>
  <c r="AK3" i="5"/>
  <c r="G12" i="5"/>
  <c r="G13" i="5"/>
  <c r="AL3" i="5"/>
  <c r="G11" i="5"/>
  <c r="G7" i="5" l="1"/>
  <c r="G15" i="5"/>
  <c r="F20" i="5"/>
  <c r="G20" i="5" s="1"/>
  <c r="AK1" i="5"/>
  <c r="AH18" i="9"/>
  <c r="AJ18" i="9"/>
  <c r="AH17" i="9"/>
  <c r="AJ17" i="9"/>
  <c r="AI17" i="9" s="1"/>
  <c r="AI18" i="9" l="1"/>
  <c r="AI24" i="9" s="1"/>
  <c r="AJ24" i="9"/>
  <c r="AH24" i="9"/>
  <c r="AF3" i="9" s="1"/>
  <c r="AH22" i="11"/>
  <c r="AF3" i="11" s="1"/>
  <c r="AJ19" i="11"/>
  <c r="AI19" i="11" s="1"/>
  <c r="AI22" i="11" s="1"/>
  <c r="AJ22" i="11"/>
  <c r="M8" i="9"/>
  <c r="N8" i="9"/>
  <c r="O8" i="9" l="1"/>
</calcChain>
</file>

<file path=xl/sharedStrings.xml><?xml version="1.0" encoding="utf-8"?>
<sst xmlns="http://schemas.openxmlformats.org/spreadsheetml/2006/main" count="1759" uniqueCount="167">
  <si>
    <t>FUSAS</t>
  </si>
  <si>
    <t>FRAN</t>
  </si>
  <si>
    <t>GYM</t>
  </si>
  <si>
    <t>MUTUAL</t>
  </si>
  <si>
    <t>NICO</t>
  </si>
  <si>
    <t>VICE</t>
  </si>
  <si>
    <t>ALIMENTOS</t>
  </si>
  <si>
    <t>CRIS</t>
  </si>
  <si>
    <t>CARO</t>
  </si>
  <si>
    <t>ALQUILER</t>
  </si>
  <si>
    <t>SERVICIOS</t>
  </si>
  <si>
    <t>CP 1Q</t>
  </si>
  <si>
    <t>INS CA</t>
  </si>
  <si>
    <t>AGUA</t>
  </si>
  <si>
    <t>CLOACA</t>
  </si>
  <si>
    <t>GAS</t>
  </si>
  <si>
    <t>INTERNET</t>
  </si>
  <si>
    <t>PRESUPUESTO</t>
  </si>
  <si>
    <t>RUBRO</t>
  </si>
  <si>
    <t>INGRESO</t>
  </si>
  <si>
    <t>CTA NARANJA</t>
  </si>
  <si>
    <t>HBO MAX</t>
  </si>
  <si>
    <t>SUSCRIPCIONES</t>
  </si>
  <si>
    <t>NIVEL 6</t>
  </si>
  <si>
    <t>AMAZON PRIME</t>
  </si>
  <si>
    <t>SEGURO DE VIDA</t>
  </si>
  <si>
    <t>IN</t>
  </si>
  <si>
    <t>OUT</t>
  </si>
  <si>
    <t>"365"</t>
  </si>
  <si>
    <t>CTA LEMON</t>
  </si>
  <si>
    <t>EFECTIVO</t>
  </si>
  <si>
    <t>COMIDA</t>
  </si>
  <si>
    <t>MI</t>
  </si>
  <si>
    <t>CALC AUX</t>
  </si>
  <si>
    <t>CAJAS</t>
  </si>
  <si>
    <t>%</t>
  </si>
  <si>
    <t>PAGADO</t>
  </si>
  <si>
    <t>COBRADO</t>
  </si>
  <si>
    <t>SUB RUBRO</t>
  </si>
  <si>
    <t>PASAJES</t>
  </si>
  <si>
    <t>HOTEL</t>
  </si>
  <si>
    <t>ALIMENTO</t>
  </si>
  <si>
    <t>ENTRETENIMIENTO</t>
  </si>
  <si>
    <t>RESERVA 1</t>
  </si>
  <si>
    <t>CP 2Q</t>
  </si>
  <si>
    <t>AU 1Q</t>
  </si>
  <si>
    <t>AU 2Q</t>
  </si>
  <si>
    <t>LUZ</t>
  </si>
  <si>
    <t>INTERESES</t>
  </si>
  <si>
    <t>TIN</t>
  </si>
  <si>
    <t>PRESTAMOS</t>
  </si>
  <si>
    <t>VICENTE</t>
  </si>
  <si>
    <t>FECHA IN</t>
  </si>
  <si>
    <t>FECHA OUT</t>
  </si>
  <si>
    <t>DIAS</t>
  </si>
  <si>
    <t>FINAL</t>
  </si>
  <si>
    <t>0/1</t>
  </si>
  <si>
    <t>HOY</t>
  </si>
  <si>
    <t>ACTV</t>
  </si>
  <si>
    <t>INTS</t>
  </si>
  <si>
    <t>CP</t>
  </si>
  <si>
    <t>CTA TUENTI</t>
  </si>
  <si>
    <t>AHORRO</t>
  </si>
  <si>
    <t>OCIO</t>
  </si>
  <si>
    <t>CTA CP</t>
  </si>
  <si>
    <t>Columna1</t>
  </si>
  <si>
    <t>RUBROS</t>
  </si>
  <si>
    <t>TELÉFONO</t>
  </si>
  <si>
    <t>VIÁTICOS</t>
  </si>
  <si>
    <t>TV CABLE</t>
  </si>
  <si>
    <t>Columna2</t>
  </si>
  <si>
    <t>INGRESOS</t>
  </si>
  <si>
    <t>FARMACIA</t>
  </si>
  <si>
    <t>Total</t>
  </si>
  <si>
    <t>DATO FECHA</t>
  </si>
  <si>
    <t>FECHA</t>
  </si>
  <si>
    <t>EDUCACIÓN</t>
  </si>
  <si>
    <t>NÉSTOR</t>
  </si>
  <si>
    <t>CARTÓN</t>
  </si>
  <si>
    <t>CTA. MERCP</t>
  </si>
  <si>
    <t>SUPERMERCADO</t>
  </si>
  <si>
    <t>FIAMBRES</t>
  </si>
  <si>
    <t>CARNICERÍA</t>
  </si>
  <si>
    <t>VERDULERÍA</t>
  </si>
  <si>
    <t>LIMPIEZA</t>
  </si>
  <si>
    <t>DATO</t>
  </si>
  <si>
    <t>DENTISTA</t>
  </si>
  <si>
    <t>Etiquetas de fila</t>
  </si>
  <si>
    <t>Total general</t>
  </si>
  <si>
    <t>Suma de PRESUPUESTO</t>
  </si>
  <si>
    <t>Suma de PAGADO</t>
  </si>
  <si>
    <t>Suma de COBRADO</t>
  </si>
  <si>
    <t>DISPONIBLE</t>
  </si>
  <si>
    <t>S INICIAL</t>
  </si>
  <si>
    <t>Promedio de %</t>
  </si>
  <si>
    <t>Suma de %</t>
  </si>
  <si>
    <t>VILLA ALLENDE</t>
  </si>
  <si>
    <t>PROPINA</t>
  </si>
  <si>
    <t>SUELDO QALA</t>
  </si>
  <si>
    <t>nov-2025</t>
  </si>
  <si>
    <t>CERDO VA!</t>
  </si>
  <si>
    <t>COLIFA CARTA</t>
  </si>
  <si>
    <t>RENTAS</t>
  </si>
  <si>
    <t>MUNICIPAL</t>
  </si>
  <si>
    <t>CUOTA CELU</t>
  </si>
  <si>
    <t>CUENTA</t>
  </si>
  <si>
    <t>FRASCOS</t>
  </si>
  <si>
    <t>CUOTA CELU 50</t>
  </si>
  <si>
    <t>OX 251016 F1</t>
  </si>
  <si>
    <t>OX 251016 T1</t>
  </si>
  <si>
    <t>INT ACUM</t>
  </si>
  <si>
    <t>0/12</t>
  </si>
  <si>
    <t>CTA PERSONAL PAY</t>
  </si>
  <si>
    <t>CHAT GPT</t>
  </si>
  <si>
    <t>oct-2025</t>
  </si>
  <si>
    <t>dic-2025</t>
  </si>
  <si>
    <t>GOOGLE ONE AÑO</t>
  </si>
  <si>
    <t>OCTOPUS</t>
  </si>
  <si>
    <t>NICOLAS</t>
  </si>
  <si>
    <t>VALENTINO</t>
  </si>
  <si>
    <t>2 QUINCENA</t>
  </si>
  <si>
    <t>OX 251016 C1</t>
  </si>
  <si>
    <t>RESTAN</t>
  </si>
  <si>
    <t>OX 251016 F1 2</t>
  </si>
  <si>
    <t>OX 251016 T1 2</t>
  </si>
  <si>
    <t>FRASCO</t>
  </si>
  <si>
    <t>CUOTA CELU 50 5/6</t>
  </si>
  <si>
    <t>CUOTA CELU 50 4/6</t>
  </si>
  <si>
    <t>CUOTA CELU 50 6/6</t>
  </si>
  <si>
    <t>COLIFA FICHAS TECNICAS</t>
  </si>
  <si>
    <t>VIC</t>
  </si>
  <si>
    <t>VIAJE JULI</t>
  </si>
  <si>
    <t>EGRESO</t>
  </si>
  <si>
    <t>SALDO</t>
  </si>
  <si>
    <t>ene-2025</t>
  </si>
  <si>
    <t>OX 251016 F1 3</t>
  </si>
  <si>
    <t>OX 251016 T1 3</t>
  </si>
  <si>
    <t>OX 251016 F1 4</t>
  </si>
  <si>
    <t>OX 251016 T1 4</t>
  </si>
  <si>
    <t>OX 251016 C3</t>
  </si>
  <si>
    <t>OX 251016 T2 1</t>
  </si>
  <si>
    <t>OX 251016 F2 2</t>
  </si>
  <si>
    <t>OX 251016 C4</t>
  </si>
  <si>
    <t>OX 251112 C1</t>
  </si>
  <si>
    <t>OX 251022 C1</t>
  </si>
  <si>
    <t>OX 251112 F2</t>
  </si>
  <si>
    <t>OX 251112 T2</t>
  </si>
  <si>
    <t>OX 251211 C3</t>
  </si>
  <si>
    <t>OX 251112 F2 1</t>
  </si>
  <si>
    <t>OX 251212 F2 2</t>
  </si>
  <si>
    <t>OX 251112 T2 1</t>
  </si>
  <si>
    <t>PERSONAL</t>
  </si>
  <si>
    <t>VETERINARIO</t>
  </si>
  <si>
    <t>LIQ QALA 1</t>
  </si>
  <si>
    <t>SUELDO FLY KITCHEN</t>
  </si>
  <si>
    <t>LIQ QALA A 251203 Q1</t>
  </si>
  <si>
    <t>LIQ QALA A 251203 Q2</t>
  </si>
  <si>
    <t>DIA</t>
  </si>
  <si>
    <t>REFUERZO ESCOLAR</t>
  </si>
  <si>
    <t>MANTENIMIENTO</t>
  </si>
  <si>
    <t>CUOTA LAVADORA</t>
  </si>
  <si>
    <t>FLETES</t>
  </si>
  <si>
    <t>AGUINALDO FLY</t>
  </si>
  <si>
    <t>Vic</t>
  </si>
  <si>
    <t>REINTEGRO SUBE</t>
  </si>
  <si>
    <t>FRAN VIAJE</t>
  </si>
  <si>
    <t>FRAN EGRESADO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</si>
</sst>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[$$-2C0A]\ * #,##0.00_-;\-[$$-2C0A]\ * #,##0.00_-;_-[$$-2C0A]\ * &quot;-&quot;??_-;_-@_-"/>
    <numFmt numFmtId="166" formatCode="dd\-mm\-yy;@"/>
    <numFmt numFmtId="167" formatCode="_-* #,##0_-;\-* #,##0_-;_-* &quot;-&quot;??_-;_-@_-"/>
    <numFmt numFmtId="168" formatCode="_-* #,##0.00\ [$USDT]_-;\-* #,##0.00\ [$USD]_-;_-* &quot;-&quot;??\ [$USDT]_-;_-@_-"/>
    <numFmt numFmtId="169" formatCode="d\-m\-yy;@"/>
    <numFmt numFmtId="170" formatCode="mmm\-yyyy"/>
    <numFmt numFmtId="171" formatCode="d\-m;@"/>
    <numFmt numFmtId="172" formatCode="[$-C0A]d\-mmm;@"/>
    <numFmt numFmtId="173" formatCode="[$-C0A]d\-mmm\-yyyy;@"/>
    <numFmt numFmtId="174" formatCode="dd\-m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165" fontId="2" fillId="2" borderId="0" xfId="0" applyNumberFormat="1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" fontId="6" fillId="0" borderId="0" xfId="0" applyNumberFormat="1" applyFont="1"/>
    <xf numFmtId="0" fontId="3" fillId="4" borderId="0" xfId="0" applyFont="1" applyFill="1"/>
    <xf numFmtId="165" fontId="3" fillId="4" borderId="0" xfId="0" applyNumberFormat="1" applyFont="1" applyFill="1"/>
    <xf numFmtId="0" fontId="3" fillId="3" borderId="0" xfId="0" applyFont="1" applyFill="1"/>
    <xf numFmtId="165" fontId="3" fillId="3" borderId="0" xfId="0" applyNumberFormat="1" applyFont="1" applyFill="1"/>
    <xf numFmtId="165" fontId="3" fillId="0" borderId="0" xfId="2" applyNumberFormat="1" applyFont="1" applyFill="1"/>
    <xf numFmtId="165" fontId="6" fillId="0" borderId="0" xfId="0" applyNumberFormat="1" applyFont="1"/>
    <xf numFmtId="165" fontId="6" fillId="0" borderId="0" xfId="2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0" fontId="8" fillId="0" borderId="0" xfId="0" applyFont="1"/>
    <xf numFmtId="170" fontId="2" fillId="0" borderId="0" xfId="0" applyNumberFormat="1" applyFont="1"/>
    <xf numFmtId="9" fontId="3" fillId="0" borderId="0" xfId="3" applyFont="1" applyBorder="1"/>
    <xf numFmtId="165" fontId="3" fillId="0" borderId="0" xfId="2" applyNumberFormat="1" applyFont="1" applyFill="1" applyBorder="1"/>
    <xf numFmtId="165" fontId="2" fillId="8" borderId="0" xfId="2" applyNumberFormat="1" applyFont="1" applyFill="1" applyBorder="1"/>
    <xf numFmtId="9" fontId="3" fillId="0" borderId="0" xfId="3" applyFont="1" applyFill="1" applyBorder="1"/>
    <xf numFmtId="165" fontId="2" fillId="8" borderId="0" xfId="0" applyNumberFormat="1" applyFont="1" applyFill="1"/>
    <xf numFmtId="43" fontId="5" fillId="0" borderId="0" xfId="1" applyFont="1" applyBorder="1" applyAlignment="1">
      <alignment horizontal="center"/>
    </xf>
    <xf numFmtId="165" fontId="3" fillId="3" borderId="0" xfId="2" applyNumberFormat="1" applyFont="1" applyFill="1" applyBorder="1"/>
    <xf numFmtId="165" fontId="6" fillId="0" borderId="0" xfId="2" applyNumberFormat="1" applyFont="1" applyBorder="1"/>
    <xf numFmtId="165" fontId="2" fillId="0" borderId="0" xfId="2" applyNumberFormat="1" applyFont="1" applyBorder="1"/>
    <xf numFmtId="165" fontId="3" fillId="0" borderId="0" xfId="2" applyNumberFormat="1" applyFont="1" applyBorder="1"/>
    <xf numFmtId="165" fontId="5" fillId="3" borderId="0" xfId="2" applyNumberFormat="1" applyFont="1" applyFill="1" applyBorder="1" applyAlignment="1">
      <alignment horizontal="center"/>
    </xf>
    <xf numFmtId="165" fontId="5" fillId="4" borderId="0" xfId="2" applyNumberFormat="1" applyFont="1" applyFill="1" applyBorder="1" applyAlignment="1">
      <alignment horizontal="center"/>
    </xf>
    <xf numFmtId="168" fontId="3" fillId="7" borderId="0" xfId="2" applyNumberFormat="1" applyFont="1" applyFill="1" applyBorder="1"/>
    <xf numFmtId="43" fontId="3" fillId="0" borderId="0" xfId="1" applyFont="1" applyBorder="1"/>
    <xf numFmtId="165" fontId="3" fillId="4" borderId="0" xfId="2" applyNumberFormat="1" applyFont="1" applyFill="1" applyBorder="1"/>
    <xf numFmtId="165" fontId="5" fillId="0" borderId="0" xfId="2" applyNumberFormat="1" applyFont="1" applyBorder="1" applyAlignment="1">
      <alignment horizontal="center"/>
    </xf>
    <xf numFmtId="165" fontId="5" fillId="5" borderId="0" xfId="2" applyNumberFormat="1" applyFont="1" applyFill="1" applyBorder="1" applyAlignment="1">
      <alignment horizontal="center"/>
    </xf>
    <xf numFmtId="165" fontId="6" fillId="5" borderId="0" xfId="2" applyNumberFormat="1" applyFont="1" applyFill="1" applyBorder="1"/>
    <xf numFmtId="165" fontId="6" fillId="4" borderId="0" xfId="2" applyNumberFormat="1" applyFont="1" applyFill="1" applyBorder="1"/>
    <xf numFmtId="43" fontId="6" fillId="0" borderId="0" xfId="1" applyFont="1" applyFill="1" applyBorder="1"/>
    <xf numFmtId="10" fontId="3" fillId="0" borderId="0" xfId="3" applyNumberFormat="1" applyFont="1" applyBorder="1"/>
    <xf numFmtId="165" fontId="2" fillId="0" borderId="0" xfId="2" applyNumberFormat="1" applyFont="1" applyFill="1" applyBorder="1"/>
    <xf numFmtId="165" fontId="3" fillId="0" borderId="0" xfId="3" applyNumberFormat="1" applyFont="1" applyBorder="1" applyAlignment="1">
      <alignment horizontal="center" vertical="center"/>
    </xf>
    <xf numFmtId="167" fontId="3" fillId="0" borderId="0" xfId="1" applyNumberFormat="1" applyFont="1" applyBorder="1"/>
    <xf numFmtId="169" fontId="3" fillId="0" borderId="0" xfId="2" applyNumberFormat="1" applyFont="1" applyBorder="1"/>
    <xf numFmtId="165" fontId="2" fillId="0" borderId="0" xfId="2" applyNumberFormat="1" applyFont="1" applyFill="1" applyBorder="1" applyAlignment="1">
      <alignment horizontal="center" vertical="center"/>
    </xf>
    <xf numFmtId="9" fontId="2" fillId="0" borderId="0" xfId="3" applyFont="1" applyFill="1" applyBorder="1" applyAlignment="1">
      <alignment horizontal="center" vertical="center"/>
    </xf>
    <xf numFmtId="167" fontId="10" fillId="0" borderId="0" xfId="1" applyNumberFormat="1" applyFont="1" applyBorder="1"/>
    <xf numFmtId="171" fontId="5" fillId="0" borderId="0" xfId="0" applyNumberFormat="1" applyFont="1" applyAlignment="1">
      <alignment horizontal="center"/>
    </xf>
    <xf numFmtId="171" fontId="3" fillId="0" borderId="0" xfId="0" applyNumberFormat="1" applyFont="1"/>
    <xf numFmtId="171" fontId="6" fillId="0" borderId="0" xfId="2" applyNumberFormat="1" applyFont="1" applyBorder="1"/>
    <xf numFmtId="43" fontId="3" fillId="0" borderId="0" xfId="1" applyFont="1" applyFill="1" applyBorder="1"/>
    <xf numFmtId="165" fontId="5" fillId="0" borderId="0" xfId="0" applyNumberFormat="1" applyFont="1" applyAlignment="1">
      <alignment horizontal="center"/>
    </xf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165" fontId="2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43" fontId="5" fillId="0" borderId="0" xfId="1" applyFont="1" applyBorder="1" applyAlignment="1">
      <alignment horizontal="center" wrapText="1"/>
    </xf>
    <xf numFmtId="10" fontId="0" fillId="0" borderId="0" xfId="0" applyNumberFormat="1"/>
    <xf numFmtId="172" fontId="3" fillId="0" borderId="0" xfId="3" applyNumberFormat="1" applyFont="1" applyAlignment="1">
      <alignment horizontal="center" vertical="center"/>
    </xf>
    <xf numFmtId="14" fontId="3" fillId="0" borderId="0" xfId="3" applyNumberFormat="1" applyFont="1" applyBorder="1"/>
    <xf numFmtId="165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9" borderId="2" xfId="0" applyFont="1" applyFill="1" applyBorder="1"/>
    <xf numFmtId="9" fontId="3" fillId="0" borderId="0" xfId="3" applyFont="1" applyFill="1" applyBorder="1" applyAlignment="1">
      <alignment horizontal="center" vertical="center"/>
    </xf>
    <xf numFmtId="1" fontId="3" fillId="0" borderId="0" xfId="2" applyNumberFormat="1" applyFont="1" applyFill="1" applyAlignment="1">
      <alignment horizontal="center"/>
    </xf>
    <xf numFmtId="165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Alignment="1">
      <alignment horizontal="center"/>
    </xf>
    <xf numFmtId="1" fontId="3" fillId="0" borderId="0" xfId="2" applyNumberFormat="1" applyFont="1" applyFill="1" applyBorder="1" applyAlignment="1">
      <alignment horizontal="center"/>
    </xf>
    <xf numFmtId="0" fontId="3" fillId="10" borderId="0" xfId="0" applyFont="1" applyFill="1"/>
    <xf numFmtId="173" fontId="6" fillId="0" borderId="0" xfId="0" applyNumberFormat="1" applyFont="1"/>
    <xf numFmtId="1" fontId="10" fillId="0" borderId="0" xfId="1" applyNumberFormat="1" applyFont="1" applyBorder="1"/>
    <xf numFmtId="174" fontId="6" fillId="0" borderId="0" xfId="0" applyNumberFormat="1" applyFont="1"/>
    <xf numFmtId="171" fontId="3" fillId="0" borderId="0" xfId="0" applyNumberFormat="1" applyFont="1" applyAlignment="1">
      <alignment horizontal="right"/>
    </xf>
    <xf numFmtId="16" fontId="0" fillId="0" borderId="0" xfId="0" applyNumberFormat="1"/>
    <xf numFmtId="43" fontId="3" fillId="0" borderId="0" xfId="1" applyFont="1"/>
    <xf numFmtId="0" fontId="12" fillId="0" borderId="0" xfId="0" applyFont="1"/>
    <xf numFmtId="0" fontId="3" fillId="0" borderId="0" xfId="3" applyNumberFormat="1" applyFont="1" applyFill="1" applyBorder="1"/>
    <xf numFmtId="165" fontId="6" fillId="6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0" borderId="0" xfId="2" applyNumberFormat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325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top style="thin">
          <color theme="7" tint="0.39997558519241921"/>
        </top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strike val="0"/>
        <outline val="0"/>
        <shadow val="0"/>
        <u val="none"/>
        <vertAlign val="baseline"/>
        <sz val="9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3" formatCode="[$-C0A]d\-m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4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3" formatCode="[$-C0A]d\-m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4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3" formatCode="[$-C0A]d\-m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4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numFmt numFmtId="13" formatCode="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6" formatCode="dd\-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71" formatCode="d\-m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3" formatCode="[$-C0A]d\-m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numFmt numFmtId="165" formatCode="_-[$$-2C0A]\ * #,##0.00_-;\-[$$-2C0A]\ * #,##0.00_-;_-[$$-2C0A]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4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AJAS" pivot="0" table="0" count="10" xr9:uid="{F589DF3C-EC6A-4C6C-8B87-671F6A2F9A3C}">
      <tableStyleElement type="wholeTable" dxfId="324"/>
      <tableStyleElement type="headerRow" dxfId="323"/>
    </tableStyle>
  </tableStyles>
  <colors>
    <mruColors>
      <color rgb="FFFFFFCC"/>
      <color rgb="FFCCECFF"/>
      <color rgb="FFFFFFFF"/>
      <color rgb="FF99CCFF"/>
      <color rgb="FF339933"/>
      <color rgb="FFFFCC9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darkGray">
              <fgColor rgb="FFFFFFFF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99CCFF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AJA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ás Vitale" refreshedDate="45215.775787847226" createdVersion="8" refreshedVersion="8" minRefreshableVersion="3" recordCount="27" xr:uid="{ED021119-4DA8-404E-9555-F049D08F3278}">
  <cacheSource type="worksheet">
    <worksheetSource ref="A1:G19" sheet="NOVIEMBRE"/>
  </cacheSource>
  <cacheFields count="7">
    <cacheField name="FECHA" numFmtId="171">
      <sharedItems containsSemiMixedTypes="0" containsNonDate="0" containsDate="1" containsString="0" minDate="2023-10-05T00:00:00" maxDate="2023-10-31T00:00:00"/>
    </cacheField>
    <cacheField name="DATO FECHA" numFmtId="0">
      <sharedItems containsSemiMixedTypes="0" containsString="0" containsNumber="1" containsInteger="1" minValue="5" maxValue="30"/>
    </cacheField>
    <cacheField name="RUBRO" numFmtId="0">
      <sharedItems count="11">
        <s v="TELÉFONO"/>
        <s v="ALIMENTOS"/>
        <s v="EDUCACIÓN"/>
        <s v="GYM"/>
        <s v="MUTUAL"/>
        <s v="SERVICIOS"/>
        <s v="COMIDA"/>
        <s v="VIÁTICOS"/>
        <s v="AHORRO"/>
        <s v="ALQUILER"/>
        <s v="SUSCRIPCIONES"/>
      </sharedItems>
    </cacheField>
    <cacheField name="SUB RUBRO" numFmtId="0">
      <sharedItems containsBlank="1"/>
    </cacheField>
    <cacheField name="PRESUPUESTO" numFmtId="165">
      <sharedItems containsSemiMixedTypes="0" containsString="0" containsNumber="1" minValue="607.6" maxValue="100000"/>
    </cacheField>
    <cacheField name="PAGADO" numFmtId="165">
      <sharedItems containsSemiMixedTypes="0" containsString="0" containsNumber="1" minValue="0" maxValue="88552.67"/>
    </cacheField>
    <cacheField name="%" numFmtId="9">
      <sharedItems containsSemiMixedTypes="0" containsString="0" containsNumber="1" minValue="0" maxValue="2.8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ás Vitale" refreshedDate="45215.775787962964" createdVersion="8" refreshedVersion="8" minRefreshableVersion="3" recordCount="9" xr:uid="{9340974C-464B-499A-B531-8A1FA938F349}">
  <cacheSource type="worksheet">
    <worksheetSource ref="J1:O5" sheet="NOVIEMBRE"/>
  </cacheSource>
  <cacheFields count="6">
    <cacheField name="FECHA" numFmtId="171">
      <sharedItems containsDate="1" containsMixedTypes="1" minDate="2023-10-05T00:00:00" maxDate="2023-10-31T00:00:00"/>
    </cacheField>
    <cacheField name="DATO" numFmtId="0">
      <sharedItems containsString="0" containsBlank="1" containsNumber="1" containsInteger="1" minValue="5" maxValue="30"/>
    </cacheField>
    <cacheField name="INGRESO" numFmtId="0">
      <sharedItems count="5">
        <s v="CP 1Q"/>
        <s v="CP 2Q"/>
        <s v="AU 1Q"/>
        <s v="AU 2Q"/>
        <s v="INS CA"/>
      </sharedItems>
    </cacheField>
    <cacheField name="PRESUPUESTO" numFmtId="165">
      <sharedItems containsSemiMixedTypes="0" containsString="0" containsNumber="1" containsInteger="1" minValue="0" maxValue="140000"/>
    </cacheField>
    <cacheField name="COBRADO" numFmtId="165">
      <sharedItems containsSemiMixedTypes="0" containsString="0" containsNumber="1" minValue="0" maxValue="140000"/>
    </cacheField>
    <cacheField name="%" numFmtId="9">
      <sharedItems containsSemiMixedTypes="0" containsString="0" containsNumber="1" minValue="0" maxValue="1.4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3-10-05T00:00:00"/>
    <n v="5"/>
    <x v="0"/>
    <s v="FRAN"/>
    <n v="2432"/>
    <n v="0"/>
    <n v="0"/>
  </r>
  <r>
    <d v="2023-10-10T00:00:00"/>
    <n v="10"/>
    <x v="1"/>
    <s v="CRIS"/>
    <n v="40000"/>
    <n v="40000"/>
    <n v="1"/>
  </r>
  <r>
    <d v="2023-10-10T00:00:00"/>
    <n v="10"/>
    <x v="2"/>
    <s v="FUSAS"/>
    <n v="11300"/>
    <n v="1800"/>
    <n v="0.15929203539823009"/>
  </r>
  <r>
    <d v="2023-10-10T00:00:00"/>
    <n v="10"/>
    <x v="3"/>
    <s v="FRAN"/>
    <n v="5000"/>
    <n v="5000"/>
    <n v="1"/>
  </r>
  <r>
    <d v="2023-10-10T00:00:00"/>
    <n v="10"/>
    <x v="4"/>
    <s v="FRAN"/>
    <n v="3750"/>
    <n v="4009"/>
    <n v="1.0690666666666666"/>
  </r>
  <r>
    <d v="2023-10-10T00:00:00"/>
    <n v="10"/>
    <x v="4"/>
    <s v="VICE"/>
    <n v="3750"/>
    <n v="10509"/>
    <n v="2.8024"/>
  </r>
  <r>
    <d v="2023-10-10T00:00:00"/>
    <n v="10"/>
    <x v="4"/>
    <s v="NICO"/>
    <n v="3750"/>
    <n v="4009"/>
    <n v="1.0690666666666666"/>
  </r>
  <r>
    <d v="2023-10-10T00:00:00"/>
    <n v="10"/>
    <x v="5"/>
    <s v="AGUA"/>
    <n v="1276.3800000000001"/>
    <n v="1537.92"/>
    <n v="1.2049076293893668"/>
  </r>
  <r>
    <d v="2023-10-10T00:00:00"/>
    <n v="10"/>
    <x v="5"/>
    <s v="CLOACA"/>
    <n v="2684.45"/>
    <n v="3199.17"/>
    <n v="1.1917413250386486"/>
  </r>
  <r>
    <d v="2023-10-10T00:00:00"/>
    <n v="10"/>
    <x v="5"/>
    <s v="GAS"/>
    <n v="6984.49"/>
    <n v="6585.42"/>
    <n v="0.94286340162273841"/>
  </r>
  <r>
    <d v="2023-10-10T00:00:00"/>
    <n v="10"/>
    <x v="5"/>
    <s v="INTERNET"/>
    <n v="1927.5"/>
    <n v="2147.5"/>
    <n v="1.1141374837872893"/>
  </r>
  <r>
    <d v="2023-10-10T00:00:00"/>
    <n v="10"/>
    <x v="5"/>
    <s v="LUZ"/>
    <n v="3192.08"/>
    <n v="3192.03"/>
    <n v="0.99998433623217475"/>
  </r>
  <r>
    <d v="2023-10-13T00:00:00"/>
    <n v="15"/>
    <x v="6"/>
    <s v="FRAN"/>
    <n v="12000"/>
    <n v="6000"/>
    <n v="0.5"/>
  </r>
  <r>
    <d v="2023-10-13T00:00:00"/>
    <n v="15"/>
    <x v="7"/>
    <m/>
    <n v="28600"/>
    <n v="17600"/>
    <n v="0.61538461538461542"/>
  </r>
  <r>
    <d v="2023-10-13T00:00:00"/>
    <n v="15"/>
    <x v="6"/>
    <m/>
    <n v="100000"/>
    <n v="88552.67"/>
    <n v="0.8855267"/>
  </r>
  <r>
    <d v="2023-10-13T00:00:00"/>
    <n v="15"/>
    <x v="8"/>
    <m/>
    <n v="50000"/>
    <n v="14372.77"/>
    <n v="0.28745540000000003"/>
  </r>
  <r>
    <d v="2023-10-20T00:00:00"/>
    <n v="20"/>
    <x v="1"/>
    <s v="CARO"/>
    <n v="20000"/>
    <n v="0"/>
    <n v="0"/>
  </r>
  <r>
    <d v="2023-10-20T00:00:00"/>
    <n v="20"/>
    <x v="9"/>
    <m/>
    <n v="54000"/>
    <n v="0"/>
    <n v="0"/>
  </r>
  <r>
    <d v="2023-10-20T00:00:00"/>
    <n v="20"/>
    <x v="10"/>
    <s v="SEGURO DE VIDA"/>
    <n v="3360.35"/>
    <n v="0"/>
    <n v="0"/>
  </r>
  <r>
    <d v="2023-10-23T00:00:00"/>
    <n v="23"/>
    <x v="0"/>
    <s v="NICO"/>
    <n v="2300"/>
    <n v="830"/>
    <n v="0.36086956521739133"/>
  </r>
  <r>
    <d v="2023-10-25T00:00:00"/>
    <n v="25"/>
    <x v="10"/>
    <s v="&quot;365&quot;"/>
    <n v="607.6"/>
    <n v="0"/>
    <n v="0"/>
  </r>
  <r>
    <d v="2023-10-25T00:00:00"/>
    <n v="25"/>
    <x v="10"/>
    <s v="AMAZON PRIME"/>
    <n v="999"/>
    <n v="0"/>
    <n v="0"/>
  </r>
  <r>
    <d v="2023-10-25T00:00:00"/>
    <n v="25"/>
    <x v="10"/>
    <s v="HBO MAX"/>
    <n v="1009.2"/>
    <n v="0"/>
    <n v="0"/>
  </r>
  <r>
    <d v="2023-10-25T00:00:00"/>
    <n v="25"/>
    <x v="10"/>
    <s v="NIVEL 6"/>
    <n v="1591.23"/>
    <n v="0"/>
    <n v="0"/>
  </r>
  <r>
    <d v="2023-10-30T00:00:00"/>
    <n v="30"/>
    <x v="3"/>
    <s v="VICE"/>
    <n v="5000"/>
    <n v="5000"/>
    <n v="1"/>
  </r>
  <r>
    <d v="2023-10-30T00:00:00"/>
    <n v="30"/>
    <x v="3"/>
    <s v="NICO"/>
    <n v="5000"/>
    <n v="0"/>
    <n v="0"/>
  </r>
  <r>
    <d v="2023-10-30T00:00:00"/>
    <n v="30"/>
    <x v="0"/>
    <s v="VICE"/>
    <n v="230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3-10-05T00:00:00"/>
    <n v="5"/>
    <x v="0"/>
    <n v="140000"/>
    <n v="140000"/>
    <n v="1"/>
  </r>
  <r>
    <d v="2023-10-20T00:00:00"/>
    <n v="20"/>
    <x v="1"/>
    <n v="140000"/>
    <n v="0"/>
    <n v="0"/>
  </r>
  <r>
    <d v="2023-10-13T00:00:00"/>
    <n v="15"/>
    <x v="2"/>
    <n v="50000"/>
    <n v="12961.75"/>
    <n v="0.25923499999999999"/>
  </r>
  <r>
    <d v="2023-10-30T00:00:00"/>
    <n v="30"/>
    <x v="3"/>
    <n v="50000"/>
    <n v="0"/>
    <n v="0"/>
  </r>
  <r>
    <d v="2023-10-05T00:00:00"/>
    <m/>
    <x v="4"/>
    <n v="30000"/>
    <n v="31560"/>
    <n v="1.052"/>
  </r>
  <r>
    <d v="2023-10-12T00:00:00"/>
    <m/>
    <x v="4"/>
    <n v="30000"/>
    <n v="44520"/>
    <n v="1.484"/>
  </r>
  <r>
    <d v="2023-10-19T00:00:00"/>
    <m/>
    <x v="4"/>
    <n v="30000"/>
    <n v="0"/>
    <n v="0"/>
  </r>
  <r>
    <d v="2023-10-26T00:00:00"/>
    <m/>
    <x v="4"/>
    <n v="30000"/>
    <n v="0"/>
    <n v="0"/>
  </r>
  <r>
    <s v="-"/>
    <m/>
    <x v="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F38B9-BD95-4744-8F42-3824E2136A78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48:D60" firstHeaderRow="0" firstDataRow="1" firstDataCol="1"/>
  <pivotFields count="7">
    <pivotField numFmtId="171" showAll="0"/>
    <pivotField showAll="0"/>
    <pivotField axis="axisRow" showAll="0" sortType="ascending">
      <items count="12">
        <item x="8"/>
        <item x="1"/>
        <item x="9"/>
        <item x="6"/>
        <item x="2"/>
        <item x="3"/>
        <item x="4"/>
        <item x="5"/>
        <item x="10"/>
        <item x="0"/>
        <item x="7"/>
        <item t="default"/>
      </items>
    </pivotField>
    <pivotField showAll="0"/>
    <pivotField dataField="1" numFmtId="165" showAll="0"/>
    <pivotField dataField="1" numFmtId="165" showAll="0"/>
    <pivotField dataField="1" numFmtId="9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AGADO" fld="5" baseField="0" baseItem="0"/>
    <dataField name="Suma de PRESUPUESTO" fld="4" baseField="0" baseItem="0"/>
    <dataField name="Suma de %" fld="6" baseField="0" baseItem="0"/>
  </dataFields>
  <formats count="2">
    <format dxfId="2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</format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AA3D5-3652-4119-9FEA-775CACE671DD}" name="Tabla 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K52:N58" firstHeaderRow="0" firstDataRow="1" firstDataCol="1"/>
  <pivotFields count="6">
    <pivotField showAll="0"/>
    <pivotField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dataField="1" numFmtId="165" showAll="0"/>
    <pivotField dataField="1" numFmtId="9" showAll="0"/>
  </pivotFields>
  <rowFields count="1">
    <field x="2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%" fld="5" subtotal="average" baseField="0" baseItem="0" numFmtId="9"/>
    <dataField name="Suma de COBRADO" fld="4" baseField="0" baseItem="0" numFmtId="165"/>
    <dataField name="Suma de PRESUPUESTO" fld="3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1C819-EA9D-46D0-B442-4395A7B3E27D}" name="DATA.IN.OCTUBRE2" displayName="DATA.IN.OCTUBRE2" ref="Q1:X244" totalsRowCount="1" headerRowDxfId="322" headerRowCellStyle="Millares">
  <autoFilter ref="Q1:X243" xr:uid="{FC84B09E-55A0-4852-B820-31822836B1F7}"/>
  <sortState xmlns:xlrd2="http://schemas.microsoft.com/office/spreadsheetml/2017/richdata2" ref="Q2:X143">
    <sortCondition ref="Q1:Q143"/>
  </sortState>
  <tableColumns count="8">
    <tableColumn id="1" xr3:uid="{FF58268B-90AA-46CA-B5CD-78F7AD707B9D}" name="oct-2025" totalsRowLabel="Total" dataDxfId="321" totalsRowDxfId="320"/>
    <tableColumn id="2" xr3:uid="{A1B0B7DB-9D98-42E4-BF91-A00BADF4518D}" name="RUBRO" dataDxfId="319" totalsRowDxfId="318"/>
    <tableColumn id="3" xr3:uid="{29BBED2A-62B2-4461-90F1-E9E2A1F43E1F}" name="SUB RUBRO" dataDxfId="317" totalsRowDxfId="316" dataCellStyle="Millares"/>
    <tableColumn id="4" xr3:uid="{9B807188-4862-4232-8B7E-B9C398863A26}" name="Columna1" dataDxfId="315" totalsRowDxfId="314" dataCellStyle="Millares"/>
    <tableColumn id="5" xr3:uid="{94D98AF0-CBAE-4B3A-AB6D-B81B554A7F1E}" name="Columna2" dataDxfId="313" totalsRowDxfId="312" dataCellStyle="Millares"/>
    <tableColumn id="6" xr3:uid="{FF9ADD75-5472-4D42-B11A-FB8EF666AE14}" name="OUT" totalsRowFunction="sum" dataDxfId="311" totalsRowDxfId="310" dataCellStyle="Moneda"/>
    <tableColumn id="7" xr3:uid="{5C9B30D9-119E-40E9-8BAD-3E65EA0291EC}" name="IN" totalsRowFunction="sum" dataDxfId="309" totalsRowDxfId="308" dataCellStyle="Moneda"/>
    <tableColumn id="8" xr3:uid="{61E094C6-28F5-49C9-A38F-C9045E02D8D6}" name="CAJAS" totalsRowFunction="custom" dataDxfId="307" totalsRowDxfId="306">
      <totalsRowFormula>+DATA.IN.OCTUBRE2[[#Totals],[IN]]-DATA.IN.OCTUBRE2[[#Totals],[OUT]]</totalsRow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A56E4-632D-43E0-BB5E-30FE62095D2D}" name="PRESUPUESTO.GASTOS5" displayName="PRESUPUESTO.GASTOS5" ref="A1:G20" totalsRowCount="1" headerRowDxfId="305" headerRowCellStyle="Millares">
  <autoFilter ref="A1:G19" xr:uid="{FC002521-377D-4F7C-A69C-F610D8FC17E6}"/>
  <sortState xmlns:xlrd2="http://schemas.microsoft.com/office/spreadsheetml/2017/richdata2" ref="A2:G19">
    <sortCondition ref="A1:A19"/>
  </sortState>
  <tableColumns count="7">
    <tableColumn id="1" xr3:uid="{2A94A85D-7D2D-4A4B-9E71-092F25C1DDEC}" name="FECHA" totalsRowLabel="Total" dataDxfId="304" totalsRowDxfId="303">
      <calculatedColumnFormula>IF(WEEKDAY(DATE($J$6,$K$6,B2),2)=7, DATE($J$6,$K$6,B2)-2, DATE($J$6,$K$6,B2))</calculatedColumnFormula>
    </tableColumn>
    <tableColumn id="2" xr3:uid="{4B223EB1-7DE4-4618-BD9E-0F0FE5A6452C}" name="DATO FECHA" dataDxfId="302" totalsRowDxfId="301"/>
    <tableColumn id="3" xr3:uid="{3D922464-2C12-4D88-97F4-830E06D078A9}" name="RUBRO" dataDxfId="300" totalsRowDxfId="299"/>
    <tableColumn id="4" xr3:uid="{FE394A1A-04F9-400E-8BF7-5DCAC34E3F40}" name="SUB RUBRO" dataDxfId="298" totalsRowDxfId="297"/>
    <tableColumn id="5" xr3:uid="{43522B20-34BA-4DB5-BC89-C8ACB0EA2F9F}" name="PRESUPUESTO" totalsRowFunction="sum" dataDxfId="296" totalsRowDxfId="295" dataCellStyle="Moneda"/>
    <tableColumn id="6" xr3:uid="{5F4C3CB3-8CFF-4804-8887-CD900025DE8D}" name="PAGADO" totalsRowFunction="sum" dataDxfId="294" totalsRowDxfId="293" dataCellStyle="Moneda">
      <calculatedColumnFormula>+SUMIFS(V:V,R:R,C2,S:S,D2)</calculatedColumnFormula>
    </tableColumn>
    <tableColumn id="7" xr3:uid="{5C7B0447-292D-42C5-B6C5-FF1F6D721F0C}" name="%" totalsRowFunction="custom" dataDxfId="292" totalsRowDxfId="291" dataCellStyle="Porcentaje">
      <calculatedColumnFormula>+IFERROR(F2/E2,0)</calculatedColumnFormula>
      <totalsRowFormula>+IFERROR(PRESUPUESTO.GASTOS5[[#Totals],[PAGADO]]/PRESUPUESTO.GASTOS5[[#Totals],[PRESUPUESTO]],0)</totalsRow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EFB15F-6E3B-4A1B-932B-C38D77811602}" name="PRESUPUESTO.INGRESO8" displayName="PRESUPUESTO.INGRESO8" ref="J1:O5" totalsRowCount="1" headerRowDxfId="290" dataDxfId="289">
  <autoFilter ref="J1:O4" xr:uid="{5EA4457B-E8B9-4308-8C67-4002A6751E17}"/>
  <tableColumns count="6">
    <tableColumn id="1" xr3:uid="{49AEAF70-B08A-424E-B529-847D10E579FD}" name="FECHA" totalsRowLabel="Total" dataDxfId="288" totalsRowDxfId="287">
      <calculatedColumnFormula>IF(WEEKDAY(DATE($J$6,$K$6,K2),2)=7, DATE($J$6,$K$6,K2)-2, DATE($J$6,$K$6,K2))</calculatedColumnFormula>
    </tableColumn>
    <tableColumn id="2" xr3:uid="{561584F7-7123-4B58-B8FC-792F92E535EA}" name="DATO" dataDxfId="286" totalsRowDxfId="285"/>
    <tableColumn id="3" xr3:uid="{0848814C-25AA-400C-B325-63511AE18E09}" name="INGRESO" dataDxfId="284" totalsRowDxfId="283"/>
    <tableColumn id="4" xr3:uid="{43985E15-1941-4CC4-B4DC-CFBCE78F13BD}" name="PRESUPUESTO" totalsRowFunction="sum" dataDxfId="282" totalsRowDxfId="281" dataCellStyle="Moneda">
      <calculatedColumnFormula>+IFERROR(IF(J2="-",0,$M$9/$N$9),0)</calculatedColumnFormula>
    </tableColumn>
    <tableColumn id="5" xr3:uid="{DC20553C-E005-4E78-A952-A70C0702E08E}" name="COBRADO" totalsRowFunction="sum" dataDxfId="280" totalsRowDxfId="279" dataCellStyle="Moneda">
      <calculatedColumnFormula>+SUMIFS(W:W,S:S,L2,Q:Q,PRESUPUESTO.INGRESO8[[#This Row],[FECHA]])</calculatedColumnFormula>
    </tableColumn>
    <tableColumn id="6" xr3:uid="{3FE45935-475E-4C2E-A87B-312C01569995}" name="%" totalsRowFunction="custom" dataDxfId="278" totalsRowDxfId="277" dataCellStyle="Porcentaje">
      <calculatedColumnFormula>+IFERROR(N2/M2,0)</calculatedColumnFormula>
      <totalsRowFormula>+IFERROR(PRESUPUESTO.INGRESO8[[#Totals],[COBRADO]]/PRESUPUESTO.INGRESO8[[#Totals],[PRESUPUESTO]],0)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008591-61F4-4357-A736-19A0F6A2FF85}" name="Tabla2714" displayName="Tabla2714" ref="Z10:AL16" totalsRowCount="1" headerRowDxfId="276" headerRowCellStyle="Porcentaje">
  <autoFilter ref="Z10:AL15" xr:uid="{0F68A2BF-279B-48BF-88BA-87DDBDEEED2D}"/>
  <tableColumns count="13">
    <tableColumn id="1" xr3:uid="{FCDB7AF2-4356-4770-8E22-F70A01CA1F94}" name="0/1" totalsRowLabel="Total" dataDxfId="275" totalsRowDxfId="274"/>
    <tableColumn id="2" xr3:uid="{14F07DC9-61A2-42BC-9163-40A6C9349B1E}" name="0/12" dataDxfId="273" totalsRowDxfId="272"/>
    <tableColumn id="3" xr3:uid="{7AFF8E83-5B29-4F30-9E6D-160544818DF8}" name="CUENTA" dataDxfId="271" totalsRowDxfId="270"/>
    <tableColumn id="4" xr3:uid="{EDF09501-4D05-47C3-B1A0-59A6531112CC}" name="FRASCOS" dataDxfId="269" totalsRowDxfId="268"/>
    <tableColumn id="5" xr3:uid="{947E0B8B-5668-4DBE-8473-C04BF837B63E}" name="FECHA IN" dataDxfId="267" totalsRowDxfId="266"/>
    <tableColumn id="6" xr3:uid="{98397594-A5A6-43E2-B9F5-48E49F727609}" name="FECHA OUT" dataDxfId="265" totalsRowDxfId="264"/>
    <tableColumn id="7" xr3:uid="{D2497B4C-623A-4BAF-9C7D-5755BDEEB952}" name="DIAS" dataDxfId="263" totalsRowDxfId="262" dataCellStyle="Millares">
      <calculatedColumnFormula>+AE11-AD11</calculatedColumnFormula>
    </tableColumn>
    <tableColumn id="8" xr3:uid="{BCF23D1C-5FAC-4568-80F8-EDE05415888F}" name="FRASCO" totalsRowFunction="sum" dataDxfId="261" totalsRowDxfId="260" dataCellStyle="Moneda"/>
    <tableColumn id="9" xr3:uid="{EDAE4F7E-8A59-4074-8DA7-3F6AB7AAF354}" name="HOY" totalsRowFunction="sum" dataDxfId="259" totalsRowDxfId="258" dataCellStyle="Moneda">
      <calculatedColumnFormula>+(AG11*(1+AK11/365)^(TODAY()-Tabla2714[[#This Row],[FECHA IN]]))*Tabla2714[[#This Row],[0/1]]</calculatedColumnFormula>
    </tableColumn>
    <tableColumn id="10" xr3:uid="{E998FA15-7C93-4025-8B9F-A1877CB5ACBE}" name="FINAL" totalsRowFunction="sum" dataDxfId="257" totalsRowDxfId="256" dataCellStyle="Moneda">
      <calculatedColumnFormula>+(AG11+(AJ11*AA11))*Z11</calculatedColumnFormula>
    </tableColumn>
    <tableColumn id="11" xr3:uid="{39C3361F-4A99-4284-BC88-C613C0A57A4D}" name="INT ACUM" totalsRowFunction="sum" dataDxfId="255" totalsRowDxfId="254" dataCellStyle="Porcentaje">
      <calculatedColumnFormula>+(AG11*(1+AK11/365)^AF11)-AG11</calculatedColumnFormula>
    </tableColumn>
    <tableColumn id="12" xr3:uid="{72D2064B-07AA-47F0-B857-E0621F066C6B}" name="%" dataDxfId="253" totalsRowDxfId="252" dataCellStyle="Porcentaje"/>
    <tableColumn id="13" xr3:uid="{97F1B122-0FA9-4CEF-81D4-AF205F82DB76}" name="RESTAN" dataDxfId="251" totalsRowDxfId="250" dataCellStyle="Moneda">
      <calculatedColumnFormula>+IFERROR(Tabla2714[[#This Row],[FECHA OUT]]-TODAY(),0)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84B09E-55A0-4852-B820-31822836B1F7}" name="DATA.IN.OCTUBRE" displayName="DATA.IN.OCTUBRE" ref="Q1:X278" headerRowDxfId="247" headerRowCellStyle="Millares">
  <autoFilter ref="Q1:X278" xr:uid="{FC84B09E-55A0-4852-B820-31822836B1F7}"/>
  <sortState xmlns:xlrd2="http://schemas.microsoft.com/office/spreadsheetml/2017/richdata2" ref="Q2:X255">
    <sortCondition ref="Q1:Q255"/>
  </sortState>
  <tableColumns count="8">
    <tableColumn id="1" xr3:uid="{8FB54D44-D0CE-479B-8066-0A2330D6B1B2}" name="nov-2025" totalsRowLabel="Total" dataDxfId="246" totalsRowDxfId="245"/>
    <tableColumn id="2" xr3:uid="{C74A92C8-F67E-4C16-BC1A-17F7F16A776C}" name="RUBRO" dataDxfId="244" totalsRowDxfId="243"/>
    <tableColumn id="3" xr3:uid="{A8D40A99-A7EB-4AD7-B54A-F866D3D638AA}" name="SUB RUBRO" dataDxfId="242" totalsRowDxfId="241" dataCellStyle="Millares"/>
    <tableColumn id="4" xr3:uid="{2C1F9E44-18DB-4175-AF6E-71E752BBCF04}" name="Columna1" dataDxfId="240" totalsRowDxfId="239" dataCellStyle="Millares"/>
    <tableColumn id="5" xr3:uid="{D2118859-4365-4DDE-80B5-18B195466CA2}" name="Columna2" dataDxfId="238" totalsRowDxfId="237" dataCellStyle="Millares"/>
    <tableColumn id="6" xr3:uid="{B3F49561-2AA6-4812-9F78-F49DC0EAF59F}" name="OUT" totalsRowFunction="sum" dataDxfId="236" totalsRowDxfId="235" dataCellStyle="Moneda"/>
    <tableColumn id="7" xr3:uid="{DE250D6C-52A2-4A02-92CC-FD005EC05A8E}" name="IN" totalsRowFunction="sum" dataDxfId="234" totalsRowDxfId="233" dataCellStyle="Moneda"/>
    <tableColumn id="8" xr3:uid="{DD148C1F-AB22-47D8-84BF-73A9BE683DFA}" name="CAJAS" dataDxfId="232" totalsRowDxfId="23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002521-377D-4F7C-A69C-F610D8FC17E6}" name="PRESUPUESTO.GASTOS" displayName="PRESUPUESTO.GASTOS" ref="A1:G20" totalsRowCount="1" headerRowDxfId="230" headerRowCellStyle="Millares">
  <autoFilter ref="A1:G19" xr:uid="{FC002521-377D-4F7C-A69C-F610D8FC17E6}"/>
  <sortState xmlns:xlrd2="http://schemas.microsoft.com/office/spreadsheetml/2017/richdata2" ref="A2:G19">
    <sortCondition ref="A1:A19"/>
  </sortState>
  <tableColumns count="7">
    <tableColumn id="1" xr3:uid="{062D1990-B9A0-4B9C-B439-79AAB47B3988}" name="FECHA" totalsRowLabel="Total" dataDxfId="229" totalsRowDxfId="228">
      <calculatedColumnFormula>IF(WEEKDAY(DATE($J$7,$K$7,B2),2)=7, DATE($J$7,$K$7,B2)-2, DATE($J$7,$K$7,B2))</calculatedColumnFormula>
    </tableColumn>
    <tableColumn id="2" xr3:uid="{E5AF6FC2-7234-4F00-941A-E671C30AACB6}" name="DATO FECHA" dataDxfId="227" totalsRowDxfId="226"/>
    <tableColumn id="3" xr3:uid="{C64ABD16-101A-47B6-B353-A79E7A7B1CAD}" name="RUBRO" dataDxfId="225" totalsRowDxfId="224"/>
    <tableColumn id="4" xr3:uid="{3099F9A4-2DE6-4014-814F-58C4470F3B75}" name="SUB RUBRO" dataDxfId="223" totalsRowDxfId="222"/>
    <tableColumn id="5" xr3:uid="{31248986-5D24-4A31-A2E4-FC451EFB1FCA}" name="PRESUPUESTO" totalsRowFunction="sum" dataDxfId="221" totalsRowDxfId="220" dataCellStyle="Moneda"/>
    <tableColumn id="6" xr3:uid="{23A320B7-2100-461C-A8D6-D096C2A1B088}" name="PAGADO" totalsRowFunction="sum" dataDxfId="219" totalsRowDxfId="218" dataCellStyle="Moneda">
      <calculatedColumnFormula>+SUMIFS(V:V,R:R,C2,S:S,D2)</calculatedColumnFormula>
    </tableColumn>
    <tableColumn id="7" xr3:uid="{F00FE629-2847-48F6-8FF2-71E93761D2F9}" name="%" totalsRowFunction="custom" dataDxfId="217" totalsRowDxfId="216" dataCellStyle="Porcentaje">
      <calculatedColumnFormula>+IFERROR(F2/E2,0)</calculatedColumnFormula>
      <totalsRowFormula>+IFERROR(PRESUPUESTO.GASTOS[[#Totals],[PAGADO]]/PRESUPUESTO.GASTOS[[#Totals],[PRESUPUESTO]],0)</totalsRow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EA4457B-E8B9-4308-8C67-4002A6751E17}" name="PRESUPUESTO.INGRESO" displayName="PRESUPUESTO.INGRESO" ref="J1:O6" totalsRowCount="1" headerRowDxfId="215" dataDxfId="214">
  <autoFilter ref="J1:O5" xr:uid="{5EA4457B-E8B9-4308-8C67-4002A6751E17}"/>
  <tableColumns count="6">
    <tableColumn id="1" xr3:uid="{46C9FD34-C20B-40F0-B671-97E8B00826FF}" name="FECHA" totalsRowLabel="Total" dataDxfId="213" totalsRowDxfId="212">
      <calculatedColumnFormula>IF(WEEKDAY(DATE($J$7,$K$7,K2),2)=7, DATE($J$7,$K$7,K2)-2, DATE($J$7,$K$7,K2))</calculatedColumnFormula>
    </tableColumn>
    <tableColumn id="2" xr3:uid="{EAA6CD5B-F413-4A84-818A-D30108BA01D3}" name="DATO" dataDxfId="211" totalsRowDxfId="210"/>
    <tableColumn id="3" xr3:uid="{7674CB17-0F4A-4F68-B754-025BF6326853}" name="INGRESO" dataDxfId="209" totalsRowDxfId="208"/>
    <tableColumn id="4" xr3:uid="{E99FF79B-BF74-499E-837B-13B9B281A0F6}" name="PRESUPUESTO" totalsRowFunction="sum" dataDxfId="207" totalsRowDxfId="206" dataCellStyle="Moneda">
      <calculatedColumnFormula>+IFERROR(IF(J2="-",0,$M$10/$N$10),0)</calculatedColumnFormula>
    </tableColumn>
    <tableColumn id="5" xr3:uid="{55FD573B-E4B9-4EA0-9A95-ADE813CFBC1B}" name="COBRADO" totalsRowFunction="sum" dataDxfId="205" totalsRowDxfId="204" dataCellStyle="Moneda">
      <calculatedColumnFormula>+SUMIFS(W:W,S:S,L2,Q:Q,PRESUPUESTO.INGRESO[[#This Row],[FECHA]])</calculatedColumnFormula>
    </tableColumn>
    <tableColumn id="6" xr3:uid="{320753E0-C0B2-452E-A54F-9AA6BBECBC8A}" name="%" totalsRowFunction="custom" dataDxfId="203" totalsRowDxfId="202" dataCellStyle="Porcentaje">
      <calculatedColumnFormula>+IFERROR(N2/M2,0)</calculatedColumnFormula>
      <totalsRowFormula>+IFERROR(PRESUPUESTO.INGRESO[[#Totals],[COBRADO]]/PRESUPUESTO.INGRESO[[#Totals],[PRESUPUESTO]],0)</totalsRow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F68A2BF-279B-48BF-88BA-87DDBDEEED2D}" name="Tabla27" displayName="Tabla27" ref="Z10:AL21" totalsRowCount="1" headerRowDxfId="201" headerRowCellStyle="Porcentaje">
  <autoFilter ref="Z10:AL20" xr:uid="{0F68A2BF-279B-48BF-88BA-87DDBDEEED2D}"/>
  <sortState xmlns:xlrd2="http://schemas.microsoft.com/office/spreadsheetml/2017/richdata2" ref="Z11:AL20">
    <sortCondition ref="AE10:AE20"/>
  </sortState>
  <tableColumns count="13">
    <tableColumn id="1" xr3:uid="{14190001-C2B5-4A81-84FD-EC4A21F067BF}" name="0/1" totalsRowLabel="Total" dataDxfId="200" totalsRowDxfId="199"/>
    <tableColumn id="2" xr3:uid="{E923D942-168F-4D22-8742-8B486CEF877D}" name="0/12" dataDxfId="198" totalsRowDxfId="197"/>
    <tableColumn id="3" xr3:uid="{7D4B7C61-795E-4419-B565-37F53A72C240}" name="CUENTA" dataDxfId="196" totalsRowDxfId="195"/>
    <tableColumn id="4" xr3:uid="{8318A3B7-83DA-4E3E-8546-7018D9E29E70}" name="FRASCOS" dataDxfId="194" totalsRowDxfId="193"/>
    <tableColumn id="5" xr3:uid="{FC9BEB5E-D90E-4B55-82FD-3563139896DF}" name="FECHA IN" dataDxfId="192" totalsRowDxfId="191"/>
    <tableColumn id="6" xr3:uid="{1E028261-4A9E-4F95-8FCF-1897D26165A9}" name="FECHA OUT" dataDxfId="190" totalsRowDxfId="189"/>
    <tableColumn id="7" xr3:uid="{48C82CD4-342C-4694-BB4E-431C15B51F26}" name="DIAS" dataDxfId="188" totalsRowDxfId="187" dataCellStyle="Millares">
      <calculatedColumnFormula>+AE11-AD11</calculatedColumnFormula>
    </tableColumn>
    <tableColumn id="8" xr3:uid="{8CF39283-2D0A-47C4-BE42-2AA833DE3FA2}" name="FRASCO" dataDxfId="186" totalsRowDxfId="185" dataCellStyle="Moneda"/>
    <tableColumn id="9" xr3:uid="{EB02E25E-6F8F-48B3-A508-0C44890A48E3}" name="HOY" totalsRowFunction="sum" dataDxfId="184" totalsRowDxfId="183" dataCellStyle="Moneda">
      <calculatedColumnFormula>+(AG11*(1+AK11/365)^(TODAY()-Tabla27[[#This Row],[FECHA IN]]))*Tabla27[[#This Row],[0/1]]</calculatedColumnFormula>
    </tableColumn>
    <tableColumn id="10" xr3:uid="{7C1FAEEA-B03F-4321-AC8A-B8B9EDC02C72}" name="FINAL" totalsRowFunction="sum" dataDxfId="182" totalsRowDxfId="181" dataCellStyle="Moneda">
      <calculatedColumnFormula>+(AG11+(AJ11*AA11))*Z11</calculatedColumnFormula>
    </tableColumn>
    <tableColumn id="11" xr3:uid="{5DCDB29A-7B3A-4412-B4AC-DCFACB7C9544}" name="INT ACUM" totalsRowFunction="sum" dataDxfId="180" totalsRowDxfId="179" dataCellStyle="Porcentaje">
      <calculatedColumnFormula>+((AG11*(1+AK11/365)^AF11)-AG11)*Tabla27[[#This Row],[0/1]]</calculatedColumnFormula>
    </tableColumn>
    <tableColumn id="12" xr3:uid="{F524A2EA-584D-4BC6-BD53-DFB4E7F6524F}" name="%" dataDxfId="178" totalsRowDxfId="177" dataCellStyle="Porcentaje"/>
    <tableColumn id="13" xr3:uid="{C6CAF95F-AD23-41B1-84C9-9ACBC818F286}" name="RESTAN" dataDxfId="176" totalsRowDxfId="175" dataCellStyle="Moneda">
      <calculatedColumnFormula>+IFERROR(Tabla27[[#This Row],[FECHA OUT]]-TODAY(),0)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93C4B9C-03D5-4267-A2FB-119331EC513A}" name="DATA.IN.OCTUBRE29" displayName="DATA.IN.OCTUBRE29" ref="Q1:X142" headerRowDxfId="174" headerRowCellStyle="Millares">
  <autoFilter ref="Q1:X142" xr:uid="{FC84B09E-55A0-4852-B820-31822836B1F7}"/>
  <sortState xmlns:xlrd2="http://schemas.microsoft.com/office/spreadsheetml/2017/richdata2" ref="Q2:X136">
    <sortCondition ref="Q1:Q136"/>
  </sortState>
  <tableColumns count="8">
    <tableColumn id="1" xr3:uid="{53F01568-4426-4374-B3B9-07CF651FF55C}" name="dic-2025" totalsRowLabel="Total" dataDxfId="173" totalsRowDxfId="172"/>
    <tableColumn id="2" xr3:uid="{4D06D419-2C20-4B7A-B14A-DBC844294D25}" name="RUBRO" dataDxfId="171" totalsRowDxfId="170"/>
    <tableColumn id="3" xr3:uid="{ACE99BD7-33A3-4EE1-8238-D4EA01CB4D8F}" name="SUB RUBRO" dataDxfId="169" totalsRowDxfId="168" dataCellStyle="Millares"/>
    <tableColumn id="4" xr3:uid="{7816E29F-1D7A-4E18-A0FA-8ACCED96A946}" name="Columna1" dataDxfId="167" totalsRowDxfId="166" dataCellStyle="Millares"/>
    <tableColumn id="5" xr3:uid="{4C659559-31B2-401C-A3B9-53ADD3F56AF0}" name="Columna2" dataDxfId="165" totalsRowDxfId="164" dataCellStyle="Millares"/>
    <tableColumn id="6" xr3:uid="{8FF11AEE-55A8-454B-AA6A-F12139458660}" name="OUT" totalsRowFunction="sum" dataDxfId="163" totalsRowDxfId="162" dataCellStyle="Moneda"/>
    <tableColumn id="7" xr3:uid="{289FADF6-0BE1-4953-A52D-6D1071EF9406}" name="IN" totalsRowFunction="sum" dataDxfId="161" totalsRowDxfId="160" dataCellStyle="Moneda"/>
    <tableColumn id="8" xr3:uid="{76F6706B-8481-45E7-91CC-1BBC3A6A2F54}" name="CAJAS" dataDxfId="159" totalsRowDxfId="158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DB817E5-181C-4931-BC9F-BD3B11E15281}" name="PRESUPUESTO.GASTOS30" displayName="PRESUPUESTO.GASTOS30" ref="A1:G21" totalsRowCount="1" headerRowDxfId="157" headerRowCellStyle="Millares">
  <autoFilter ref="A1:G20" xr:uid="{FC002521-377D-4F7C-A69C-F610D8FC17E6}"/>
  <sortState xmlns:xlrd2="http://schemas.microsoft.com/office/spreadsheetml/2017/richdata2" ref="A2:G20">
    <sortCondition ref="A1:A20"/>
  </sortState>
  <tableColumns count="7">
    <tableColumn id="1" xr3:uid="{B3F0D47A-C112-4E09-A331-0BDE2730D064}" name="FECHA" totalsRowLabel="Total" dataDxfId="156" totalsRowDxfId="155">
      <calculatedColumnFormula>IF(WEEKDAY(DATE($J$9,$K$9,B2),2)=7, DATE($J$9,$K$9,B2)-2, DATE($J$9,$K$9,B2))</calculatedColumnFormula>
    </tableColumn>
    <tableColumn id="2" xr3:uid="{02C599B2-7BE9-4E39-A028-0A861B87C38F}" name="DATO FECHA" dataDxfId="154" totalsRowDxfId="153"/>
    <tableColumn id="3" xr3:uid="{EB74FEA1-46D0-40D3-A087-E98947741BA1}" name="RUBRO" dataDxfId="152" totalsRowDxfId="151"/>
    <tableColumn id="4" xr3:uid="{85A7BAA5-3C28-4706-8F45-C61ABED567EE}" name="SUB RUBRO" dataDxfId="150" totalsRowDxfId="149"/>
    <tableColumn id="5" xr3:uid="{D1EC1640-93AA-4749-8A65-6B211C90B3B5}" name="PRESUPUESTO" totalsRowFunction="sum" dataDxfId="148" totalsRowDxfId="147" dataCellStyle="Moneda"/>
    <tableColumn id="6" xr3:uid="{1ACAFF95-C9A1-4B29-8C5B-B5A9142E0D03}" name="PAGADO" totalsRowFunction="sum" dataDxfId="146" totalsRowDxfId="145" dataCellStyle="Moneda">
      <calculatedColumnFormula>+SUMIFS(V:V,R:R,C2,S:S,D2)</calculatedColumnFormula>
    </tableColumn>
    <tableColumn id="7" xr3:uid="{E91633C9-6633-4A39-8E9C-91ED833EE439}" name="%" totalsRowFunction="custom" dataDxfId="144" totalsRowDxfId="143" dataCellStyle="Porcentaje">
      <calculatedColumnFormula>+IFERROR(F2/E2,0)</calculatedColumnFormula>
      <totalsRowFormula>+IFERROR(PRESUPUESTO.GASTOS30[[#Totals],[PAGADO]]/PRESUPUESTO.GASTOS30[[#Totals],[PRESUPUESTO]],0)</totalsRow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D6255F-911E-49B6-B361-4FEC4A94800F}" name="PRESUPUESTO.INGRESO31" displayName="PRESUPUESTO.INGRESO31" ref="J1:O8" totalsRowCount="1" headerRowDxfId="142" dataDxfId="141">
  <autoFilter ref="J1:O7" xr:uid="{5EA4457B-E8B9-4308-8C67-4002A6751E17}"/>
  <tableColumns count="6">
    <tableColumn id="1" xr3:uid="{3E6ACE04-ADA1-4610-ABBF-6A6B36142C98}" name="FECHA" totalsRowLabel="Total" dataDxfId="140" totalsRowDxfId="139">
      <calculatedColumnFormula>IF(WEEKDAY(DATE($J$9,$K$9,K2),2)=7, DATE($J$9,$K$9,K2)-2, DATE($J$9,$K$9,K2))</calculatedColumnFormula>
    </tableColumn>
    <tableColumn id="2" xr3:uid="{F2833D37-83D9-4311-8D8A-9BD3CDF28002}" name="DATO" dataDxfId="138" totalsRowDxfId="137"/>
    <tableColumn id="3" xr3:uid="{509BB021-8FDE-4CFD-B8C6-0DD2EED0C3DE}" name="INGRESO" dataDxfId="136" totalsRowDxfId="135"/>
    <tableColumn id="4" xr3:uid="{14E4FF28-AC99-4494-BDED-CA706A27C4B0}" name="PRESUPUESTO" totalsRowFunction="sum" dataDxfId="134" totalsRowDxfId="133" dataCellStyle="Moneda">
      <calculatedColumnFormula>+IFERROR(IF(J2="-",0,$M$12/$N$12),0)</calculatedColumnFormula>
    </tableColumn>
    <tableColumn id="5" xr3:uid="{F48E63E2-48F2-4108-B0DC-E47582DA6CEB}" name="COBRADO" totalsRowFunction="sum" dataDxfId="132" totalsRowDxfId="131" dataCellStyle="Moneda">
      <calculatedColumnFormula>+SUMIFS(W:W,S:S,L2,Q:Q,PRESUPUESTO.INGRESO31[[#This Row],[FECHA]])</calculatedColumnFormula>
    </tableColumn>
    <tableColumn id="6" xr3:uid="{3D93AAC5-447B-4083-AF8F-3D5961DB7A1F}" name="%" totalsRowFunction="custom" dataDxfId="130" totalsRowDxfId="129" dataCellStyle="Porcentaje">
      <calculatedColumnFormula>+IFERROR(N2/M2,0)</calculatedColumnFormula>
      <totalsRowFormula>+IFERROR(PRESUPUESTO.INGRESO31[[#Totals],[COBRADO]]/PRESUPUESTO.INGRESO31[[#Totals],[PRESUPUESTO]],0)</totalsRow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82641C-C6E8-4B59-BE7E-79F0E43C4C6A}" name="Tabla2721" displayName="Tabla2721" ref="Z9:AL24" totalsRowCount="1" headerRowDxfId="128" headerRowCellStyle="Porcentaje">
  <autoFilter ref="Z9:AL23" xr:uid="{8082641C-C6E8-4B59-BE7E-79F0E43C4C6A}"/>
  <sortState xmlns:xlrd2="http://schemas.microsoft.com/office/spreadsheetml/2017/richdata2" ref="Z10:AL23">
    <sortCondition ref="AE9:AE23"/>
  </sortState>
  <tableColumns count="13">
    <tableColumn id="1" xr3:uid="{FBDF4FE3-5D94-4ED8-8A21-B154564EDE55}" name="0/1" totalsRowLabel="Total" dataDxfId="127" totalsRowDxfId="126"/>
    <tableColumn id="2" xr3:uid="{9AD9F053-891D-4F85-8564-AD53425D3502}" name="0/12" dataDxfId="125" totalsRowDxfId="124"/>
    <tableColumn id="3" xr3:uid="{30EEBD56-BBAB-4EF7-8BCB-36F0E68D956D}" name="CUENTA" dataDxfId="123" totalsRowDxfId="122"/>
    <tableColumn id="4" xr3:uid="{66914CCA-D301-42D2-BEA0-3C9EB9706194}" name="FRASCOS" dataDxfId="121" totalsRowDxfId="120"/>
    <tableColumn id="5" xr3:uid="{4BE977FC-E878-4A69-8C1F-F877DD2F6C18}" name="FECHA IN" dataDxfId="119" totalsRowDxfId="118"/>
    <tableColumn id="6" xr3:uid="{88A9556C-C5A9-47A6-B6DA-504A9E07A680}" name="FECHA OUT" dataDxfId="117" totalsRowDxfId="116"/>
    <tableColumn id="7" xr3:uid="{93BEC43B-6BE7-4DB4-B0CD-6CBAD46A8591}" name="DIAS" dataDxfId="115" totalsRowDxfId="114" dataCellStyle="Millares">
      <calculatedColumnFormula>+AE10-AD10</calculatedColumnFormula>
    </tableColumn>
    <tableColumn id="8" xr3:uid="{9E1A9C22-F16A-4CBF-BCED-18CCB1889B09}" name="FRASCO" dataDxfId="113" totalsRowDxfId="112" dataCellStyle="Moneda"/>
    <tableColumn id="9" xr3:uid="{787C3991-EC42-4611-925F-2474BADBD5DF}" name="HOY" totalsRowFunction="sum" dataDxfId="111" totalsRowDxfId="110" dataCellStyle="Moneda">
      <calculatedColumnFormula>+IFERROR(AG10*(1+AK10/365)^(TODAY()-Tabla2714[[#This Row],[FECHA IN]])*Tabla2721[[#This Row],[0/1]],0)</calculatedColumnFormula>
    </tableColumn>
    <tableColumn id="10" xr3:uid="{156DB77E-5DE5-4D25-97F1-E2BD0A0C5B15}" name="FINAL" totalsRowFunction="sum" dataDxfId="109" totalsRowDxfId="108" dataCellStyle="Moneda">
      <calculatedColumnFormula>+(AG10+(AJ10*AA10))*Z10</calculatedColumnFormula>
    </tableColumn>
    <tableColumn id="11" xr3:uid="{F04D6DB1-0959-4B38-8480-AF58BEF21E78}" name="INT ACUM" totalsRowFunction="sum" dataDxfId="107" totalsRowDxfId="106" dataCellStyle="Porcentaje">
      <calculatedColumnFormula>+(AG10*(1+AK10/365)^AF10)-AG10</calculatedColumnFormula>
    </tableColumn>
    <tableColumn id="12" xr3:uid="{153E5E68-8A9C-4FF6-86F9-6E25751675AA}" name="%" dataDxfId="105" totalsRowDxfId="104" dataCellStyle="Porcentaje"/>
    <tableColumn id="13" xr3:uid="{025749AC-25B7-4395-A631-394FC4E4FB54}" name="RESTAN" dataDxfId="103" totalsRowDxfId="102" dataCellStyle="Moneda">
      <calculatedColumnFormula>+IFERROR(Tabla2714[[#This Row],[FECHA OUT]]-TODAY(),0)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E21A439-27AD-4240-A157-181C8F79114E}" name="DATA.IN.OCTUBRE2923" displayName="DATA.IN.OCTUBRE2923" ref="Q1:X142" headerRowDxfId="101" headerRowCellStyle="Millares">
  <autoFilter ref="Q1:X142" xr:uid="{FC84B09E-55A0-4852-B820-31822836B1F7}"/>
  <sortState xmlns:xlrd2="http://schemas.microsoft.com/office/spreadsheetml/2017/richdata2" ref="Q2:X136">
    <sortCondition ref="Q1:Q136"/>
  </sortState>
  <tableColumns count="8">
    <tableColumn id="1" xr3:uid="{DA2046E1-5608-48CF-B6C3-F7ED607C08E7}" name="ene-2025" totalsRowLabel="Total" dataDxfId="100" totalsRowDxfId="99"/>
    <tableColumn id="2" xr3:uid="{C54798DA-052C-41EC-82A6-E8A6B1209561}" name="RUBRO" dataDxfId="98" totalsRowDxfId="97"/>
    <tableColumn id="3" xr3:uid="{CF63402C-FAAD-460C-B237-393A0701B261}" name="SUB RUBRO" dataDxfId="96" totalsRowDxfId="95" dataCellStyle="Millares"/>
    <tableColumn id="4" xr3:uid="{A11AF17D-00A4-4BD5-8AF2-EAAD0CAF1D1E}" name="Columna1" dataDxfId="94" totalsRowDxfId="93" dataCellStyle="Millares"/>
    <tableColumn id="5" xr3:uid="{27B69D99-5AEE-4567-ABBF-4F68CF493EEB}" name="Columna2" dataDxfId="92" totalsRowDxfId="91" dataCellStyle="Millares"/>
    <tableColumn id="6" xr3:uid="{39413D29-4C71-436C-B5DF-A2E5DCCFDA38}" name="OUT" totalsRowFunction="sum" dataDxfId="90" totalsRowDxfId="89" dataCellStyle="Moneda"/>
    <tableColumn id="7" xr3:uid="{37975547-8512-4A70-B2C1-2DAD79ECD7A0}" name="IN" totalsRowFunction="sum" dataDxfId="88" totalsRowDxfId="87" dataCellStyle="Moneda"/>
    <tableColumn id="8" xr3:uid="{EBF20418-3880-46EB-ADD2-50B3AF415D44}" name="CAJAS" dataDxfId="86" totalsRowDxfId="85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FA2B94D-F8F7-4088-88FA-8962D648383E}" name="PRESUPUESTO.GASTOS3024" displayName="PRESUPUESTO.GASTOS3024" ref="A1:G20" totalsRowCount="1" headerRowDxfId="84" headerRowCellStyle="Millares">
  <autoFilter ref="A1:G19" xr:uid="{FC002521-377D-4F7C-A69C-F610D8FC17E6}"/>
  <sortState xmlns:xlrd2="http://schemas.microsoft.com/office/spreadsheetml/2017/richdata2" ref="A2:G19">
    <sortCondition ref="A1:A19"/>
  </sortState>
  <tableColumns count="7">
    <tableColumn id="1" xr3:uid="{8DA4C582-76C1-4300-9392-B6EB926CB821}" name="FECHA" totalsRowLabel="Total" dataDxfId="83" totalsRowDxfId="82">
      <calculatedColumnFormula>IF(WEEKDAY(DATE($J$6,$K$6,B2),2)=7, DATE($J$6,$K$6,B2)-2, DATE($J$6,$K$6,B2))</calculatedColumnFormula>
    </tableColumn>
    <tableColumn id="2" xr3:uid="{353FF78E-EA1B-479E-A37C-F66BCE23EBED}" name="DATO FECHA" dataDxfId="81" totalsRowDxfId="80"/>
    <tableColumn id="3" xr3:uid="{B6E9AF0E-55D8-4CB0-9989-C02D33322359}" name="RUBRO" dataDxfId="79" totalsRowDxfId="78"/>
    <tableColumn id="4" xr3:uid="{95E26D99-7EE7-4B28-9D40-474F2A3F9589}" name="SUB RUBRO" dataDxfId="77" totalsRowDxfId="76"/>
    <tableColumn id="5" xr3:uid="{B9E55B83-C8B0-4B52-825C-6EDB1009AC35}" name="PRESUPUESTO" totalsRowFunction="sum" dataDxfId="75" totalsRowDxfId="74" dataCellStyle="Moneda"/>
    <tableColumn id="6" xr3:uid="{3F589BC0-ECDD-4A43-A25E-A8D159895C7A}" name="PAGADO" totalsRowFunction="sum" dataDxfId="73" totalsRowDxfId="72" dataCellStyle="Moneda">
      <calculatedColumnFormula>+SUMIFS(V:V,R:R,C2,S:S,D2)</calculatedColumnFormula>
    </tableColumn>
    <tableColumn id="7" xr3:uid="{B275057B-3D1D-4266-8CC5-868EB2863AE6}" name="%" totalsRowFunction="custom" dataDxfId="71" totalsRowDxfId="70" dataCellStyle="Porcentaje">
      <calculatedColumnFormula>+IFERROR(F2/E2,0)</calculatedColumnFormula>
      <totalsRowFormula>+IFERROR(PRESUPUESTO.GASTOS3024[[#Totals],[PAGADO]]/PRESUPUESTO.GASTOS3024[[#Totals],[PRESUPUESTO]],0)</totalsRow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6A1B979-19CA-4EB7-919C-E160270255D7}" name="PRESUPUESTO.INGRESO3125" displayName="PRESUPUESTO.INGRESO3125" ref="J1:O5" totalsRowCount="1" headerRowDxfId="69" dataDxfId="68">
  <autoFilter ref="J1:O4" xr:uid="{5EA4457B-E8B9-4308-8C67-4002A6751E17}"/>
  <tableColumns count="6">
    <tableColumn id="1" xr3:uid="{FAA9031C-867D-4BEC-BEB8-87F302724FAF}" name="FECHA" totalsRowLabel="Total" dataDxfId="67" totalsRowDxfId="66">
      <calculatedColumnFormula>IF(WEEKDAY(DATE($J$6,$K$6,K2),2)=7, DATE($J$6,$K$6,K2)-2, DATE($J$6,$K$6,K2))</calculatedColumnFormula>
    </tableColumn>
    <tableColumn id="2" xr3:uid="{D11EFAF7-B57A-460D-A82A-C2503686DD3D}" name="DATO" dataDxfId="65" totalsRowDxfId="64"/>
    <tableColumn id="3" xr3:uid="{67E50A2E-71FF-44CE-AB22-A352A2205F61}" name="INGRESO" dataDxfId="63" totalsRowDxfId="62"/>
    <tableColumn id="4" xr3:uid="{3CE323E5-8C46-4A6D-8975-1B664CA9C9EF}" name="PRESUPUESTO" totalsRowFunction="sum" dataDxfId="61" totalsRowDxfId="60" dataCellStyle="Moneda">
      <calculatedColumnFormula>+IFERROR(IF(J2="-",0,$M$9/$N$9),0)</calculatedColumnFormula>
    </tableColumn>
    <tableColumn id="5" xr3:uid="{2C62B6BD-49B2-4863-BE7D-4E7E17398265}" name="COBRADO" totalsRowFunction="sum" dataDxfId="59" totalsRowDxfId="58" dataCellStyle="Moneda">
      <calculatedColumnFormula>+SUMIFS(W:W,S:S,L2,Q:Q,PRESUPUESTO.INGRESO3125[[#This Row],[FECHA]])</calculatedColumnFormula>
    </tableColumn>
    <tableColumn id="6" xr3:uid="{9F92FF75-7E3D-4964-AE42-5E0AF57F45CF}" name="%" totalsRowFunction="custom" dataDxfId="57" totalsRowDxfId="56" dataCellStyle="Porcentaje">
      <calculatedColumnFormula>+IFERROR(N2/M2,0)</calculatedColumnFormula>
      <totalsRowFormula>+IFERROR(PRESUPUESTO.INGRESO3125[[#Totals],[COBRADO]]/PRESUPUESTO.INGRESO3125[[#Totals],[PRESUPUESTO]],0)</totalsRow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D4478FC-31DA-4DC0-A5CD-DB97FCA74409}" name="Tabla272126" displayName="Tabla272126" ref="Z9:AL22" totalsRowCount="1" headerRowDxfId="55" headerRowCellStyle="Porcentaje">
  <autoFilter ref="Z9:AL21" xr:uid="{8082641C-C6E8-4B59-BE7E-79F0E43C4C6A}"/>
  <tableColumns count="13">
    <tableColumn id="1" xr3:uid="{68487594-BC17-4BE8-8A0A-19FEFE0FD7BC}" name="0/1" totalsRowLabel="Total" dataDxfId="54" totalsRowDxfId="53"/>
    <tableColumn id="2" xr3:uid="{B98DEE95-BAF1-4253-897B-D2A92324919A}" name="0/12" dataDxfId="52" totalsRowDxfId="51"/>
    <tableColumn id="3" xr3:uid="{56EB0B2F-85DD-45C9-819D-10D90C63B8AA}" name="CUENTA" dataDxfId="50" totalsRowDxfId="49"/>
    <tableColumn id="4" xr3:uid="{B245AC55-FAA3-41B8-BD97-ACCDED26E6E9}" name="FRASCOS" dataDxfId="48" totalsRowDxfId="47"/>
    <tableColumn id="5" xr3:uid="{8479D037-6040-4F41-8BD8-BFDFBECE8B83}" name="FECHA IN" dataDxfId="46" totalsRowDxfId="45"/>
    <tableColumn id="6" xr3:uid="{AFE2DB73-8377-4293-BCB0-851EF58CDAA9}" name="FECHA OUT" dataDxfId="44" totalsRowDxfId="43"/>
    <tableColumn id="7" xr3:uid="{9669043C-2CB3-42E7-AC8F-3161DAA78128}" name="DIAS" dataDxfId="42" totalsRowDxfId="41" dataCellStyle="Millares">
      <calculatedColumnFormula>+AE10-AD10</calculatedColumnFormula>
    </tableColumn>
    <tableColumn id="8" xr3:uid="{4DDD0031-D9BB-4366-AE29-084DC8007F1D}" name="FRASCO" dataDxfId="40" totalsRowDxfId="39" dataCellStyle="Moneda"/>
    <tableColumn id="9" xr3:uid="{B2D08BE5-CA0F-40C9-B146-C0383F8B26E6}" name="HOY" totalsRowFunction="sum" dataDxfId="38" totalsRowDxfId="37" dataCellStyle="Moneda">
      <calculatedColumnFormula>+IFERROR(AG10*(1+AK10/365)^(TODAY()-Tabla2714[[#This Row],[FECHA IN]])*Tabla272126[[#This Row],[0/1]],0)</calculatedColumnFormula>
    </tableColumn>
    <tableColumn id="10" xr3:uid="{13C29885-D9A7-4259-AB08-B6D965362E86}" name="FINAL" totalsRowFunction="sum" dataDxfId="36" totalsRowDxfId="35" dataCellStyle="Moneda">
      <calculatedColumnFormula>+(AG10+(AJ10*AA10))*Z10</calculatedColumnFormula>
    </tableColumn>
    <tableColumn id="11" xr3:uid="{4AB8D7B6-8DA7-4B59-A1B0-2A85F953171D}" name="INT ACUM" totalsRowFunction="sum" dataDxfId="34" totalsRowDxfId="33" dataCellStyle="Porcentaje">
      <calculatedColumnFormula>+(AG10*(1+AK10/365)^AF10)-AG10</calculatedColumnFormula>
    </tableColumn>
    <tableColumn id="12" xr3:uid="{CADB500D-814E-44CB-B036-E873C147DBFE}" name="%" dataDxfId="32" totalsRowDxfId="31" dataCellStyle="Porcentaje"/>
    <tableColumn id="13" xr3:uid="{74A33998-A243-4C9A-8DCE-FF7FEA1435AD}" name="RESTAN" dataDxfId="30" totalsRowDxfId="29" dataCellStyle="Moneda">
      <calculatedColumnFormula>+IFERROR(Tabla2714[[#This Row],[FECHA OUT]]-TODAY(),0)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85D27F-6C1F-4D42-93F2-080155F2D182}" name="RUBROS" displayName="RUBROS" ref="B1:B16" totalsRowShown="0" dataDxfId="28">
  <autoFilter ref="B1:B16" xr:uid="{1785D27F-6C1F-4D42-93F2-080155F2D182}"/>
  <sortState xmlns:xlrd2="http://schemas.microsoft.com/office/spreadsheetml/2017/richdata2" ref="B2:B15">
    <sortCondition ref="B1:B15"/>
  </sortState>
  <tableColumns count="1">
    <tableColumn id="1" xr3:uid="{386D3E3C-3F8C-4DFF-8138-86DDB5BDD351}" name="RUBROS" dataDxfId="27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4B2CD3-8078-47C4-9752-D1D35B28D53E}" name="SUSCRIPCIONES" displayName="SUSCRIPCIONES" ref="D1:D10" totalsRowShown="0" dataDxfId="26">
  <autoFilter ref="D1:D10" xr:uid="{9D4B2CD3-8078-47C4-9752-D1D35B28D53E}"/>
  <sortState xmlns:xlrd2="http://schemas.microsoft.com/office/spreadsheetml/2017/richdata2" ref="D2:D6">
    <sortCondition ref="D1:D6"/>
  </sortState>
  <tableColumns count="1">
    <tableColumn id="1" xr3:uid="{0BD80D5A-029E-409C-ADE2-5BA14E865754}" name="SUSCRIPCIONES" dataDxfId="25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5FB6BC-23EE-4186-ADFF-7534FBAC05F3}" name="SERVICIOS" displayName="SERVICIOS" ref="F1:F10" totalsRowShown="0" dataDxfId="24">
  <autoFilter ref="F1:F10" xr:uid="{3F5FB6BC-23EE-4186-ADFF-7534FBAC05F3}"/>
  <sortState xmlns:xlrd2="http://schemas.microsoft.com/office/spreadsheetml/2017/richdata2" ref="F2:F7">
    <sortCondition ref="F1:F7"/>
  </sortState>
  <tableColumns count="1">
    <tableColumn id="1" xr3:uid="{1A2F6AF3-0791-426D-95C5-C48E9D6A242C}" name="SERVICIOS" dataDxfId="23"/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A17260-76D3-44BA-99F3-8E5D79E68C3E}" name="TELÉFONO" displayName="TELÉFONO" ref="H1:H4" totalsRowShown="0" dataDxfId="22">
  <autoFilter ref="H1:H4" xr:uid="{83A17260-76D3-44BA-99F3-8E5D79E68C3E}"/>
  <sortState xmlns:xlrd2="http://schemas.microsoft.com/office/spreadsheetml/2017/richdata2" ref="H2:H4">
    <sortCondition ref="H1:H4"/>
  </sortState>
  <tableColumns count="1">
    <tableColumn id="1" xr3:uid="{683C9527-C967-400B-9DD0-3CE9DCC10188}" name="TELÉFONO" dataDxfId="21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F18955-286E-4D39-8D04-F8B2B5D7BD52}" name="GYM" displayName="GYM" ref="J1:J4" totalsRowShown="0" dataDxfId="20">
  <autoFilter ref="J1:J4" xr:uid="{D1F18955-286E-4D39-8D04-F8B2B5D7BD52}"/>
  <sortState xmlns:xlrd2="http://schemas.microsoft.com/office/spreadsheetml/2017/richdata2" ref="J2:J4">
    <sortCondition ref="J1:J4"/>
  </sortState>
  <tableColumns count="1">
    <tableColumn id="1" xr3:uid="{59A31DAB-089E-4F35-8399-9E9A63EB7DF3}" name="OCTOPUS" dataDxfId="19"/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C180E2-005B-4BFA-B2C2-3B7C4DBC10CC}" name="MUTUAL" displayName="MUTUAL" ref="L1:L7" totalsRowShown="0" dataDxfId="18">
  <autoFilter ref="L1:L7" xr:uid="{52C180E2-005B-4BFA-B2C2-3B7C4DBC10CC}"/>
  <sortState xmlns:xlrd2="http://schemas.microsoft.com/office/spreadsheetml/2017/richdata2" ref="L2:L5">
    <sortCondition ref="L1:L5"/>
  </sortState>
  <tableColumns count="1">
    <tableColumn id="1" xr3:uid="{D3BC5212-95F3-4110-97C0-6611B38D1E64}" name="MUTUAL" dataDxfId="17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E25249-C075-4463-A10A-14BE1924164A}" name="ALIMENTOS" displayName="ALIMENTOS" ref="N1:N3" totalsRowShown="0" dataDxfId="16">
  <autoFilter ref="N1:N3" xr:uid="{C7E25249-C075-4463-A10A-14BE1924164A}"/>
  <sortState xmlns:xlrd2="http://schemas.microsoft.com/office/spreadsheetml/2017/richdata2" ref="N2:N3">
    <sortCondition ref="N1:N3"/>
  </sortState>
  <tableColumns count="1">
    <tableColumn id="1" xr3:uid="{EDDCB3A9-1908-439A-9B91-9F586D5FB51B}" name="ALIMENTOS" dataDxfId="15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A28883-1025-4EF6-9951-8A2643F6BDBF}" name="PRESTAMOS" displayName="PRESTAMOS" ref="P1:P4" totalsRowShown="0" dataDxfId="14">
  <autoFilter ref="P1:P4" xr:uid="{63A28883-1025-4EF6-9951-8A2643F6BDBF}"/>
  <sortState xmlns:xlrd2="http://schemas.microsoft.com/office/spreadsheetml/2017/richdata2" ref="P2:P3">
    <sortCondition ref="P1:P3"/>
  </sortState>
  <tableColumns count="1">
    <tableColumn id="1" xr3:uid="{3ED30F85-A2D9-4773-8317-4678774756DB}" name="PRESTAMOS" dataDxfId="13"/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8809C3D-B9AB-4A0A-A167-615D9E90F9FF}" name="INGRESOS" displayName="INGRESOS" ref="V1:V7" totalsRowShown="0" dataDxfId="12">
  <autoFilter ref="V1:V7" xr:uid="{68809C3D-B9AB-4A0A-A167-615D9E90F9FF}"/>
  <sortState xmlns:xlrd2="http://schemas.microsoft.com/office/spreadsheetml/2017/richdata2" ref="V2:V6">
    <sortCondition ref="V1:V6"/>
  </sortState>
  <tableColumns count="1">
    <tableColumn id="1" xr3:uid="{320AFB1D-6438-4952-AA89-73E45F69847E}" name="INGRESOS" dataDxfId="1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F2F9A3-F53A-4665-86F6-816F0D82ED9A}" name="CAJAS" displayName="CAJAS" ref="X1:X13" totalsRowShown="0" dataDxfId="10">
  <autoFilter ref="X1:X13" xr:uid="{F2F2F9A3-F53A-4665-86F6-816F0D82ED9A}"/>
  <sortState xmlns:xlrd2="http://schemas.microsoft.com/office/spreadsheetml/2017/richdata2" ref="X2:X11">
    <sortCondition ref="X1:X11"/>
  </sortState>
  <tableColumns count="1">
    <tableColumn id="1" xr3:uid="{B035C2FC-406A-40BD-A24D-42F78066507C}" name="CAJAS" dataDxfId="9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2A9DA21-9083-48D3-BABC-84F6035B722F}" name="EDUCACIÓN" displayName="EDUCACIÓN" ref="R1:R5" totalsRowShown="0" dataDxfId="8">
  <autoFilter ref="R1:R5" xr:uid="{52A9DA21-9083-48D3-BABC-84F6035B722F}"/>
  <sortState xmlns:xlrd2="http://schemas.microsoft.com/office/spreadsheetml/2017/richdata2" ref="R2">
    <sortCondition ref="R1:R2"/>
  </sortState>
  <tableColumns count="1">
    <tableColumn id="1" xr3:uid="{08E28A74-CBE4-41AB-B3DD-2AE9C8E92740}" name="EDUCACIÓN" dataDxfId="7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3271CD8-5C09-4DAD-99E0-696377A3C232}" name="COMIDA" displayName="COMIDA" ref="T1:T10" totalsRowShown="0" dataDxfId="6">
  <autoFilter ref="T1:T10" xr:uid="{A3271CD8-5C09-4DAD-99E0-696377A3C232}"/>
  <sortState xmlns:xlrd2="http://schemas.microsoft.com/office/spreadsheetml/2017/richdata2" ref="T2:T7">
    <sortCondition ref="T1:T7"/>
  </sortState>
  <tableColumns count="1">
    <tableColumn id="1" xr3:uid="{5C767DC7-0B4F-4F7B-87AD-804B3E132A44}" name="COMIDA" dataDxfId="5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C1AC660-59A0-44DE-8C7E-4FBC5183346E}" name="VIÁTICOS" displayName="VIÁTICOS" ref="Z1:Z7" totalsRowShown="0" headerRowDxfId="4" dataDxfId="2" headerRowBorderDxfId="3" tableBorderDxfId="1">
  <autoFilter ref="Z1:Z7" xr:uid="{6C1AC660-59A0-44DE-8C7E-4FBC5183346E}"/>
  <tableColumns count="1">
    <tableColumn id="1" xr3:uid="{4953DB5C-E60E-4FB3-BA6C-16597D897B7C}" name="VIÁTICO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openxmlformats.org/officeDocument/2006/relationships/table" Target="../tables/table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13" Type="http://schemas.openxmlformats.org/officeDocument/2006/relationships/table" Target="../tables/table29.xml"/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12" Type="http://schemas.openxmlformats.org/officeDocument/2006/relationships/table" Target="../tables/table28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11" Type="http://schemas.openxmlformats.org/officeDocument/2006/relationships/table" Target="../tables/table27.xml"/><Relationship Id="rId5" Type="http://schemas.openxmlformats.org/officeDocument/2006/relationships/table" Target="../tables/table21.xml"/><Relationship Id="rId10" Type="http://schemas.openxmlformats.org/officeDocument/2006/relationships/table" Target="../tables/table26.xml"/><Relationship Id="rId4" Type="http://schemas.openxmlformats.org/officeDocument/2006/relationships/table" Target="../tables/table20.xml"/><Relationship Id="rId9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29D4-36EA-4EB6-9BF1-E31DC14FA99D}">
  <dimension ref="A1:AL244"/>
  <sheetViews>
    <sheetView showGridLines="0" zoomScaleNormal="100" workbookViewId="0">
      <selection activeCell="D12" sqref="D12"/>
    </sheetView>
  </sheetViews>
  <sheetFormatPr baseColWidth="10" defaultColWidth="11.453125" defaultRowHeight="14.5" x14ac:dyDescent="0.35"/>
  <cols>
    <col min="1" max="1" width="17.54296875" style="7" bestFit="1" customWidth="1"/>
    <col min="2" max="2" width="17" style="7" bestFit="1" customWidth="1"/>
    <col min="3" max="3" width="22" style="7" bestFit="1" customWidth="1"/>
    <col min="4" max="4" width="12" style="7" bestFit="1" customWidth="1"/>
    <col min="5" max="5" width="15.7265625" style="32" customWidth="1"/>
    <col min="6" max="6" width="15.7265625" style="33" customWidth="1"/>
    <col min="7" max="7" width="7.1796875" style="32" customWidth="1"/>
    <col min="8" max="9" width="3.7265625" style="32" customWidth="1"/>
    <col min="10" max="10" width="12.54296875" style="55" bestFit="1" customWidth="1"/>
    <col min="11" max="11" width="17.54296875" style="32" bestFit="1" customWidth="1"/>
    <col min="12" max="12" width="14.453125" style="7" bestFit="1" customWidth="1"/>
    <col min="13" max="13" width="18" style="32" bestFit="1" customWidth="1"/>
    <col min="14" max="14" width="22" style="33" bestFit="1" customWidth="1"/>
    <col min="15" max="15" width="22" style="32" bestFit="1" customWidth="1"/>
    <col min="16" max="16" width="3.7265625" style="7" customWidth="1"/>
    <col min="17" max="17" width="8.453125" style="7" customWidth="1"/>
    <col min="18" max="18" width="15" style="7" bestFit="1" customWidth="1"/>
    <col min="19" max="19" width="15" style="44" customWidth="1"/>
    <col min="20" max="21" width="15" style="44" hidden="1" customWidth="1"/>
    <col min="22" max="23" width="13.1796875" style="26" bestFit="1" customWidth="1"/>
    <col min="24" max="24" width="13" style="2" bestFit="1" customWidth="1"/>
    <col min="25" max="25" width="3.453125" style="2" customWidth="1"/>
    <col min="26" max="26" width="5.08984375" style="7" customWidth="1"/>
    <col min="27" max="27" width="8.6328125" style="2" bestFit="1" customWidth="1"/>
    <col min="28" max="28" width="13.1796875" style="7" customWidth="1"/>
    <col min="29" max="29" width="22" style="7" customWidth="1"/>
    <col min="30" max="30" width="13.7265625" style="7" customWidth="1"/>
    <col min="31" max="31" width="15.26953125" style="7" bestFit="1" customWidth="1"/>
    <col min="32" max="32" width="19.81640625" style="7" customWidth="1"/>
    <col min="33" max="33" width="17.81640625" style="7" customWidth="1"/>
    <col min="34" max="34" width="15.26953125" style="7" customWidth="1"/>
    <col min="35" max="35" width="15.08984375" style="7" customWidth="1"/>
    <col min="36" max="36" width="13.54296875" style="7" bestFit="1" customWidth="1"/>
    <col min="37" max="37" width="12.453125" style="7" bestFit="1" customWidth="1"/>
    <col min="38" max="38" width="17.54296875" style="7" bestFit="1" customWidth="1"/>
    <col min="39" max="39" width="13" style="7" bestFit="1" customWidth="1"/>
    <col min="40" max="40" width="13.453125" style="7" bestFit="1" customWidth="1"/>
    <col min="41" max="42" width="12" style="7" bestFit="1" customWidth="1"/>
    <col min="43" max="44" width="11" style="7" bestFit="1" customWidth="1"/>
    <col min="45" max="45" width="8.453125" style="7" bestFit="1" customWidth="1"/>
    <col min="46" max="46" width="13" style="7" bestFit="1" customWidth="1"/>
    <col min="47" max="16384" width="11.453125" style="7"/>
  </cols>
  <sheetData>
    <row r="1" spans="1:38" s="1" customFormat="1" x14ac:dyDescent="0.35">
      <c r="A1" s="64" t="s">
        <v>75</v>
      </c>
      <c r="B1" s="64" t="s">
        <v>74</v>
      </c>
      <c r="C1" s="65" t="s">
        <v>18</v>
      </c>
      <c r="D1" s="66" t="s">
        <v>38</v>
      </c>
      <c r="E1" s="65" t="s">
        <v>17</v>
      </c>
      <c r="F1" s="65" t="s">
        <v>36</v>
      </c>
      <c r="G1" s="65" t="s">
        <v>35</v>
      </c>
      <c r="H1" s="4"/>
      <c r="I1" s="4"/>
      <c r="J1" s="53" t="s">
        <v>75</v>
      </c>
      <c r="K1" s="6" t="s">
        <v>85</v>
      </c>
      <c r="L1" s="6" t="s">
        <v>19</v>
      </c>
      <c r="M1" s="6" t="s">
        <v>17</v>
      </c>
      <c r="N1" s="6" t="s">
        <v>37</v>
      </c>
      <c r="O1" s="6" t="s">
        <v>35</v>
      </c>
      <c r="Q1" s="24" t="s">
        <v>114</v>
      </c>
      <c r="R1" s="6" t="s">
        <v>18</v>
      </c>
      <c r="S1" s="30" t="s">
        <v>38</v>
      </c>
      <c r="T1" s="30" t="s">
        <v>65</v>
      </c>
      <c r="U1" s="30" t="s">
        <v>70</v>
      </c>
      <c r="V1" s="35" t="s">
        <v>27</v>
      </c>
      <c r="W1" s="36" t="s">
        <v>26</v>
      </c>
      <c r="X1" s="6" t="s">
        <v>34</v>
      </c>
      <c r="Y1" s="2"/>
      <c r="AA1" s="2"/>
      <c r="AB1" s="87">
        <f>SUM(AB3:AE3)</f>
        <v>56743.65000000014</v>
      </c>
      <c r="AC1" s="87"/>
      <c r="AD1" s="87"/>
      <c r="AE1" s="87"/>
      <c r="AF1" s="87"/>
      <c r="AG1" s="37"/>
      <c r="AK1" s="88">
        <f>+AK3-AL3</f>
        <v>0</v>
      </c>
      <c r="AL1" s="88"/>
    </row>
    <row r="2" spans="1:38" s="5" customFormat="1" x14ac:dyDescent="0.35">
      <c r="A2" s="79">
        <f t="shared" ref="A2:A19" si="0">IF(WEEKDAY(DATE($J$6,$K$6,B2),2)=7, DATE($J$6,$K$6,B2)-2, DATE($J$6,$K$6,B2))</f>
        <v>45933</v>
      </c>
      <c r="B2" s="7">
        <v>3</v>
      </c>
      <c r="C2" s="2" t="s">
        <v>22</v>
      </c>
      <c r="D2" s="2" t="s">
        <v>113</v>
      </c>
      <c r="E2" s="26">
        <v>38613.97</v>
      </c>
      <c r="F2" s="46">
        <f t="shared" ref="F2:F10" si="1">+SUMIFS(V:V,R:R,C2,S:S,D2)</f>
        <v>38613.97</v>
      </c>
      <c r="G2" s="28">
        <f t="shared" ref="G2:G19" si="2">+IFERROR(F2/E2,0)</f>
        <v>1</v>
      </c>
      <c r="H2" s="6"/>
      <c r="I2" s="6"/>
      <c r="J2" s="54">
        <f>IF(WEEKDAY(DATE($J$6,$K$6,K2),2)=7, DATE($J$6,$K$6,K2)-2, DATE($J$6,$K$6,K2))</f>
        <v>45933</v>
      </c>
      <c r="K2" s="2">
        <v>3</v>
      </c>
      <c r="L2" s="2" t="s">
        <v>98</v>
      </c>
      <c r="M2" s="26">
        <v>1418000</v>
      </c>
      <c r="N2" s="27">
        <f>+SUMIFS(W:W,S:S,L2)</f>
        <v>1418000.07</v>
      </c>
      <c r="O2" s="28">
        <f>+IFERROR(N2/M2,0)</f>
        <v>1.0000000493653034</v>
      </c>
      <c r="P2" s="6"/>
      <c r="Q2" s="8">
        <v>45932</v>
      </c>
      <c r="R2" s="2" t="s">
        <v>71</v>
      </c>
      <c r="S2" s="56" t="s">
        <v>48</v>
      </c>
      <c r="T2" s="56"/>
      <c r="U2" s="56"/>
      <c r="V2" s="31"/>
      <c r="W2" s="39">
        <v>1601.02</v>
      </c>
      <c r="X2" s="2" t="s">
        <v>20</v>
      </c>
      <c r="Y2" s="6"/>
      <c r="AB2" s="6" t="s">
        <v>20</v>
      </c>
      <c r="AC2" s="6" t="s">
        <v>79</v>
      </c>
      <c r="AD2" s="71" t="s">
        <v>112</v>
      </c>
      <c r="AE2" s="40" t="s">
        <v>30</v>
      </c>
      <c r="AF2" s="40" t="s">
        <v>106</v>
      </c>
      <c r="AG2" s="40" t="s">
        <v>61</v>
      </c>
      <c r="AH2" s="6" t="s">
        <v>64</v>
      </c>
      <c r="AJ2" s="40" t="s">
        <v>33</v>
      </c>
      <c r="AK2" s="41" t="s">
        <v>27</v>
      </c>
      <c r="AL2" s="36" t="s">
        <v>26</v>
      </c>
    </row>
    <row r="3" spans="1:38" x14ac:dyDescent="0.35">
      <c r="A3" s="79">
        <f t="shared" si="0"/>
        <v>45936</v>
      </c>
      <c r="B3" s="7">
        <v>6</v>
      </c>
      <c r="C3" s="2" t="s">
        <v>67</v>
      </c>
      <c r="D3" s="2" t="s">
        <v>4</v>
      </c>
      <c r="E3" s="26">
        <v>11000</v>
      </c>
      <c r="F3" s="46">
        <f t="shared" si="1"/>
        <v>14600</v>
      </c>
      <c r="G3" s="28">
        <f t="shared" si="2"/>
        <v>1.3272727272727274</v>
      </c>
      <c r="H3" s="25"/>
      <c r="I3" s="25"/>
      <c r="J3" s="54">
        <f>IF(WEEKDAY(DATE($J$6,$K$6,K3),2)=7, DATE($J$6,$K$6,K3)-2, DATE($J$6,$K$6,K3))</f>
        <v>45933</v>
      </c>
      <c r="K3" s="2">
        <v>3</v>
      </c>
      <c r="L3" s="2" t="s">
        <v>101</v>
      </c>
      <c r="M3" s="26">
        <v>120000</v>
      </c>
      <c r="N3" s="27">
        <f>+SUMIFS(W:W,S:S,L3)</f>
        <v>120000</v>
      </c>
      <c r="O3" s="28">
        <f t="shared" ref="O3:O4" si="3">+IFERROR(N3/M3,0)</f>
        <v>1</v>
      </c>
      <c r="Q3" s="8">
        <v>45932</v>
      </c>
      <c r="R3" s="2" t="s">
        <v>71</v>
      </c>
      <c r="S3" s="56" t="s">
        <v>106</v>
      </c>
      <c r="T3" s="56"/>
      <c r="U3" s="56"/>
      <c r="V3" s="31"/>
      <c r="W3" s="39">
        <v>90000</v>
      </c>
      <c r="X3" s="2" t="s">
        <v>20</v>
      </c>
      <c r="AA3" s="2" t="s">
        <v>92</v>
      </c>
      <c r="AB3" s="3">
        <f>SUM(AB4:AB6)</f>
        <v>54356.280000000261</v>
      </c>
      <c r="AC3" s="3">
        <f>SUM(AC4:AC6)</f>
        <v>2387.3699999998789</v>
      </c>
      <c r="AD3" s="3">
        <f>SUM(AD4:AD6)+SUM(AG64,AG65)-SUM(AD4:AD6)</f>
        <v>0</v>
      </c>
      <c r="AE3" s="3">
        <f>SUM(AE4:AE6)</f>
        <v>0</v>
      </c>
      <c r="AF3" s="3">
        <f ca="1">+Tabla2714[[#Totals],[HOY]]</f>
        <v>902329.50386646204</v>
      </c>
      <c r="AG3" s="3">
        <f>SUM(AG4:AG6)</f>
        <v>0</v>
      </c>
      <c r="AH3" s="3">
        <f>SUM(AH4:AH6)</f>
        <v>0</v>
      </c>
      <c r="AJ3" s="40" t="s">
        <v>32</v>
      </c>
      <c r="AK3" s="42">
        <f>+SUMIFS($V:$V,$R:$R,$AJ$3)</f>
        <v>259367.16999999998</v>
      </c>
      <c r="AL3" s="43">
        <f>+SUMIFS($W:$W,$R:$R,$AJ$3)</f>
        <v>259367.16999999998</v>
      </c>
    </row>
    <row r="4" spans="1:38" x14ac:dyDescent="0.35">
      <c r="A4" s="79">
        <f t="shared" si="0"/>
        <v>45937</v>
      </c>
      <c r="B4" s="7">
        <v>7</v>
      </c>
      <c r="C4" s="2" t="s">
        <v>10</v>
      </c>
      <c r="D4" s="2" t="s">
        <v>15</v>
      </c>
      <c r="E4" s="26">
        <v>58557</v>
      </c>
      <c r="F4" s="46">
        <f t="shared" si="1"/>
        <v>58577.279999999999</v>
      </c>
      <c r="G4" s="28">
        <f t="shared" si="2"/>
        <v>1.0003463292176853</v>
      </c>
      <c r="H4" s="25"/>
      <c r="I4" s="25"/>
      <c r="J4" s="54">
        <f>IF(WEEKDAY(DATE($J$6,$K$6,K4),2)=7, DATE($J$6,$K$6,K4)-2, DATE($J$6,$K$6,K4))</f>
        <v>45941</v>
      </c>
      <c r="K4" s="2">
        <v>11</v>
      </c>
      <c r="L4" s="2" t="s">
        <v>100</v>
      </c>
      <c r="M4" s="26">
        <v>1500000</v>
      </c>
      <c r="N4" s="27">
        <f>+SUMIFS(W:W,S:S,L4)</f>
        <v>1500000</v>
      </c>
      <c r="O4" s="28">
        <f t="shared" si="3"/>
        <v>1</v>
      </c>
      <c r="Q4" s="8">
        <v>45933</v>
      </c>
      <c r="R4" s="2" t="s">
        <v>31</v>
      </c>
      <c r="S4" s="56"/>
      <c r="T4" s="56"/>
      <c r="U4" s="56"/>
      <c r="V4" s="31">
        <v>1813</v>
      </c>
      <c r="W4" s="39"/>
      <c r="X4" s="2" t="s">
        <v>79</v>
      </c>
      <c r="AA4" s="2" t="s">
        <v>93</v>
      </c>
      <c r="AB4" s="34">
        <f>-30000+1</f>
        <v>-29999</v>
      </c>
      <c r="AC4" s="34">
        <v>24034.509999999926</v>
      </c>
      <c r="AD4" s="34"/>
      <c r="AE4" s="34"/>
      <c r="AF4" s="34"/>
      <c r="AG4" s="34"/>
      <c r="AH4" s="34"/>
    </row>
    <row r="5" spans="1:38" x14ac:dyDescent="0.35">
      <c r="A5" s="79">
        <f t="shared" si="0"/>
        <v>45937</v>
      </c>
      <c r="B5" s="7">
        <v>7</v>
      </c>
      <c r="C5" s="2" t="s">
        <v>22</v>
      </c>
      <c r="D5" s="2" t="s">
        <v>28</v>
      </c>
      <c r="E5" s="26">
        <v>6094.86</v>
      </c>
      <c r="F5" s="46">
        <f t="shared" si="1"/>
        <v>12058.91</v>
      </c>
      <c r="G5" s="28">
        <f t="shared" si="2"/>
        <v>1.9785376530387901</v>
      </c>
      <c r="H5" s="25"/>
      <c r="I5" s="25"/>
      <c r="J5" s="54" t="s">
        <v>73</v>
      </c>
      <c r="K5" s="2"/>
      <c r="L5" s="2"/>
      <c r="M5" s="16">
        <f>SUBTOTAL(109,PRESUPUESTO.INGRESO8[PRESUPUESTO])</f>
        <v>3038000</v>
      </c>
      <c r="N5" s="29">
        <f>SUBTOTAL(109,PRESUPUESTO.INGRESO8[COBRADO])</f>
        <v>3038000.0700000003</v>
      </c>
      <c r="O5" s="22">
        <f>+IFERROR(PRESUPUESTO.INGRESO8[[#Totals],[COBRADO]]/PRESUPUESTO.INGRESO8[[#Totals],[PRESUPUESTO]],0)</f>
        <v>1.0000000230414747</v>
      </c>
      <c r="Q5" s="8">
        <v>45933</v>
      </c>
      <c r="R5" s="2" t="s">
        <v>22</v>
      </c>
      <c r="S5" s="56" t="s">
        <v>113</v>
      </c>
      <c r="T5" s="56"/>
      <c r="U5" s="56"/>
      <c r="V5" s="31">
        <v>38613.97</v>
      </c>
      <c r="W5" s="39"/>
      <c r="X5" s="2" t="s">
        <v>79</v>
      </c>
      <c r="AA5" s="9" t="s">
        <v>26</v>
      </c>
      <c r="AB5" s="10">
        <f t="shared" ref="AB5:AH5" si="4">+SUMIFS($W:$W,$X:$X,AB2)</f>
        <v>1810242.9800000002</v>
      </c>
      <c r="AC5" s="10">
        <f t="shared" si="4"/>
        <v>1588583.1799999997</v>
      </c>
      <c r="AD5" s="10">
        <f t="shared" si="4"/>
        <v>0</v>
      </c>
      <c r="AE5" s="10">
        <f t="shared" si="4"/>
        <v>0</v>
      </c>
      <c r="AF5" s="10">
        <f t="shared" si="4"/>
        <v>0</v>
      </c>
      <c r="AG5" s="10">
        <f t="shared" si="4"/>
        <v>0</v>
      </c>
      <c r="AH5" s="10">
        <f t="shared" si="4"/>
        <v>0</v>
      </c>
    </row>
    <row r="6" spans="1:38" x14ac:dyDescent="0.35">
      <c r="A6" s="79">
        <f t="shared" si="0"/>
        <v>45938</v>
      </c>
      <c r="B6" s="7">
        <v>8</v>
      </c>
      <c r="C6" s="2" t="s">
        <v>22</v>
      </c>
      <c r="D6" s="2" t="s">
        <v>24</v>
      </c>
      <c r="E6" s="26">
        <v>7836.79</v>
      </c>
      <c r="F6" s="46">
        <f t="shared" si="1"/>
        <v>12088.769999999999</v>
      </c>
      <c r="G6" s="28">
        <f t="shared" si="2"/>
        <v>1.5425665355330433</v>
      </c>
      <c r="H6" s="25"/>
      <c r="I6" s="25"/>
      <c r="J6" s="80">
        <v>2025</v>
      </c>
      <c r="K6" s="52">
        <v>10</v>
      </c>
      <c r="Q6" s="8">
        <v>45933</v>
      </c>
      <c r="R6" s="2" t="s">
        <v>68</v>
      </c>
      <c r="S6" s="56" t="s">
        <v>51</v>
      </c>
      <c r="T6" s="56"/>
      <c r="U6" s="56"/>
      <c r="V6" s="31">
        <v>10000</v>
      </c>
      <c r="W6" s="39"/>
      <c r="X6" s="2" t="s">
        <v>79</v>
      </c>
      <c r="AA6" s="11" t="s">
        <v>27</v>
      </c>
      <c r="AB6" s="12">
        <f t="shared" ref="AB6:AH6" si="5">+SUMIFS($V:$V,$X:$X,AB2)*-1</f>
        <v>-1725887.7</v>
      </c>
      <c r="AC6" s="12">
        <f t="shared" si="5"/>
        <v>-1610230.3199999998</v>
      </c>
      <c r="AD6" s="12">
        <f t="shared" si="5"/>
        <v>0</v>
      </c>
      <c r="AE6" s="12">
        <f t="shared" si="5"/>
        <v>0</v>
      </c>
      <c r="AF6" s="12">
        <f t="shared" si="5"/>
        <v>0</v>
      </c>
      <c r="AG6" s="12">
        <f t="shared" si="5"/>
        <v>0</v>
      </c>
      <c r="AH6" s="12">
        <f t="shared" si="5"/>
        <v>0</v>
      </c>
    </row>
    <row r="7" spans="1:38" x14ac:dyDescent="0.35">
      <c r="A7" s="79">
        <f t="shared" si="0"/>
        <v>45940</v>
      </c>
      <c r="B7" s="7">
        <v>10</v>
      </c>
      <c r="C7" s="2" t="s">
        <v>76</v>
      </c>
      <c r="D7" s="2" t="s">
        <v>0</v>
      </c>
      <c r="E7" s="26">
        <v>50000</v>
      </c>
      <c r="F7" s="46">
        <f t="shared" si="1"/>
        <v>50000</v>
      </c>
      <c r="G7" s="28">
        <f t="shared" si="2"/>
        <v>1</v>
      </c>
      <c r="H7" s="25"/>
      <c r="I7" s="25"/>
      <c r="L7" s="2"/>
      <c r="M7" s="34"/>
      <c r="N7" s="46"/>
      <c r="O7" s="28"/>
      <c r="Q7" s="8">
        <v>45933</v>
      </c>
      <c r="R7" s="2" t="s">
        <v>31</v>
      </c>
      <c r="S7" s="56"/>
      <c r="T7" s="56"/>
      <c r="U7" s="56"/>
      <c r="V7" s="31">
        <v>10000</v>
      </c>
      <c r="W7" s="39"/>
      <c r="X7" s="2" t="s">
        <v>79</v>
      </c>
      <c r="AC7" s="16"/>
      <c r="AD7" s="14"/>
      <c r="AF7" s="14"/>
      <c r="AG7" s="26"/>
    </row>
    <row r="8" spans="1:38" x14ac:dyDescent="0.35">
      <c r="A8" s="79">
        <f t="shared" si="0"/>
        <v>45940</v>
      </c>
      <c r="B8" s="7">
        <v>10</v>
      </c>
      <c r="C8" s="2" t="s">
        <v>10</v>
      </c>
      <c r="D8" s="2" t="s">
        <v>13</v>
      </c>
      <c r="E8" s="26">
        <v>30800</v>
      </c>
      <c r="F8" s="46">
        <f t="shared" si="1"/>
        <v>30800</v>
      </c>
      <c r="G8" s="28">
        <f t="shared" si="2"/>
        <v>1</v>
      </c>
      <c r="H8" s="25"/>
      <c r="I8" s="25"/>
      <c r="J8" s="55" t="s">
        <v>19</v>
      </c>
      <c r="K8" s="32">
        <f>+PRESUPUESTO.INGRESO8[[#Totals],[COBRADO]]+SUM(AA4:AC4)</f>
        <v>3032035.58</v>
      </c>
      <c r="L8" s="2"/>
      <c r="M8" s="6"/>
      <c r="N8" s="46"/>
      <c r="O8" s="28"/>
      <c r="Q8" s="8">
        <v>45933</v>
      </c>
      <c r="R8" s="2" t="s">
        <v>31</v>
      </c>
      <c r="S8" s="56"/>
      <c r="T8" s="56"/>
      <c r="U8" s="56"/>
      <c r="V8" s="31">
        <v>5400</v>
      </c>
      <c r="W8" s="39"/>
      <c r="X8" s="2" t="s">
        <v>79</v>
      </c>
      <c r="AB8" s="14"/>
      <c r="AC8" s="16"/>
      <c r="AD8" s="14"/>
      <c r="AE8" s="14"/>
      <c r="AF8" s="57"/>
      <c r="AG8" s="26"/>
      <c r="AK8" s="2"/>
      <c r="AL8" s="26"/>
    </row>
    <row r="9" spans="1:38" x14ac:dyDescent="0.35">
      <c r="A9" s="79">
        <f t="shared" si="0"/>
        <v>45940</v>
      </c>
      <c r="B9" s="7">
        <v>10</v>
      </c>
      <c r="C9" s="2" t="s">
        <v>10</v>
      </c>
      <c r="D9" s="2" t="s">
        <v>102</v>
      </c>
      <c r="E9" s="26">
        <v>18300</v>
      </c>
      <c r="F9" s="46">
        <f t="shared" si="1"/>
        <v>18300</v>
      </c>
      <c r="G9" s="28">
        <f t="shared" si="2"/>
        <v>1</v>
      </c>
      <c r="H9" s="25"/>
      <c r="I9" s="25"/>
      <c r="J9" s="55" t="s">
        <v>17</v>
      </c>
      <c r="K9" s="32">
        <f>+PRESUPUESTO.GASTOS5[[#Totals],[PRESUPUESTO]]</f>
        <v>1424769.48</v>
      </c>
      <c r="L9" s="2"/>
      <c r="M9" s="34"/>
      <c r="N9" s="7"/>
      <c r="O9" s="28"/>
      <c r="Q9" s="8">
        <v>45933</v>
      </c>
      <c r="R9" s="2" t="s">
        <v>71</v>
      </c>
      <c r="S9" s="56" t="s">
        <v>98</v>
      </c>
      <c r="T9" s="56"/>
      <c r="U9" s="56"/>
      <c r="V9" s="31"/>
      <c r="W9" s="39">
        <v>1418000.07</v>
      </c>
      <c r="X9" s="2" t="s">
        <v>79</v>
      </c>
      <c r="Z9" s="20" t="s">
        <v>58</v>
      </c>
      <c r="AA9" s="20" t="s">
        <v>59</v>
      </c>
      <c r="AG9" s="45"/>
      <c r="AH9" s="69"/>
      <c r="AL9" s="26"/>
    </row>
    <row r="10" spans="1:38" x14ac:dyDescent="0.35">
      <c r="A10" s="79">
        <f t="shared" si="0"/>
        <v>45940</v>
      </c>
      <c r="B10" s="7">
        <v>10</v>
      </c>
      <c r="C10" s="2" t="s">
        <v>10</v>
      </c>
      <c r="D10" s="2" t="s">
        <v>103</v>
      </c>
      <c r="E10" s="26">
        <v>6000</v>
      </c>
      <c r="F10" s="46">
        <f t="shared" si="1"/>
        <v>6000</v>
      </c>
      <c r="G10" s="28">
        <f t="shared" si="2"/>
        <v>1</v>
      </c>
      <c r="H10" s="25"/>
      <c r="I10" s="25"/>
      <c r="J10" s="55" t="s">
        <v>132</v>
      </c>
      <c r="K10" s="32">
        <f ca="1">+DATA.IN.OCTUBRE2[[#Totals],[OUT]]-SUMIF(R:V,"MI",V:V)-SUMIF(R:V,"INGRESOS",V:V)</f>
        <v>2186245.8500000006</v>
      </c>
      <c r="O10" s="28"/>
      <c r="Q10" s="8">
        <v>45933</v>
      </c>
      <c r="R10" s="2" t="s">
        <v>68</v>
      </c>
      <c r="S10" s="56" t="s">
        <v>4</v>
      </c>
      <c r="T10" s="56"/>
      <c r="U10" s="56"/>
      <c r="V10" s="31">
        <v>2086</v>
      </c>
      <c r="W10" s="39"/>
      <c r="X10" s="2" t="s">
        <v>79</v>
      </c>
      <c r="Z10" s="18" t="s">
        <v>56</v>
      </c>
      <c r="AA10" s="18" t="s">
        <v>111</v>
      </c>
      <c r="AB10" s="18" t="s">
        <v>105</v>
      </c>
      <c r="AC10" s="18" t="s">
        <v>106</v>
      </c>
      <c r="AD10" s="18" t="s">
        <v>52</v>
      </c>
      <c r="AE10" s="18" t="s">
        <v>53</v>
      </c>
      <c r="AF10" s="19" t="s">
        <v>54</v>
      </c>
      <c r="AG10" s="47" t="s">
        <v>125</v>
      </c>
      <c r="AH10" s="68" t="s">
        <v>57</v>
      </c>
      <c r="AI10" s="47" t="s">
        <v>55</v>
      </c>
      <c r="AJ10" s="47" t="s">
        <v>110</v>
      </c>
      <c r="AK10" s="47" t="s">
        <v>35</v>
      </c>
      <c r="AL10" s="75" t="s">
        <v>122</v>
      </c>
    </row>
    <row r="11" spans="1:38" x14ac:dyDescent="0.35">
      <c r="A11" s="79">
        <f t="shared" si="0"/>
        <v>45940</v>
      </c>
      <c r="B11" s="7">
        <v>10</v>
      </c>
      <c r="C11" s="2" t="s">
        <v>9</v>
      </c>
      <c r="D11" s="2"/>
      <c r="E11" s="26">
        <v>438160</v>
      </c>
      <c r="F11" s="46">
        <f>+SUMIFS(V:V,R:R,C11)</f>
        <v>438160</v>
      </c>
      <c r="G11" s="28">
        <f t="shared" si="2"/>
        <v>1</v>
      </c>
      <c r="H11" s="25"/>
      <c r="I11" s="25"/>
      <c r="J11" s="55" t="s">
        <v>133</v>
      </c>
      <c r="K11" s="32">
        <f ca="1">+K8-K10-Tabla2714[[#Totals],[FRASCO]]</f>
        <v>-14715.270000000484</v>
      </c>
      <c r="L11" s="2"/>
      <c r="M11" s="49"/>
      <c r="N11" s="46"/>
      <c r="O11" s="28"/>
      <c r="Q11" s="8">
        <v>45933</v>
      </c>
      <c r="R11" s="2" t="s">
        <v>32</v>
      </c>
      <c r="S11" s="56"/>
      <c r="T11" s="56"/>
      <c r="U11" s="56"/>
      <c r="V11" s="31"/>
      <c r="W11" s="39">
        <v>5000</v>
      </c>
      <c r="X11" s="2" t="s">
        <v>79</v>
      </c>
      <c r="Z11" s="21">
        <v>1</v>
      </c>
      <c r="AA11" s="21">
        <v>1</v>
      </c>
      <c r="AB11" s="6" t="s">
        <v>20</v>
      </c>
      <c r="AC11" s="2" t="s">
        <v>107</v>
      </c>
      <c r="AD11" s="17">
        <v>45941</v>
      </c>
      <c r="AE11" s="17">
        <v>45969</v>
      </c>
      <c r="AF11" s="48">
        <f>+AE11-AD11</f>
        <v>28</v>
      </c>
      <c r="AG11" s="26">
        <v>60000</v>
      </c>
      <c r="AH11" s="13">
        <f ca="1">+(AG11*(1+AK11/365)^(TODAY()-Tabla2714[[#This Row],[FECHA IN]]))*Tabla2714[[#This Row],[0/1]]</f>
        <v>63308.132089771971</v>
      </c>
      <c r="AI11" s="26">
        <f>+(AG11+(AJ11*AA11))*Z11</f>
        <v>61868.594502727305</v>
      </c>
      <c r="AJ11" s="47">
        <f>+(AG11*(1+AK11/365)^AF11)-AG11</f>
        <v>1868.5945027273046</v>
      </c>
      <c r="AK11" s="73">
        <v>0.4</v>
      </c>
      <c r="AL11" s="76">
        <f ca="1">+IFERROR(Tabla2714[[#This Row],[FECHA OUT]]-TODAY(),0)</f>
        <v>-21</v>
      </c>
    </row>
    <row r="12" spans="1:38" x14ac:dyDescent="0.35">
      <c r="A12" s="79">
        <f t="shared" si="0"/>
        <v>45940</v>
      </c>
      <c r="B12" s="7">
        <v>10</v>
      </c>
      <c r="C12" s="2" t="s">
        <v>22</v>
      </c>
      <c r="D12" s="22" t="s">
        <v>104</v>
      </c>
      <c r="E12" s="26">
        <v>164971.32</v>
      </c>
      <c r="F12" s="46">
        <f>+SUMIFS(V:V,R:R,C12,S:S,D12)</f>
        <v>164971.32</v>
      </c>
      <c r="G12" s="28">
        <f t="shared" si="2"/>
        <v>1</v>
      </c>
      <c r="H12" s="25"/>
      <c r="I12" s="25"/>
      <c r="J12" s="55" t="s">
        <v>106</v>
      </c>
      <c r="K12" s="32">
        <f ca="1">+Tabla2714[[#Totals],[HOY]]</f>
        <v>902329.50386646204</v>
      </c>
      <c r="L12" s="2"/>
      <c r="M12" s="34"/>
      <c r="N12" s="46"/>
      <c r="O12" s="28"/>
      <c r="Q12" s="8">
        <v>45933</v>
      </c>
      <c r="R12" s="2" t="s">
        <v>32</v>
      </c>
      <c r="S12" s="56"/>
      <c r="T12" s="56"/>
      <c r="U12" s="56"/>
      <c r="V12" s="31">
        <v>5000</v>
      </c>
      <c r="W12" s="39"/>
      <c r="X12" s="2" t="s">
        <v>20</v>
      </c>
      <c r="Z12" s="21">
        <v>1</v>
      </c>
      <c r="AA12" s="21">
        <v>1</v>
      </c>
      <c r="AB12" s="6" t="s">
        <v>20</v>
      </c>
      <c r="AC12" s="2" t="s">
        <v>108</v>
      </c>
      <c r="AD12" s="17">
        <v>45946</v>
      </c>
      <c r="AE12" s="17">
        <v>45974</v>
      </c>
      <c r="AF12" s="48">
        <f>+AE12-AD12</f>
        <v>28</v>
      </c>
      <c r="AG12" s="26">
        <v>180000</v>
      </c>
      <c r="AH12" s="13">
        <f ca="1">+(AG12*(1+AK12/365)^(TODAY()-Tabla2714[[#This Row],[FECHA IN]]))*Tabla2714[[#This Row],[0/1]]</f>
        <v>189570.68406952897</v>
      </c>
      <c r="AI12" s="26">
        <f>+(AG12+(AJ12*AA12))*Z12</f>
        <v>186032.93672808976</v>
      </c>
      <c r="AJ12" s="47">
        <f>+(AG12*(1+AK12/365)^AF12)-AG12</f>
        <v>6032.9367280897568</v>
      </c>
      <c r="AK12" s="73">
        <v>0.43</v>
      </c>
      <c r="AL12" s="76">
        <f ca="1">+IFERROR(Tabla2714[[#This Row],[FECHA OUT]]-TODAY(),0)</f>
        <v>-16</v>
      </c>
    </row>
    <row r="13" spans="1:38" x14ac:dyDescent="0.35">
      <c r="A13" s="79">
        <f t="shared" si="0"/>
        <v>45945</v>
      </c>
      <c r="B13" s="7">
        <v>15</v>
      </c>
      <c r="C13" s="2" t="s">
        <v>31</v>
      </c>
      <c r="D13" s="2"/>
      <c r="E13" s="26">
        <v>300000</v>
      </c>
      <c r="F13" s="46">
        <f>+SUMIFS(V:V,R:R,C13)</f>
        <v>549577.85</v>
      </c>
      <c r="G13" s="28">
        <f t="shared" si="2"/>
        <v>1.8319261666666666</v>
      </c>
      <c r="H13" s="25"/>
      <c r="I13" s="25"/>
      <c r="L13" s="2"/>
      <c r="M13" s="34"/>
      <c r="N13" s="46"/>
      <c r="O13" s="28"/>
      <c r="Q13" s="8">
        <v>45933</v>
      </c>
      <c r="R13" s="2" t="s">
        <v>71</v>
      </c>
      <c r="S13" s="56" t="s">
        <v>48</v>
      </c>
      <c r="T13" s="56"/>
      <c r="U13" s="56"/>
      <c r="V13" s="31"/>
      <c r="W13" s="39">
        <v>92.86</v>
      </c>
      <c r="X13" s="2" t="s">
        <v>20</v>
      </c>
      <c r="Z13" s="21">
        <v>1</v>
      </c>
      <c r="AA13" s="21">
        <v>1</v>
      </c>
      <c r="AB13" s="6" t="s">
        <v>20</v>
      </c>
      <c r="AC13" s="2" t="s">
        <v>109</v>
      </c>
      <c r="AD13" s="17">
        <v>45946</v>
      </c>
      <c r="AE13" s="17">
        <v>45974</v>
      </c>
      <c r="AF13" s="48">
        <f>+AE13-AD13</f>
        <v>28</v>
      </c>
      <c r="AG13" s="26">
        <v>108000</v>
      </c>
      <c r="AH13" s="13">
        <f ca="1">+(AG13*(1+AK13/365)^(TODAY()-Tabla2714[[#This Row],[FECHA IN]]))*Tabla2714[[#This Row],[0/1]]</f>
        <v>113742.41044171738</v>
      </c>
      <c r="AI13" s="26">
        <f>+(AG13+(AJ13*AA13))*Z13</f>
        <v>111619.76203685386</v>
      </c>
      <c r="AJ13" s="47">
        <f>+(AG13*(1+AK13/365)^AF13)-AG13</f>
        <v>3619.7620368538628</v>
      </c>
      <c r="AK13" s="73">
        <v>0.43</v>
      </c>
      <c r="AL13" s="76">
        <f ca="1">+IFERROR(Tabla2714[[#This Row],[FECHA OUT]]-TODAY(),0)</f>
        <v>-16</v>
      </c>
    </row>
    <row r="14" spans="1:38" x14ac:dyDescent="0.35">
      <c r="A14" s="79">
        <f t="shared" si="0"/>
        <v>45948</v>
      </c>
      <c r="B14" s="7">
        <v>18</v>
      </c>
      <c r="C14" s="2" t="s">
        <v>22</v>
      </c>
      <c r="D14" s="2" t="s">
        <v>21</v>
      </c>
      <c r="E14" s="26">
        <v>6174.6</v>
      </c>
      <c r="F14" s="46">
        <f t="shared" ref="F14:F19" si="6">+SUMIFS(V:V,R:R,C14,S:S,D14)</f>
        <v>6174.7</v>
      </c>
      <c r="G14" s="28">
        <f t="shared" si="2"/>
        <v>1.0000161953810773</v>
      </c>
      <c r="H14" s="25"/>
      <c r="I14" s="25"/>
      <c r="L14" s="2"/>
      <c r="M14" s="34"/>
      <c r="N14" s="46"/>
      <c r="O14" s="28"/>
      <c r="Q14" s="8">
        <v>45934</v>
      </c>
      <c r="R14" s="2" t="s">
        <v>31</v>
      </c>
      <c r="S14" s="56" t="s">
        <v>80</v>
      </c>
      <c r="T14" s="56"/>
      <c r="U14" s="56"/>
      <c r="V14" s="31">
        <v>93118.95</v>
      </c>
      <c r="W14" s="39"/>
      <c r="X14" s="2" t="s">
        <v>79</v>
      </c>
      <c r="Z14" s="21">
        <v>1</v>
      </c>
      <c r="AA14" s="21">
        <v>1</v>
      </c>
      <c r="AB14" s="6" t="s">
        <v>20</v>
      </c>
      <c r="AC14" s="2" t="s">
        <v>121</v>
      </c>
      <c r="AD14" s="17">
        <v>45952</v>
      </c>
      <c r="AE14" s="17">
        <v>45980</v>
      </c>
      <c r="AF14" s="48">
        <f>+AE14-AD14</f>
        <v>28</v>
      </c>
      <c r="AG14" s="26">
        <v>112505</v>
      </c>
      <c r="AH14" s="13">
        <f ca="1">+(AG14*(1+AK14/365)^(TODAY()-Tabla2714[[#This Row],[FECHA IN]]))*Tabla2714[[#This Row],[0/1]]</f>
        <v>117897.79725084455</v>
      </c>
      <c r="AI14" s="26">
        <f>+(AG14+(AJ14*AA14))*Z14</f>
        <v>116454.07051106787</v>
      </c>
      <c r="AJ14" s="47">
        <f>+(AG14*(1+AK14/365)^AF14)-AG14</f>
        <v>3949.0705110678682</v>
      </c>
      <c r="AK14" s="73">
        <v>0.45</v>
      </c>
      <c r="AL14" s="76">
        <f ca="1">+IFERROR(Tabla2714[[#This Row],[FECHA OUT]]-TODAY(),0)</f>
        <v>-10</v>
      </c>
    </row>
    <row r="15" spans="1:38" x14ac:dyDescent="0.35">
      <c r="A15" s="79">
        <f t="shared" si="0"/>
        <v>45947</v>
      </c>
      <c r="B15" s="7">
        <v>17</v>
      </c>
      <c r="C15" s="2" t="s">
        <v>22</v>
      </c>
      <c r="D15" s="2" t="s">
        <v>23</v>
      </c>
      <c r="E15" s="26">
        <v>8990</v>
      </c>
      <c r="F15" s="46">
        <f t="shared" si="6"/>
        <v>8990</v>
      </c>
      <c r="G15" s="28">
        <f t="shared" si="2"/>
        <v>1</v>
      </c>
      <c r="H15" s="25"/>
      <c r="I15" s="25"/>
      <c r="L15" s="2"/>
      <c r="M15" s="34"/>
      <c r="N15" s="46"/>
      <c r="O15" s="28"/>
      <c r="Q15" s="8">
        <v>45934</v>
      </c>
      <c r="R15" s="2" t="s">
        <v>31</v>
      </c>
      <c r="S15" s="56"/>
      <c r="T15" s="56"/>
      <c r="U15" s="56"/>
      <c r="V15" s="31">
        <v>16050</v>
      </c>
      <c r="W15" s="39"/>
      <c r="X15" s="2" t="s">
        <v>79</v>
      </c>
      <c r="Z15" s="21">
        <v>1</v>
      </c>
      <c r="AA15" s="21">
        <v>1</v>
      </c>
      <c r="AB15" s="6" t="s">
        <v>20</v>
      </c>
      <c r="AC15" s="78" t="s">
        <v>131</v>
      </c>
      <c r="AD15" s="17">
        <v>45953</v>
      </c>
      <c r="AE15" s="17">
        <v>45971</v>
      </c>
      <c r="AF15" s="48">
        <f>+AE15-AD15</f>
        <v>18</v>
      </c>
      <c r="AG15" s="26">
        <v>400000</v>
      </c>
      <c r="AH15" s="13">
        <f ca="1">+(AG15*(1+AK15/365)^(TODAY()-Tabla2714[[#This Row],[FECHA IN]]))*Tabla2714[[#This Row],[0/1]]</f>
        <v>417810.48001459922</v>
      </c>
      <c r="AI15" s="26">
        <f>+(AG15+(AJ15*AA15))*Z15</f>
        <v>408567.66593358887</v>
      </c>
      <c r="AJ15" s="47">
        <f>+(AG15*(1+AK15/365)^AF15)-AG15</f>
        <v>8567.6659335888689</v>
      </c>
      <c r="AK15" s="73">
        <v>0.43</v>
      </c>
      <c r="AL15" s="76">
        <f ca="1">+IFERROR(Tabla2714[[#This Row],[FECHA OUT]]-TODAY(),0)</f>
        <v>-19</v>
      </c>
    </row>
    <row r="16" spans="1:38" x14ac:dyDescent="0.35">
      <c r="A16" s="79">
        <f t="shared" si="0"/>
        <v>45950</v>
      </c>
      <c r="B16" s="7">
        <v>20</v>
      </c>
      <c r="C16" s="2" t="s">
        <v>10</v>
      </c>
      <c r="D16" s="2" t="s">
        <v>47</v>
      </c>
      <c r="E16" s="26">
        <f>37288.6+28659.4</f>
        <v>65948</v>
      </c>
      <c r="F16" s="46">
        <f t="shared" si="6"/>
        <v>65558</v>
      </c>
      <c r="G16" s="28">
        <f t="shared" si="2"/>
        <v>0.99408624977254811</v>
      </c>
      <c r="H16" s="25"/>
      <c r="I16" s="25"/>
      <c r="L16" s="2"/>
      <c r="M16" s="34"/>
      <c r="N16" s="46"/>
      <c r="O16" s="28"/>
      <c r="Q16" s="8">
        <v>45934</v>
      </c>
      <c r="R16" s="2" t="s">
        <v>22</v>
      </c>
      <c r="S16" s="56" t="s">
        <v>24</v>
      </c>
      <c r="T16" s="56"/>
      <c r="U16" s="56"/>
      <c r="V16" s="31">
        <v>2112.4899999999998</v>
      </c>
      <c r="W16" s="39"/>
      <c r="X16" s="2" t="s">
        <v>20</v>
      </c>
      <c r="Z16" s="21" t="s">
        <v>73</v>
      </c>
      <c r="AA16" s="21"/>
      <c r="AB16" s="6"/>
      <c r="AC16" s="2"/>
      <c r="AD16" s="2"/>
      <c r="AE16" s="2"/>
      <c r="AF16" s="2"/>
      <c r="AG16" s="16">
        <f>SUBTOTAL(109,Tabla2714[FRASCO])</f>
        <v>860505</v>
      </c>
      <c r="AH16" s="16">
        <f ca="1">SUBTOTAL(109,Tabla2714[HOY])</f>
        <v>902329.50386646204</v>
      </c>
      <c r="AI16" s="16">
        <f>SUBTOTAL(109,Tabla2714[FINAL])</f>
        <v>884543.02971232764</v>
      </c>
      <c r="AJ16" s="70">
        <f>SUBTOTAL(109,Tabla2714[INT ACUM])</f>
        <v>24038.029712327661</v>
      </c>
      <c r="AK16" s="16"/>
      <c r="AL16" s="2"/>
    </row>
    <row r="17" spans="1:24" x14ac:dyDescent="0.35">
      <c r="A17" s="79">
        <f t="shared" si="0"/>
        <v>45950</v>
      </c>
      <c r="B17" s="7">
        <v>20</v>
      </c>
      <c r="C17" s="2" t="s">
        <v>6</v>
      </c>
      <c r="D17" s="2" t="s">
        <v>8</v>
      </c>
      <c r="E17" s="26">
        <v>150000</v>
      </c>
      <c r="F17" s="46">
        <f t="shared" si="6"/>
        <v>150000</v>
      </c>
      <c r="G17" s="28">
        <f t="shared" si="2"/>
        <v>1</v>
      </c>
      <c r="H17" s="25"/>
      <c r="I17" s="25"/>
      <c r="L17" s="2"/>
      <c r="M17" s="34"/>
      <c r="N17" s="46"/>
      <c r="O17" s="28"/>
      <c r="Q17" s="8">
        <v>45934</v>
      </c>
      <c r="R17" s="2" t="s">
        <v>71</v>
      </c>
      <c r="S17" s="56" t="s">
        <v>48</v>
      </c>
      <c r="T17" s="56"/>
      <c r="U17" s="56"/>
      <c r="V17" s="31"/>
      <c r="W17" s="39">
        <v>83.13</v>
      </c>
      <c r="X17" s="2" t="s">
        <v>20</v>
      </c>
    </row>
    <row r="18" spans="1:24" x14ac:dyDescent="0.35">
      <c r="A18" s="79">
        <f t="shared" si="0"/>
        <v>45951</v>
      </c>
      <c r="B18" s="7">
        <v>21</v>
      </c>
      <c r="C18" s="2" t="s">
        <v>10</v>
      </c>
      <c r="D18" s="2" t="s">
        <v>16</v>
      </c>
      <c r="E18" s="26">
        <v>47754.51</v>
      </c>
      <c r="F18" s="46">
        <f t="shared" si="6"/>
        <v>47754.51</v>
      </c>
      <c r="G18" s="28">
        <f t="shared" si="2"/>
        <v>1</v>
      </c>
      <c r="H18" s="25"/>
      <c r="I18" s="25"/>
      <c r="L18" s="2"/>
      <c r="M18" s="34"/>
      <c r="N18" s="46"/>
      <c r="O18" s="28"/>
      <c r="Q18" s="8">
        <v>45935</v>
      </c>
      <c r="R18" s="2" t="s">
        <v>31</v>
      </c>
      <c r="S18" s="56"/>
      <c r="T18" s="56"/>
      <c r="U18" s="56"/>
      <c r="V18" s="31">
        <v>7600</v>
      </c>
      <c r="W18" s="39"/>
      <c r="X18" s="2" t="s">
        <v>79</v>
      </c>
    </row>
    <row r="19" spans="1:24" x14ac:dyDescent="0.35">
      <c r="A19" s="79">
        <f t="shared" si="0"/>
        <v>45953</v>
      </c>
      <c r="B19" s="7">
        <v>23</v>
      </c>
      <c r="C19" s="2" t="s">
        <v>22</v>
      </c>
      <c r="D19" s="2" t="s">
        <v>25</v>
      </c>
      <c r="E19" s="26">
        <v>15568.43</v>
      </c>
      <c r="F19" s="46">
        <f t="shared" si="6"/>
        <v>15568.43</v>
      </c>
      <c r="G19" s="28">
        <f t="shared" si="2"/>
        <v>1</v>
      </c>
      <c r="H19" s="25"/>
      <c r="I19" s="25"/>
      <c r="Q19" s="8">
        <v>45935</v>
      </c>
      <c r="R19" s="2" t="s">
        <v>31</v>
      </c>
      <c r="S19" s="56"/>
      <c r="T19" s="56"/>
      <c r="U19" s="56"/>
      <c r="V19" s="31">
        <v>12569</v>
      </c>
      <c r="W19" s="39"/>
      <c r="X19" s="2" t="s">
        <v>79</v>
      </c>
    </row>
    <row r="20" spans="1:24" x14ac:dyDescent="0.35">
      <c r="A20" s="7" t="s">
        <v>73</v>
      </c>
      <c r="C20" s="2"/>
      <c r="D20" s="2"/>
      <c r="E20" s="16">
        <f>SUBTOTAL(109,PRESUPUESTO.GASTOS5[PRESUPUESTO])</f>
        <v>1424769.48</v>
      </c>
      <c r="F20" s="63">
        <f>SUBTOTAL(109,PRESUPUESTO.GASTOS5[PAGADO])</f>
        <v>1687793.74</v>
      </c>
      <c r="G20" s="22">
        <f>+IFERROR(PRESUPUESTO.GASTOS5[[#Totals],[PAGADO]]/PRESUPUESTO.GASTOS5[[#Totals],[PRESUPUESTO]],0)</f>
        <v>1.1846082918620633</v>
      </c>
      <c r="H20" s="25"/>
      <c r="I20" s="25"/>
      <c r="Q20" s="8">
        <v>45935</v>
      </c>
      <c r="R20" s="2" t="s">
        <v>71</v>
      </c>
      <c r="S20" s="56" t="s">
        <v>48</v>
      </c>
      <c r="T20" s="56"/>
      <c r="U20" s="56"/>
      <c r="V20" s="31"/>
      <c r="W20" s="39">
        <v>81.19</v>
      </c>
      <c r="X20" s="2" t="s">
        <v>20</v>
      </c>
    </row>
    <row r="21" spans="1:24" x14ac:dyDescent="0.35">
      <c r="H21" s="25"/>
      <c r="I21" s="25"/>
      <c r="L21" s="2"/>
      <c r="M21" s="34"/>
      <c r="N21" s="46"/>
      <c r="O21" s="28"/>
      <c r="Q21" s="8">
        <v>45936</v>
      </c>
      <c r="R21" s="2" t="s">
        <v>31</v>
      </c>
      <c r="S21" s="56"/>
      <c r="T21" s="56"/>
      <c r="U21" s="56"/>
      <c r="V21" s="31">
        <v>3920</v>
      </c>
      <c r="W21" s="39"/>
      <c r="X21" s="2" t="s">
        <v>20</v>
      </c>
    </row>
    <row r="22" spans="1:24" x14ac:dyDescent="0.35">
      <c r="D22"/>
      <c r="H22" s="25"/>
      <c r="I22" s="25"/>
      <c r="L22" s="89"/>
      <c r="M22" s="89"/>
      <c r="N22" s="50"/>
      <c r="O22" s="51"/>
      <c r="Q22" s="8">
        <v>45936</v>
      </c>
      <c r="R22" s="2" t="s">
        <v>71</v>
      </c>
      <c r="S22" s="56" t="s">
        <v>48</v>
      </c>
      <c r="T22" s="56"/>
      <c r="U22" s="56"/>
      <c r="V22" s="31"/>
      <c r="W22" s="39">
        <v>81.260000000000005</v>
      </c>
      <c r="X22" s="2" t="s">
        <v>20</v>
      </c>
    </row>
    <row r="23" spans="1:24" x14ac:dyDescent="0.35">
      <c r="D23"/>
      <c r="H23" s="25"/>
      <c r="I23" s="25"/>
      <c r="L23" s="2"/>
      <c r="M23" s="34"/>
      <c r="N23" s="46"/>
      <c r="O23" s="26"/>
      <c r="Q23" s="8">
        <v>45937</v>
      </c>
      <c r="R23" s="2" t="s">
        <v>68</v>
      </c>
      <c r="S23" s="56" t="s">
        <v>51</v>
      </c>
      <c r="T23" s="56"/>
      <c r="U23" s="56"/>
      <c r="V23" s="31">
        <v>11000</v>
      </c>
      <c r="W23" s="39"/>
      <c r="X23" s="2" t="s">
        <v>79</v>
      </c>
    </row>
    <row r="24" spans="1:24" x14ac:dyDescent="0.35">
      <c r="D24"/>
      <c r="H24" s="25"/>
      <c r="I24" s="25"/>
      <c r="O24" s="26"/>
      <c r="Q24" s="8">
        <v>45937</v>
      </c>
      <c r="R24" s="2" t="s">
        <v>10</v>
      </c>
      <c r="S24" s="56" t="s">
        <v>15</v>
      </c>
      <c r="T24" s="56"/>
      <c r="U24" s="56"/>
      <c r="V24" s="31">
        <v>58577.279999999999</v>
      </c>
      <c r="W24" s="39"/>
      <c r="X24" s="2" t="s">
        <v>79</v>
      </c>
    </row>
    <row r="25" spans="1:24" x14ac:dyDescent="0.35">
      <c r="D25"/>
      <c r="H25" s="25"/>
      <c r="I25" s="25"/>
      <c r="O25" s="26"/>
      <c r="Q25" s="8">
        <v>45937</v>
      </c>
      <c r="R25" s="2" t="s">
        <v>31</v>
      </c>
      <c r="S25" s="56"/>
      <c r="T25" s="56"/>
      <c r="U25" s="56"/>
      <c r="V25" s="31">
        <v>3400</v>
      </c>
      <c r="W25" s="39"/>
      <c r="X25" s="2" t="s">
        <v>79</v>
      </c>
    </row>
    <row r="26" spans="1:24" x14ac:dyDescent="0.35">
      <c r="D26"/>
      <c r="H26" s="25"/>
      <c r="I26" s="25"/>
      <c r="Q26" s="8">
        <v>45937</v>
      </c>
      <c r="R26" s="2" t="s">
        <v>31</v>
      </c>
      <c r="S26" s="56"/>
      <c r="T26" s="56"/>
      <c r="U26" s="56"/>
      <c r="V26" s="31">
        <v>17917.5</v>
      </c>
      <c r="W26" s="39"/>
      <c r="X26" s="2" t="s">
        <v>79</v>
      </c>
    </row>
    <row r="27" spans="1:24" x14ac:dyDescent="0.35">
      <c r="D27"/>
      <c r="H27" s="25"/>
      <c r="I27" s="25"/>
      <c r="Q27" s="8">
        <v>45937</v>
      </c>
      <c r="R27" s="2" t="s">
        <v>22</v>
      </c>
      <c r="S27" s="56" t="s">
        <v>28</v>
      </c>
      <c r="T27" s="56"/>
      <c r="U27" s="56"/>
      <c r="V27" s="31">
        <v>6094.86</v>
      </c>
      <c r="W27" s="39"/>
      <c r="X27" s="2" t="s">
        <v>79</v>
      </c>
    </row>
    <row r="28" spans="1:24" x14ac:dyDescent="0.35">
      <c r="D28"/>
      <c r="H28" s="34"/>
      <c r="I28" s="34"/>
      <c r="Q28" s="8">
        <v>45937</v>
      </c>
      <c r="R28" s="2" t="s">
        <v>71</v>
      </c>
      <c r="S28" s="56" t="s">
        <v>48</v>
      </c>
      <c r="T28" s="56"/>
      <c r="U28" s="56"/>
      <c r="V28" s="31"/>
      <c r="W28" s="39">
        <v>77.58</v>
      </c>
      <c r="X28" s="2" t="s">
        <v>20</v>
      </c>
    </row>
    <row r="29" spans="1:24" x14ac:dyDescent="0.35">
      <c r="D29"/>
      <c r="H29" s="34"/>
      <c r="I29" s="34"/>
      <c r="Q29" s="8">
        <v>45938</v>
      </c>
      <c r="R29" s="2" t="s">
        <v>31</v>
      </c>
      <c r="S29" s="56"/>
      <c r="T29" s="56"/>
      <c r="U29" s="56"/>
      <c r="V29" s="31">
        <v>3000</v>
      </c>
      <c r="W29" s="39"/>
      <c r="X29" s="2" t="s">
        <v>79</v>
      </c>
    </row>
    <row r="30" spans="1:24" x14ac:dyDescent="0.35">
      <c r="D30"/>
      <c r="H30" s="34"/>
      <c r="I30" s="34"/>
      <c r="Q30" s="8">
        <v>45938</v>
      </c>
      <c r="R30" s="2" t="s">
        <v>31</v>
      </c>
      <c r="S30" s="56"/>
      <c r="T30" s="56"/>
      <c r="U30" s="56"/>
      <c r="V30" s="31">
        <f>1490+14900</f>
        <v>16390</v>
      </c>
      <c r="W30" s="39"/>
      <c r="X30" s="2" t="s">
        <v>79</v>
      </c>
    </row>
    <row r="31" spans="1:24" x14ac:dyDescent="0.35">
      <c r="D31"/>
      <c r="Q31" s="8">
        <v>45938</v>
      </c>
      <c r="R31" s="2" t="s">
        <v>31</v>
      </c>
      <c r="S31" s="56"/>
      <c r="T31" s="56"/>
      <c r="U31" s="56"/>
      <c r="V31" s="31">
        <v>1500</v>
      </c>
      <c r="W31" s="39"/>
      <c r="X31" s="2" t="s">
        <v>79</v>
      </c>
    </row>
    <row r="32" spans="1:24" x14ac:dyDescent="0.35">
      <c r="D32"/>
      <c r="Q32" s="8">
        <v>45938</v>
      </c>
      <c r="R32" s="2" t="s">
        <v>68</v>
      </c>
      <c r="S32" s="56" t="s">
        <v>4</v>
      </c>
      <c r="T32" s="56"/>
      <c r="U32" s="56"/>
      <c r="V32" s="31">
        <v>10000</v>
      </c>
      <c r="W32" s="39"/>
      <c r="X32" s="2" t="s">
        <v>79</v>
      </c>
    </row>
    <row r="33" spans="1:24" x14ac:dyDescent="0.35">
      <c r="D33"/>
      <c r="Q33" s="8">
        <v>45938</v>
      </c>
      <c r="R33" s="2" t="s">
        <v>67</v>
      </c>
      <c r="S33" s="56" t="s">
        <v>4</v>
      </c>
      <c r="T33" s="56"/>
      <c r="U33" s="56"/>
      <c r="V33" s="31">
        <v>11000</v>
      </c>
      <c r="W33" s="39"/>
      <c r="X33" s="2" t="s">
        <v>79</v>
      </c>
    </row>
    <row r="34" spans="1:24" x14ac:dyDescent="0.35">
      <c r="D34"/>
      <c r="Q34" s="8">
        <v>45938</v>
      </c>
      <c r="R34" s="2" t="s">
        <v>22</v>
      </c>
      <c r="S34" s="56" t="s">
        <v>24</v>
      </c>
      <c r="T34" s="56"/>
      <c r="U34" s="56"/>
      <c r="V34" s="31">
        <v>7863.79</v>
      </c>
      <c r="W34" s="39"/>
      <c r="X34" s="2" t="s">
        <v>20</v>
      </c>
    </row>
    <row r="35" spans="1:24" x14ac:dyDescent="0.35">
      <c r="A35"/>
      <c r="B35"/>
      <c r="C35"/>
      <c r="Q35" s="8">
        <v>45938</v>
      </c>
      <c r="R35" s="2" t="s">
        <v>71</v>
      </c>
      <c r="S35" s="56" t="s">
        <v>48</v>
      </c>
      <c r="T35" s="56"/>
      <c r="U35" s="56"/>
      <c r="V35" s="31"/>
      <c r="W35" s="39">
        <v>77.66</v>
      </c>
      <c r="X35" s="2" t="s">
        <v>20</v>
      </c>
    </row>
    <row r="36" spans="1:24" x14ac:dyDescent="0.35">
      <c r="A36"/>
      <c r="B36"/>
      <c r="C36"/>
      <c r="Q36" s="8">
        <v>45939</v>
      </c>
      <c r="R36" s="2" t="s">
        <v>32</v>
      </c>
      <c r="S36" s="56"/>
      <c r="T36" s="56"/>
      <c r="U36" s="56"/>
      <c r="V36" s="31">
        <v>89366.17</v>
      </c>
      <c r="W36" s="39"/>
      <c r="X36" s="2" t="s">
        <v>79</v>
      </c>
    </row>
    <row r="37" spans="1:24" x14ac:dyDescent="0.35">
      <c r="A37"/>
      <c r="B37"/>
      <c r="C37"/>
      <c r="Q37" s="8">
        <v>45939</v>
      </c>
      <c r="R37" s="2" t="s">
        <v>31</v>
      </c>
      <c r="S37" s="56"/>
      <c r="T37" s="56"/>
      <c r="U37" s="56"/>
      <c r="V37" s="31">
        <v>7100</v>
      </c>
      <c r="W37" s="39"/>
      <c r="X37" s="2" t="s">
        <v>79</v>
      </c>
    </row>
    <row r="38" spans="1:24" x14ac:dyDescent="0.35">
      <c r="A38"/>
      <c r="B38"/>
      <c r="C38"/>
      <c r="Q38" s="8">
        <v>45939</v>
      </c>
      <c r="R38" s="2" t="s">
        <v>31</v>
      </c>
      <c r="S38" s="56"/>
      <c r="T38" s="56"/>
      <c r="U38" s="56"/>
      <c r="V38" s="31">
        <v>1500</v>
      </c>
      <c r="W38" s="39"/>
      <c r="X38" s="2" t="s">
        <v>79</v>
      </c>
    </row>
    <row r="39" spans="1:24" x14ac:dyDescent="0.35">
      <c r="A39"/>
      <c r="B39"/>
      <c r="C39"/>
      <c r="Q39" s="8">
        <v>45939</v>
      </c>
      <c r="R39" s="2" t="s">
        <v>31</v>
      </c>
      <c r="S39" s="56"/>
      <c r="T39" s="56"/>
      <c r="U39" s="56"/>
      <c r="V39" s="31">
        <v>16472.3</v>
      </c>
      <c r="W39" s="39"/>
      <c r="X39" s="2" t="s">
        <v>79</v>
      </c>
    </row>
    <row r="40" spans="1:24" x14ac:dyDescent="0.35">
      <c r="Q40" s="8">
        <v>45939</v>
      </c>
      <c r="R40" s="2" t="s">
        <v>31</v>
      </c>
      <c r="S40" s="56"/>
      <c r="T40" s="56"/>
      <c r="U40" s="56"/>
      <c r="V40" s="31">
        <v>6000</v>
      </c>
      <c r="W40" s="39"/>
      <c r="X40" s="2" t="s">
        <v>79</v>
      </c>
    </row>
    <row r="41" spans="1:24" x14ac:dyDescent="0.35">
      <c r="Q41" s="8">
        <v>45939</v>
      </c>
      <c r="R41" s="2" t="s">
        <v>31</v>
      </c>
      <c r="S41" s="56"/>
      <c r="T41" s="56"/>
      <c r="U41" s="56"/>
      <c r="V41" s="31">
        <v>13800</v>
      </c>
      <c r="W41" s="39"/>
      <c r="X41" s="2" t="s">
        <v>79</v>
      </c>
    </row>
    <row r="42" spans="1:24" x14ac:dyDescent="0.35">
      <c r="Q42" s="8">
        <v>45939</v>
      </c>
      <c r="R42" s="2" t="s">
        <v>22</v>
      </c>
      <c r="S42" s="56" t="s">
        <v>104</v>
      </c>
      <c r="T42" s="56"/>
      <c r="U42" s="56"/>
      <c r="V42" s="31">
        <v>164971.32</v>
      </c>
      <c r="W42" s="39"/>
      <c r="X42" s="2" t="s">
        <v>20</v>
      </c>
    </row>
    <row r="43" spans="1:24" x14ac:dyDescent="0.35">
      <c r="Q43" s="8">
        <v>45939</v>
      </c>
      <c r="R43" s="2" t="s">
        <v>32</v>
      </c>
      <c r="S43" s="56"/>
      <c r="T43" s="56"/>
      <c r="U43" s="56"/>
      <c r="V43" s="31"/>
      <c r="W43" s="39">
        <v>1</v>
      </c>
      <c r="X43" s="2" t="s">
        <v>20</v>
      </c>
    </row>
    <row r="44" spans="1:24" x14ac:dyDescent="0.35">
      <c r="Q44" s="8">
        <v>45939</v>
      </c>
      <c r="R44" s="2" t="s">
        <v>32</v>
      </c>
      <c r="S44" s="56"/>
      <c r="T44" s="56"/>
      <c r="U44" s="56"/>
      <c r="V44" s="31"/>
      <c r="W44" s="39">
        <v>89366.17</v>
      </c>
      <c r="X44" s="2" t="s">
        <v>20</v>
      </c>
    </row>
    <row r="45" spans="1:24" x14ac:dyDescent="0.35">
      <c r="Q45" s="8">
        <v>45939</v>
      </c>
      <c r="R45" s="2"/>
      <c r="S45" s="56"/>
      <c r="T45" s="56"/>
      <c r="U45" s="56"/>
      <c r="V45" s="31"/>
      <c r="W45" s="39">
        <v>2336</v>
      </c>
      <c r="X45" s="2" t="s">
        <v>20</v>
      </c>
    </row>
    <row r="46" spans="1:24" x14ac:dyDescent="0.35">
      <c r="Q46" s="8">
        <v>45939</v>
      </c>
      <c r="R46" s="2" t="s">
        <v>71</v>
      </c>
      <c r="S46" s="56" t="s">
        <v>48</v>
      </c>
      <c r="T46" s="56"/>
      <c r="U46" s="56"/>
      <c r="V46" s="31"/>
      <c r="W46" s="39">
        <v>70.19</v>
      </c>
      <c r="X46" s="2" t="s">
        <v>20</v>
      </c>
    </row>
    <row r="47" spans="1:24" x14ac:dyDescent="0.35">
      <c r="Q47" s="8">
        <v>45939</v>
      </c>
      <c r="R47" s="2" t="s">
        <v>32</v>
      </c>
      <c r="S47" s="56"/>
      <c r="T47" s="56"/>
      <c r="U47" s="56"/>
      <c r="V47" s="31">
        <v>1</v>
      </c>
      <c r="W47" s="39"/>
      <c r="X47" s="2" t="s">
        <v>20</v>
      </c>
    </row>
    <row r="48" spans="1:24" x14ac:dyDescent="0.35">
      <c r="A48"/>
      <c r="B48"/>
      <c r="C48"/>
      <c r="D48"/>
      <c r="Q48" s="8">
        <v>45940</v>
      </c>
      <c r="R48" s="2" t="s">
        <v>31</v>
      </c>
      <c r="S48" s="56"/>
      <c r="T48" s="56"/>
      <c r="U48" s="56"/>
      <c r="V48" s="31">
        <v>1900</v>
      </c>
      <c r="W48" s="39"/>
      <c r="X48" s="2" t="s">
        <v>79</v>
      </c>
    </row>
    <row r="49" spans="1:24" x14ac:dyDescent="0.35">
      <c r="A49"/>
      <c r="B49"/>
      <c r="C49"/>
      <c r="D49"/>
      <c r="Q49" s="8">
        <v>45940</v>
      </c>
      <c r="R49" s="2" t="s">
        <v>9</v>
      </c>
      <c r="S49" s="56"/>
      <c r="T49" s="56"/>
      <c r="U49" s="56"/>
      <c r="V49" s="31">
        <f>493160-55000</f>
        <v>438160</v>
      </c>
      <c r="W49" s="39"/>
      <c r="X49" s="2" t="s">
        <v>79</v>
      </c>
    </row>
    <row r="50" spans="1:24" x14ac:dyDescent="0.35">
      <c r="A50"/>
      <c r="B50"/>
      <c r="C50"/>
      <c r="D50"/>
      <c r="Q50" s="8">
        <v>45940</v>
      </c>
      <c r="R50" s="2" t="s">
        <v>31</v>
      </c>
      <c r="S50" s="56"/>
      <c r="T50" s="56"/>
      <c r="U50" s="56"/>
      <c r="V50" s="31">
        <v>1600</v>
      </c>
      <c r="W50" s="39"/>
      <c r="X50" s="2" t="s">
        <v>79</v>
      </c>
    </row>
    <row r="51" spans="1:24" x14ac:dyDescent="0.35">
      <c r="A51"/>
      <c r="B51"/>
      <c r="C51"/>
      <c r="D51"/>
      <c r="K51"/>
      <c r="L51"/>
      <c r="M51"/>
      <c r="N51"/>
      <c r="Q51" s="8">
        <v>45940</v>
      </c>
      <c r="R51" s="2" t="s">
        <v>10</v>
      </c>
      <c r="S51" s="2" t="s">
        <v>13</v>
      </c>
      <c r="T51" s="56"/>
      <c r="U51" s="56"/>
      <c r="V51" s="31">
        <v>30800</v>
      </c>
      <c r="W51" s="39"/>
      <c r="X51" s="2" t="s">
        <v>79</v>
      </c>
    </row>
    <row r="52" spans="1:24" x14ac:dyDescent="0.35">
      <c r="A52"/>
      <c r="B52"/>
      <c r="C52"/>
      <c r="D52"/>
      <c r="K52"/>
      <c r="L52"/>
      <c r="M52"/>
      <c r="N52"/>
      <c r="Q52" s="8">
        <v>45940</v>
      </c>
      <c r="R52" s="2" t="s">
        <v>10</v>
      </c>
      <c r="S52" s="2" t="s">
        <v>102</v>
      </c>
      <c r="T52" s="56"/>
      <c r="U52" s="56"/>
      <c r="V52" s="31">
        <v>18300</v>
      </c>
      <c r="W52" s="39"/>
      <c r="X52" s="2" t="s">
        <v>79</v>
      </c>
    </row>
    <row r="53" spans="1:24" x14ac:dyDescent="0.35">
      <c r="A53"/>
      <c r="B53"/>
      <c r="C53"/>
      <c r="D53"/>
      <c r="K53"/>
      <c r="L53"/>
      <c r="M53"/>
      <c r="N53"/>
      <c r="Q53" s="8">
        <v>45940</v>
      </c>
      <c r="R53" s="2" t="s">
        <v>10</v>
      </c>
      <c r="S53" s="2" t="s">
        <v>103</v>
      </c>
      <c r="T53" s="56"/>
      <c r="U53" s="56"/>
      <c r="V53" s="31">
        <v>6000</v>
      </c>
      <c r="W53" s="39"/>
      <c r="X53" s="2" t="s">
        <v>79</v>
      </c>
    </row>
    <row r="54" spans="1:24" x14ac:dyDescent="0.35">
      <c r="A54"/>
      <c r="B54"/>
      <c r="C54"/>
      <c r="D54"/>
      <c r="K54"/>
      <c r="L54"/>
      <c r="M54"/>
      <c r="N54"/>
      <c r="Q54" s="8">
        <v>45941</v>
      </c>
      <c r="R54" s="2" t="s">
        <v>31</v>
      </c>
      <c r="S54" s="56"/>
      <c r="T54" s="56"/>
      <c r="U54" s="56"/>
      <c r="V54" s="31">
        <v>7700</v>
      </c>
      <c r="W54" s="39"/>
      <c r="X54" s="2" t="s">
        <v>79</v>
      </c>
    </row>
    <row r="55" spans="1:24" x14ac:dyDescent="0.35">
      <c r="A55"/>
      <c r="B55"/>
      <c r="C55"/>
      <c r="D55"/>
      <c r="K55"/>
      <c r="L55"/>
      <c r="M55"/>
      <c r="N55"/>
      <c r="Q55" s="8">
        <v>45941</v>
      </c>
      <c r="R55" s="2" t="s">
        <v>31</v>
      </c>
      <c r="S55" s="56"/>
      <c r="T55" s="56"/>
      <c r="U55" s="56"/>
      <c r="V55" s="31">
        <v>7600</v>
      </c>
      <c r="W55" s="39"/>
      <c r="X55" s="2" t="s">
        <v>79</v>
      </c>
    </row>
    <row r="56" spans="1:24" x14ac:dyDescent="0.35">
      <c r="A56"/>
      <c r="B56"/>
      <c r="C56"/>
      <c r="D56"/>
      <c r="K56"/>
      <c r="L56"/>
      <c r="M56"/>
      <c r="N56"/>
      <c r="Q56" s="8">
        <v>45941</v>
      </c>
      <c r="R56" s="2" t="s">
        <v>71</v>
      </c>
      <c r="S56" s="56" t="s">
        <v>106</v>
      </c>
      <c r="T56" s="56"/>
      <c r="U56" s="56"/>
      <c r="V56" s="31">
        <v>30000</v>
      </c>
      <c r="W56" s="39"/>
      <c r="X56" s="2" t="s">
        <v>20</v>
      </c>
    </row>
    <row r="57" spans="1:24" x14ac:dyDescent="0.35">
      <c r="A57"/>
      <c r="B57"/>
      <c r="C57"/>
      <c r="D57"/>
      <c r="K57"/>
      <c r="L57"/>
      <c r="M57"/>
      <c r="N57"/>
      <c r="Q57" s="8">
        <v>45941</v>
      </c>
      <c r="R57" s="2" t="s">
        <v>71</v>
      </c>
      <c r="S57" s="56" t="s">
        <v>106</v>
      </c>
      <c r="T57" s="56"/>
      <c r="U57" s="56"/>
      <c r="V57" s="31">
        <v>60000</v>
      </c>
      <c r="W57" s="39"/>
      <c r="X57" s="2" t="s">
        <v>20</v>
      </c>
    </row>
    <row r="58" spans="1:24" x14ac:dyDescent="0.35">
      <c r="A58"/>
      <c r="B58"/>
      <c r="C58"/>
      <c r="D58"/>
      <c r="J58"/>
      <c r="K58"/>
      <c r="L58"/>
      <c r="Q58" s="8">
        <v>45941</v>
      </c>
      <c r="R58" s="2" t="s">
        <v>71</v>
      </c>
      <c r="S58" s="56" t="s">
        <v>101</v>
      </c>
      <c r="T58" s="56"/>
      <c r="U58" s="56"/>
      <c r="V58" s="31"/>
      <c r="W58" s="39">
        <v>120000</v>
      </c>
      <c r="X58" s="2" t="s">
        <v>20</v>
      </c>
    </row>
    <row r="59" spans="1:24" x14ac:dyDescent="0.35">
      <c r="A59"/>
      <c r="B59"/>
      <c r="C59"/>
      <c r="D59"/>
      <c r="Q59" s="8">
        <v>45942</v>
      </c>
      <c r="R59" s="2" t="s">
        <v>31</v>
      </c>
      <c r="S59" s="56"/>
      <c r="T59" s="56"/>
      <c r="U59" s="56"/>
      <c r="V59" s="31">
        <v>8190</v>
      </c>
      <c r="W59" s="39"/>
      <c r="X59" s="2" t="s">
        <v>79</v>
      </c>
    </row>
    <row r="60" spans="1:24" x14ac:dyDescent="0.35">
      <c r="A60"/>
      <c r="B60"/>
      <c r="C60"/>
      <c r="D60"/>
      <c r="Q60" s="8">
        <v>45942</v>
      </c>
      <c r="R60" s="2" t="s">
        <v>31</v>
      </c>
      <c r="S60" s="56"/>
      <c r="T60" s="56"/>
      <c r="U60" s="56"/>
      <c r="V60" s="31">
        <v>10600</v>
      </c>
      <c r="W60" s="39"/>
      <c r="X60" s="2" t="s">
        <v>79</v>
      </c>
    </row>
    <row r="61" spans="1:24" x14ac:dyDescent="0.35">
      <c r="Q61" s="8">
        <v>45943</v>
      </c>
      <c r="R61" s="2" t="s">
        <v>31</v>
      </c>
      <c r="S61" s="56"/>
      <c r="T61" s="56"/>
      <c r="U61" s="56"/>
      <c r="V61" s="31">
        <v>4104.1000000000004</v>
      </c>
      <c r="W61" s="39"/>
      <c r="X61" s="2" t="s">
        <v>79</v>
      </c>
    </row>
    <row r="62" spans="1:24" x14ac:dyDescent="0.35">
      <c r="Q62" s="8">
        <v>45943</v>
      </c>
      <c r="R62" s="2" t="s">
        <v>76</v>
      </c>
      <c r="S62" s="56" t="s">
        <v>0</v>
      </c>
      <c r="T62" s="56"/>
      <c r="U62" s="56"/>
      <c r="V62" s="31">
        <v>50000</v>
      </c>
      <c r="W62" s="39"/>
      <c r="X62" s="2" t="s">
        <v>79</v>
      </c>
    </row>
    <row r="63" spans="1:24" x14ac:dyDescent="0.35">
      <c r="Q63" s="8">
        <v>45943</v>
      </c>
      <c r="R63" s="2" t="s">
        <v>31</v>
      </c>
      <c r="S63" s="56"/>
      <c r="T63" s="56"/>
      <c r="U63" s="56"/>
      <c r="V63" s="31">
        <v>10359</v>
      </c>
      <c r="W63" s="39"/>
      <c r="X63" s="2" t="s">
        <v>79</v>
      </c>
    </row>
    <row r="64" spans="1:24" x14ac:dyDescent="0.35">
      <c r="Q64" s="8">
        <v>45944</v>
      </c>
      <c r="R64" s="2" t="s">
        <v>31</v>
      </c>
      <c r="S64" s="56"/>
      <c r="T64" s="56"/>
      <c r="U64" s="56"/>
      <c r="V64" s="31">
        <v>1000</v>
      </c>
      <c r="W64" s="39"/>
      <c r="X64" s="2" t="s">
        <v>79</v>
      </c>
    </row>
    <row r="65" spans="17:24" x14ac:dyDescent="0.35">
      <c r="Q65" s="8">
        <v>45944</v>
      </c>
      <c r="R65" s="2" t="s">
        <v>31</v>
      </c>
      <c r="S65" s="56"/>
      <c r="T65" s="56"/>
      <c r="U65" s="56"/>
      <c r="V65" s="31">
        <v>4173</v>
      </c>
      <c r="W65" s="39"/>
      <c r="X65" s="2" t="s">
        <v>79</v>
      </c>
    </row>
    <row r="66" spans="17:24" x14ac:dyDescent="0.35">
      <c r="Q66" s="8">
        <v>45944</v>
      </c>
      <c r="R66" s="2" t="s">
        <v>31</v>
      </c>
      <c r="S66" s="56"/>
      <c r="T66" s="56"/>
      <c r="U66" s="56"/>
      <c r="V66" s="31">
        <v>5700</v>
      </c>
      <c r="W66" s="39"/>
      <c r="X66" s="2" t="s">
        <v>79</v>
      </c>
    </row>
    <row r="67" spans="17:24" x14ac:dyDescent="0.35">
      <c r="Q67" s="8">
        <v>45944</v>
      </c>
      <c r="R67" s="2" t="s">
        <v>71</v>
      </c>
      <c r="S67" s="56" t="s">
        <v>100</v>
      </c>
      <c r="T67" s="56"/>
      <c r="U67" s="56"/>
      <c r="V67" s="31"/>
      <c r="W67" s="39">
        <v>1000000</v>
      </c>
      <c r="X67" s="2" t="s">
        <v>20</v>
      </c>
    </row>
    <row r="68" spans="17:24" x14ac:dyDescent="0.35">
      <c r="Q68" s="8">
        <v>45945</v>
      </c>
      <c r="R68" s="2" t="s">
        <v>31</v>
      </c>
      <c r="S68" s="56"/>
      <c r="T68" s="56"/>
      <c r="U68" s="56"/>
      <c r="V68" s="31">
        <v>2500</v>
      </c>
      <c r="W68" s="39"/>
      <c r="X68" s="2" t="s">
        <v>79</v>
      </c>
    </row>
    <row r="69" spans="17:24" x14ac:dyDescent="0.35">
      <c r="Q69" s="8">
        <v>45945</v>
      </c>
      <c r="R69" s="2" t="s">
        <v>31</v>
      </c>
      <c r="S69" s="56"/>
      <c r="T69" s="56"/>
      <c r="U69" s="56"/>
      <c r="V69" s="31">
        <v>10124.5</v>
      </c>
      <c r="W69" s="39"/>
      <c r="X69" s="2" t="s">
        <v>79</v>
      </c>
    </row>
    <row r="70" spans="17:24" x14ac:dyDescent="0.35">
      <c r="Q70" s="8">
        <v>45945</v>
      </c>
      <c r="R70" s="2" t="s">
        <v>22</v>
      </c>
      <c r="S70" s="56" t="s">
        <v>116</v>
      </c>
      <c r="T70" s="56"/>
      <c r="U70" s="56"/>
      <c r="V70" s="31">
        <v>35695.800000000003</v>
      </c>
      <c r="W70" s="39"/>
      <c r="X70" s="2" t="s">
        <v>20</v>
      </c>
    </row>
    <row r="71" spans="17:24" x14ac:dyDescent="0.35">
      <c r="Q71" s="8">
        <v>45945</v>
      </c>
      <c r="R71" s="2" t="s">
        <v>22</v>
      </c>
      <c r="S71" s="56" t="s">
        <v>116</v>
      </c>
      <c r="T71" s="56"/>
      <c r="U71" s="56"/>
      <c r="V71" s="31">
        <v>121799.17</v>
      </c>
      <c r="W71" s="39"/>
      <c r="X71" s="2" t="s">
        <v>20</v>
      </c>
    </row>
    <row r="72" spans="17:24" x14ac:dyDescent="0.35">
      <c r="Q72" s="8">
        <v>45945</v>
      </c>
      <c r="R72" s="2" t="s">
        <v>71</v>
      </c>
      <c r="S72" s="56" t="s">
        <v>48</v>
      </c>
      <c r="T72" s="56"/>
      <c r="U72" s="56"/>
      <c r="V72" s="31"/>
      <c r="W72" s="39">
        <v>767.12</v>
      </c>
      <c r="X72" s="2" t="s">
        <v>20</v>
      </c>
    </row>
    <row r="73" spans="17:24" x14ac:dyDescent="0.35">
      <c r="Q73" s="8">
        <v>45946</v>
      </c>
      <c r="R73" s="2" t="s">
        <v>31</v>
      </c>
      <c r="S73" s="56"/>
      <c r="T73" s="56"/>
      <c r="U73" s="56"/>
      <c r="V73" s="31">
        <v>2567</v>
      </c>
      <c r="W73" s="39"/>
      <c r="X73" s="2" t="s">
        <v>79</v>
      </c>
    </row>
    <row r="74" spans="17:24" x14ac:dyDescent="0.35">
      <c r="Q74" s="8">
        <v>45946</v>
      </c>
      <c r="R74" s="2" t="s">
        <v>31</v>
      </c>
      <c r="S74" s="56"/>
      <c r="T74" s="56"/>
      <c r="U74" s="56"/>
      <c r="V74" s="31">
        <v>4795</v>
      </c>
      <c r="W74" s="39"/>
      <c r="X74" s="2" t="s">
        <v>79</v>
      </c>
    </row>
    <row r="75" spans="17:24" x14ac:dyDescent="0.35">
      <c r="Q75" s="8">
        <v>45946</v>
      </c>
      <c r="R75" s="2" t="s">
        <v>31</v>
      </c>
      <c r="S75" s="56"/>
      <c r="T75" s="56"/>
      <c r="U75" s="56"/>
      <c r="V75" s="31">
        <v>2300</v>
      </c>
      <c r="W75" s="39"/>
      <c r="X75" s="2" t="s">
        <v>79</v>
      </c>
    </row>
    <row r="76" spans="17:24" x14ac:dyDescent="0.35">
      <c r="Q76" s="8">
        <v>45946</v>
      </c>
      <c r="R76" s="2" t="s">
        <v>71</v>
      </c>
      <c r="S76" s="56" t="s">
        <v>106</v>
      </c>
      <c r="T76" s="56"/>
      <c r="U76" s="56"/>
      <c r="V76" s="31">
        <v>108000</v>
      </c>
      <c r="W76" s="39"/>
      <c r="X76" s="2" t="s">
        <v>20</v>
      </c>
    </row>
    <row r="77" spans="17:24" x14ac:dyDescent="0.35">
      <c r="Q77" s="8">
        <v>45946</v>
      </c>
      <c r="R77" s="2" t="s">
        <v>71</v>
      </c>
      <c r="S77" s="56" t="s">
        <v>106</v>
      </c>
      <c r="T77" s="56"/>
      <c r="U77" s="56"/>
      <c r="V77" s="31">
        <v>180000</v>
      </c>
      <c r="W77" s="39"/>
      <c r="X77" s="2" t="s">
        <v>20</v>
      </c>
    </row>
    <row r="78" spans="17:24" x14ac:dyDescent="0.35">
      <c r="Q78" s="8">
        <v>45946</v>
      </c>
      <c r="R78" s="2" t="s">
        <v>71</v>
      </c>
      <c r="S78" s="56" t="s">
        <v>48</v>
      </c>
      <c r="T78" s="56"/>
      <c r="U78" s="56"/>
      <c r="V78" s="31"/>
      <c r="W78" s="39">
        <v>767.12</v>
      </c>
      <c r="X78" s="2" t="s">
        <v>20</v>
      </c>
    </row>
    <row r="79" spans="17:24" x14ac:dyDescent="0.35">
      <c r="Q79" s="8">
        <v>45947</v>
      </c>
      <c r="R79" s="2" t="s">
        <v>31</v>
      </c>
      <c r="S79" s="56"/>
      <c r="T79" s="56"/>
      <c r="U79" s="56"/>
      <c r="V79" s="31">
        <v>3800</v>
      </c>
      <c r="W79" s="39"/>
      <c r="X79" s="2" t="s">
        <v>79</v>
      </c>
    </row>
    <row r="80" spans="17:24" x14ac:dyDescent="0.35">
      <c r="Q80" s="8">
        <v>45947</v>
      </c>
      <c r="R80" s="2" t="s">
        <v>22</v>
      </c>
      <c r="S80" s="56" t="s">
        <v>23</v>
      </c>
      <c r="T80" s="56"/>
      <c r="U80" s="56"/>
      <c r="V80" s="31">
        <v>8990</v>
      </c>
      <c r="W80" s="39"/>
      <c r="X80" s="2" t="s">
        <v>79</v>
      </c>
    </row>
    <row r="81" spans="17:24" x14ac:dyDescent="0.35">
      <c r="Q81" s="8">
        <v>45947</v>
      </c>
      <c r="R81" s="2" t="s">
        <v>31</v>
      </c>
      <c r="S81" s="56"/>
      <c r="T81" s="56"/>
      <c r="U81" s="56"/>
      <c r="V81" s="31">
        <v>7500</v>
      </c>
      <c r="W81" s="39"/>
      <c r="X81" s="2" t="s">
        <v>79</v>
      </c>
    </row>
    <row r="82" spans="17:24" x14ac:dyDescent="0.35">
      <c r="Q82" s="8">
        <v>45947</v>
      </c>
      <c r="R82" s="2" t="s">
        <v>31</v>
      </c>
      <c r="S82" s="56"/>
      <c r="T82" s="56"/>
      <c r="U82" s="56"/>
      <c r="V82" s="31">
        <v>2375</v>
      </c>
      <c r="W82" s="39"/>
      <c r="X82" s="2" t="s">
        <v>79</v>
      </c>
    </row>
    <row r="83" spans="17:24" x14ac:dyDescent="0.35">
      <c r="Q83" s="8">
        <v>45947</v>
      </c>
      <c r="R83" s="2" t="s">
        <v>117</v>
      </c>
      <c r="S83" s="56"/>
      <c r="T83" s="56"/>
      <c r="U83" s="56"/>
      <c r="V83" s="31">
        <v>10000</v>
      </c>
      <c r="W83" s="39"/>
      <c r="X83" s="2" t="s">
        <v>20</v>
      </c>
    </row>
    <row r="84" spans="17:24" x14ac:dyDescent="0.35">
      <c r="Q84" s="8">
        <v>45947</v>
      </c>
      <c r="R84" s="2" t="s">
        <v>71</v>
      </c>
      <c r="S84" s="56" t="s">
        <v>48</v>
      </c>
      <c r="T84" s="56"/>
      <c r="U84" s="56"/>
      <c r="V84" s="31"/>
      <c r="W84" s="39">
        <v>533.19000000000005</v>
      </c>
      <c r="X84" s="2" t="s">
        <v>20</v>
      </c>
    </row>
    <row r="85" spans="17:24" x14ac:dyDescent="0.35">
      <c r="Q85" s="8">
        <v>45948</v>
      </c>
      <c r="R85" s="2" t="s">
        <v>31</v>
      </c>
      <c r="S85" s="56"/>
      <c r="T85" s="56"/>
      <c r="U85" s="56"/>
      <c r="V85" s="31">
        <v>3600</v>
      </c>
      <c r="W85" s="39"/>
      <c r="X85" s="2" t="s">
        <v>79</v>
      </c>
    </row>
    <row r="86" spans="17:24" x14ac:dyDescent="0.35">
      <c r="Q86" s="8">
        <v>45948</v>
      </c>
      <c r="R86" s="2" t="s">
        <v>31</v>
      </c>
      <c r="S86" s="56"/>
      <c r="T86" s="56"/>
      <c r="U86" s="56"/>
      <c r="V86" s="31">
        <v>3265</v>
      </c>
      <c r="W86" s="39"/>
      <c r="X86" s="2" t="s">
        <v>79</v>
      </c>
    </row>
    <row r="87" spans="17:24" x14ac:dyDescent="0.35">
      <c r="Q87" s="8">
        <v>45948</v>
      </c>
      <c r="R87" s="2" t="s">
        <v>22</v>
      </c>
      <c r="S87" s="56" t="s">
        <v>21</v>
      </c>
      <c r="T87" s="56"/>
      <c r="U87" s="56"/>
      <c r="V87" s="31">
        <v>6174.7</v>
      </c>
      <c r="W87" s="39"/>
      <c r="X87" s="2" t="s">
        <v>79</v>
      </c>
    </row>
    <row r="88" spans="17:24" x14ac:dyDescent="0.35">
      <c r="Q88" s="8">
        <v>45948</v>
      </c>
      <c r="R88" s="2" t="s">
        <v>71</v>
      </c>
      <c r="S88" s="56" t="s">
        <v>48</v>
      </c>
      <c r="T88" s="56"/>
      <c r="U88" s="56"/>
      <c r="V88" s="31"/>
      <c r="W88" s="39">
        <v>584.01</v>
      </c>
      <c r="X88" s="2" t="s">
        <v>20</v>
      </c>
    </row>
    <row r="89" spans="17:24" x14ac:dyDescent="0.35">
      <c r="Q89" s="8">
        <v>45949</v>
      </c>
      <c r="R89" s="2" t="s">
        <v>31</v>
      </c>
      <c r="S89" s="56"/>
      <c r="T89" s="56"/>
      <c r="U89" s="56"/>
      <c r="V89" s="31">
        <v>3600</v>
      </c>
      <c r="W89" s="39"/>
      <c r="X89" s="2" t="s">
        <v>79</v>
      </c>
    </row>
    <row r="90" spans="17:24" x14ac:dyDescent="0.35">
      <c r="Q90" s="8">
        <v>45949</v>
      </c>
      <c r="R90" s="2" t="s">
        <v>3</v>
      </c>
      <c r="S90" s="56" t="s">
        <v>72</v>
      </c>
      <c r="T90" s="56"/>
      <c r="U90" s="56"/>
      <c r="V90" s="31">
        <v>3300</v>
      </c>
      <c r="W90" s="39"/>
      <c r="X90" s="2" t="s">
        <v>79</v>
      </c>
    </row>
    <row r="91" spans="17:24" x14ac:dyDescent="0.35">
      <c r="Q91" s="8">
        <v>45949</v>
      </c>
      <c r="R91" s="2" t="s">
        <v>31</v>
      </c>
      <c r="S91" s="56"/>
      <c r="T91" s="56"/>
      <c r="U91" s="56"/>
      <c r="V91" s="31">
        <f>13000-3400</f>
        <v>9600</v>
      </c>
      <c r="W91" s="39"/>
      <c r="X91" s="2" t="s">
        <v>79</v>
      </c>
    </row>
    <row r="92" spans="17:24" x14ac:dyDescent="0.35">
      <c r="Q92" s="8">
        <v>45949</v>
      </c>
      <c r="R92" s="2" t="s">
        <v>71</v>
      </c>
      <c r="S92" s="56" t="s">
        <v>48</v>
      </c>
      <c r="T92" s="56"/>
      <c r="U92" s="56"/>
      <c r="V92" s="31"/>
      <c r="W92" s="39">
        <v>584.63</v>
      </c>
      <c r="X92" s="2" t="s">
        <v>20</v>
      </c>
    </row>
    <row r="93" spans="17:24" x14ac:dyDescent="0.35">
      <c r="Q93" s="8">
        <v>45950</v>
      </c>
      <c r="R93" s="2" t="s">
        <v>31</v>
      </c>
      <c r="S93" s="56"/>
      <c r="T93" s="56"/>
      <c r="U93" s="56"/>
      <c r="V93" s="31">
        <v>4600</v>
      </c>
      <c r="W93" s="39"/>
      <c r="X93" s="2" t="s">
        <v>79</v>
      </c>
    </row>
    <row r="94" spans="17:24" x14ac:dyDescent="0.35">
      <c r="Q94" s="8">
        <v>45950</v>
      </c>
      <c r="R94" s="2" t="s">
        <v>31</v>
      </c>
      <c r="S94" s="56"/>
      <c r="T94" s="56"/>
      <c r="U94" s="56"/>
      <c r="V94" s="31">
        <v>12000</v>
      </c>
      <c r="W94" s="39"/>
      <c r="X94" s="2" t="s">
        <v>79</v>
      </c>
    </row>
    <row r="95" spans="17:24" x14ac:dyDescent="0.35">
      <c r="Q95" s="8">
        <v>45950</v>
      </c>
      <c r="R95" s="2" t="s">
        <v>71</v>
      </c>
      <c r="S95" s="56" t="s">
        <v>48</v>
      </c>
      <c r="T95" s="56"/>
      <c r="U95" s="56"/>
      <c r="V95" s="31"/>
      <c r="W95" s="39">
        <v>585.26</v>
      </c>
      <c r="X95" s="2" t="s">
        <v>20</v>
      </c>
    </row>
    <row r="96" spans="17:24" x14ac:dyDescent="0.35">
      <c r="Q96" s="8">
        <v>45951</v>
      </c>
      <c r="R96" s="2" t="s">
        <v>31</v>
      </c>
      <c r="S96" s="56"/>
      <c r="T96" s="56"/>
      <c r="U96" s="56"/>
      <c r="V96" s="31">
        <v>3600</v>
      </c>
      <c r="W96" s="39"/>
      <c r="X96" s="2" t="s">
        <v>79</v>
      </c>
    </row>
    <row r="97" spans="17:24" x14ac:dyDescent="0.35">
      <c r="Q97" s="8">
        <v>45951</v>
      </c>
      <c r="R97" s="2" t="s">
        <v>31</v>
      </c>
      <c r="S97" s="56"/>
      <c r="T97" s="56"/>
      <c r="U97" s="56"/>
      <c r="V97" s="31">
        <v>13632.5</v>
      </c>
      <c r="W97" s="39"/>
      <c r="X97" s="2" t="s">
        <v>79</v>
      </c>
    </row>
    <row r="98" spans="17:24" x14ac:dyDescent="0.35">
      <c r="Q98" s="8">
        <v>45951</v>
      </c>
      <c r="R98" s="2" t="s">
        <v>68</v>
      </c>
      <c r="S98" s="56" t="s">
        <v>1</v>
      </c>
      <c r="T98" s="56"/>
      <c r="U98" s="56"/>
      <c r="V98" s="31">
        <v>5000</v>
      </c>
      <c r="W98" s="39"/>
      <c r="X98" s="2" t="s">
        <v>79</v>
      </c>
    </row>
    <row r="99" spans="17:24" x14ac:dyDescent="0.35">
      <c r="Q99" s="8">
        <v>45951</v>
      </c>
      <c r="R99" s="2" t="s">
        <v>10</v>
      </c>
      <c r="S99" s="56" t="s">
        <v>16</v>
      </c>
      <c r="T99" s="56"/>
      <c r="U99" s="56"/>
      <c r="V99" s="31">
        <v>47754.51</v>
      </c>
      <c r="W99" s="39"/>
      <c r="X99" s="2" t="s">
        <v>79</v>
      </c>
    </row>
    <row r="100" spans="17:24" x14ac:dyDescent="0.35">
      <c r="Q100" s="8">
        <v>45951</v>
      </c>
      <c r="R100" s="2" t="s">
        <v>117</v>
      </c>
      <c r="S100" s="56"/>
      <c r="T100" s="56"/>
      <c r="U100" s="56"/>
      <c r="V100" s="31">
        <v>20000</v>
      </c>
      <c r="W100" s="39"/>
      <c r="X100" s="2" t="s">
        <v>20</v>
      </c>
    </row>
    <row r="101" spans="17:24" x14ac:dyDescent="0.35">
      <c r="Q101" s="8">
        <v>45951</v>
      </c>
      <c r="R101" s="2" t="s">
        <v>71</v>
      </c>
      <c r="S101" s="56" t="s">
        <v>48</v>
      </c>
      <c r="T101" s="56"/>
      <c r="U101" s="56"/>
      <c r="V101" s="31"/>
      <c r="W101" s="39">
        <v>585.88</v>
      </c>
      <c r="X101" s="2" t="s">
        <v>20</v>
      </c>
    </row>
    <row r="102" spans="17:24" x14ac:dyDescent="0.35">
      <c r="Q102" s="8">
        <v>45952</v>
      </c>
      <c r="R102" s="2" t="s">
        <v>68</v>
      </c>
      <c r="S102" s="38" t="s">
        <v>51</v>
      </c>
      <c r="T102" s="38"/>
      <c r="U102" s="38"/>
      <c r="V102" s="31">
        <v>3100</v>
      </c>
      <c r="W102" s="39"/>
      <c r="X102" s="2" t="s">
        <v>79</v>
      </c>
    </row>
    <row r="103" spans="17:24" x14ac:dyDescent="0.35">
      <c r="Q103" s="8">
        <v>45952</v>
      </c>
      <c r="R103" s="2" t="s">
        <v>6</v>
      </c>
      <c r="S103" s="56" t="s">
        <v>8</v>
      </c>
      <c r="T103" s="56"/>
      <c r="U103" s="56"/>
      <c r="V103" s="31">
        <v>150000</v>
      </c>
      <c r="W103" s="39"/>
      <c r="X103" s="2" t="s">
        <v>79</v>
      </c>
    </row>
    <row r="104" spans="17:24" x14ac:dyDescent="0.35">
      <c r="Q104" s="8">
        <v>45952</v>
      </c>
      <c r="R104" s="2" t="s">
        <v>10</v>
      </c>
      <c r="S104" s="56" t="s">
        <v>47</v>
      </c>
      <c r="T104" s="56"/>
      <c r="U104" s="56"/>
      <c r="V104" s="31">
        <v>28269.4</v>
      </c>
      <c r="W104" s="39"/>
      <c r="X104" s="2" t="s">
        <v>79</v>
      </c>
    </row>
    <row r="105" spans="17:24" x14ac:dyDescent="0.35">
      <c r="Q105" s="8">
        <v>45952</v>
      </c>
      <c r="R105" s="2" t="s">
        <v>71</v>
      </c>
      <c r="S105" s="56" t="s">
        <v>48</v>
      </c>
      <c r="T105" s="56"/>
      <c r="U105" s="56"/>
      <c r="V105" s="31"/>
      <c r="W105" s="39">
        <v>565.14</v>
      </c>
      <c r="X105" s="2" t="s">
        <v>20</v>
      </c>
    </row>
    <row r="106" spans="17:24" x14ac:dyDescent="0.35">
      <c r="Q106" s="8">
        <v>45952</v>
      </c>
      <c r="R106" s="2" t="s">
        <v>32</v>
      </c>
      <c r="S106" s="56"/>
      <c r="T106" s="56"/>
      <c r="U106" s="56"/>
      <c r="V106" s="31">
        <v>150000</v>
      </c>
      <c r="W106" s="39"/>
      <c r="X106" s="2" t="s">
        <v>20</v>
      </c>
    </row>
    <row r="107" spans="17:24" x14ac:dyDescent="0.35">
      <c r="Q107" s="8">
        <v>45952</v>
      </c>
      <c r="R107" s="2" t="s">
        <v>32</v>
      </c>
      <c r="S107" s="56"/>
      <c r="T107" s="56"/>
      <c r="U107" s="56"/>
      <c r="V107" s="31"/>
      <c r="W107" s="39">
        <v>150000</v>
      </c>
      <c r="X107" s="2" t="s">
        <v>79</v>
      </c>
    </row>
    <row r="108" spans="17:24" x14ac:dyDescent="0.35">
      <c r="Q108" s="8">
        <v>45952</v>
      </c>
      <c r="R108" s="2" t="s">
        <v>71</v>
      </c>
      <c r="S108" s="56" t="s">
        <v>106</v>
      </c>
      <c r="T108" s="56"/>
      <c r="U108" s="56"/>
      <c r="V108" s="31">
        <v>112505</v>
      </c>
      <c r="W108" s="39"/>
      <c r="X108" s="2" t="s">
        <v>20</v>
      </c>
    </row>
    <row r="109" spans="17:24" x14ac:dyDescent="0.35">
      <c r="Q109" s="8">
        <v>45952</v>
      </c>
      <c r="R109" s="2" t="s">
        <v>31</v>
      </c>
      <c r="S109" s="56"/>
      <c r="T109" s="56"/>
      <c r="U109" s="56"/>
      <c r="V109" s="31">
        <v>4300</v>
      </c>
      <c r="W109" s="39"/>
      <c r="X109" s="2" t="s">
        <v>79</v>
      </c>
    </row>
    <row r="110" spans="17:24" x14ac:dyDescent="0.35">
      <c r="Q110" s="8">
        <v>45952</v>
      </c>
      <c r="R110" s="2"/>
      <c r="S110" s="56"/>
      <c r="T110" s="56"/>
      <c r="U110" s="56"/>
      <c r="V110" s="31">
        <v>133993.14000000001</v>
      </c>
      <c r="W110" s="39"/>
      <c r="X110" s="2" t="s">
        <v>20</v>
      </c>
    </row>
    <row r="111" spans="17:24" x14ac:dyDescent="0.35">
      <c r="Q111" s="8">
        <v>45953</v>
      </c>
      <c r="R111" s="2" t="s">
        <v>71</v>
      </c>
      <c r="S111" s="56" t="s">
        <v>48</v>
      </c>
      <c r="T111" s="56"/>
      <c r="U111" s="56"/>
      <c r="V111" s="31"/>
      <c r="W111" s="39">
        <v>142.09</v>
      </c>
      <c r="X111" s="2" t="s">
        <v>20</v>
      </c>
    </row>
    <row r="112" spans="17:24" x14ac:dyDescent="0.35">
      <c r="Q112" s="8">
        <v>45953</v>
      </c>
      <c r="R112" s="2" t="s">
        <v>71</v>
      </c>
      <c r="S112" s="56" t="s">
        <v>100</v>
      </c>
      <c r="T112" s="56"/>
      <c r="U112" s="56"/>
      <c r="V112" s="31"/>
      <c r="W112" s="39">
        <v>500000</v>
      </c>
      <c r="X112" s="2" t="s">
        <v>20</v>
      </c>
    </row>
    <row r="113" spans="17:24" x14ac:dyDescent="0.35">
      <c r="Q113" s="8">
        <v>45953</v>
      </c>
      <c r="R113" s="2" t="s">
        <v>71</v>
      </c>
      <c r="S113" s="56" t="s">
        <v>106</v>
      </c>
      <c r="T113" s="56"/>
      <c r="U113" s="56"/>
      <c r="V113" s="31">
        <v>400000</v>
      </c>
      <c r="W113" s="39"/>
      <c r="X113" s="2" t="s">
        <v>20</v>
      </c>
    </row>
    <row r="114" spans="17:24" x14ac:dyDescent="0.35">
      <c r="Q114" s="8">
        <v>45953</v>
      </c>
      <c r="R114" s="2" t="s">
        <v>68</v>
      </c>
      <c r="S114" s="56" t="s">
        <v>117</v>
      </c>
      <c r="T114" s="56"/>
      <c r="U114" s="56"/>
      <c r="V114" s="31">
        <v>15000</v>
      </c>
      <c r="W114" s="39"/>
      <c r="X114" s="2" t="s">
        <v>79</v>
      </c>
    </row>
    <row r="115" spans="17:24" x14ac:dyDescent="0.35">
      <c r="Q115" s="8">
        <v>45953</v>
      </c>
      <c r="R115" s="2" t="s">
        <v>31</v>
      </c>
      <c r="S115" s="56"/>
      <c r="T115" s="56"/>
      <c r="U115" s="56"/>
      <c r="V115" s="31">
        <v>8000</v>
      </c>
      <c r="W115" s="39"/>
      <c r="X115" s="2" t="s">
        <v>79</v>
      </c>
    </row>
    <row r="116" spans="17:24" x14ac:dyDescent="0.35">
      <c r="Q116" s="8">
        <v>45953</v>
      </c>
      <c r="R116" s="2" t="s">
        <v>31</v>
      </c>
      <c r="S116" s="56" t="s">
        <v>84</v>
      </c>
      <c r="T116" s="56"/>
      <c r="U116" s="56"/>
      <c r="V116" s="31">
        <v>2800</v>
      </c>
      <c r="W116" s="39"/>
      <c r="X116" s="2" t="s">
        <v>79</v>
      </c>
    </row>
    <row r="117" spans="17:24" x14ac:dyDescent="0.35">
      <c r="Q117" s="8">
        <v>45953</v>
      </c>
      <c r="R117" s="2" t="s">
        <v>22</v>
      </c>
      <c r="S117" s="56" t="s">
        <v>25</v>
      </c>
      <c r="T117" s="56"/>
      <c r="U117" s="56"/>
      <c r="V117" s="31">
        <v>15568.43</v>
      </c>
      <c r="W117" s="39"/>
      <c r="X117" s="2" t="s">
        <v>79</v>
      </c>
    </row>
    <row r="118" spans="17:24" x14ac:dyDescent="0.35">
      <c r="Q118" s="8">
        <v>45953</v>
      </c>
      <c r="R118" s="2" t="s">
        <v>31</v>
      </c>
      <c r="S118" s="56" t="s">
        <v>63</v>
      </c>
      <c r="T118" s="56"/>
      <c r="U118" s="56"/>
      <c r="V118" s="31">
        <v>9400</v>
      </c>
      <c r="W118" s="39"/>
      <c r="X118" s="2" t="s">
        <v>79</v>
      </c>
    </row>
    <row r="119" spans="17:24" x14ac:dyDescent="0.35">
      <c r="Q119" s="8">
        <v>45954</v>
      </c>
      <c r="R119" s="2" t="s">
        <v>71</v>
      </c>
      <c r="S119" s="56" t="s">
        <v>48</v>
      </c>
      <c r="T119" s="56"/>
      <c r="U119" s="56"/>
      <c r="V119" s="31"/>
      <c r="W119" s="39">
        <v>109.78</v>
      </c>
      <c r="X119" s="2" t="s">
        <v>79</v>
      </c>
    </row>
    <row r="120" spans="17:24" x14ac:dyDescent="0.35">
      <c r="Q120" s="8">
        <v>45954</v>
      </c>
      <c r="R120" s="2" t="s">
        <v>71</v>
      </c>
      <c r="S120" s="56" t="s">
        <v>48</v>
      </c>
      <c r="T120" s="56"/>
      <c r="U120" s="56"/>
      <c r="V120" s="31"/>
      <c r="W120" s="39">
        <v>249.09</v>
      </c>
      <c r="X120" s="2" t="s">
        <v>20</v>
      </c>
    </row>
    <row r="121" spans="17:24" x14ac:dyDescent="0.35">
      <c r="Q121" s="8">
        <v>45954</v>
      </c>
      <c r="R121" s="2" t="s">
        <v>31</v>
      </c>
      <c r="S121" s="56"/>
      <c r="T121" s="56"/>
      <c r="U121" s="56"/>
      <c r="V121" s="31">
        <v>2500</v>
      </c>
      <c r="W121" s="39"/>
      <c r="X121" s="2" t="s">
        <v>79</v>
      </c>
    </row>
    <row r="122" spans="17:24" x14ac:dyDescent="0.35">
      <c r="Q122" s="8">
        <v>45954</v>
      </c>
      <c r="R122" s="2" t="s">
        <v>31</v>
      </c>
      <c r="S122" s="56"/>
      <c r="T122" s="56"/>
      <c r="U122" s="56"/>
      <c r="V122" s="31">
        <v>7612</v>
      </c>
      <c r="W122" s="39"/>
      <c r="X122" s="2" t="s">
        <v>79</v>
      </c>
    </row>
    <row r="123" spans="17:24" x14ac:dyDescent="0.35">
      <c r="Q123" s="8">
        <v>45954</v>
      </c>
      <c r="R123" s="2" t="s">
        <v>31</v>
      </c>
      <c r="S123" s="56"/>
      <c r="T123" s="56"/>
      <c r="U123" s="56"/>
      <c r="V123" s="31">
        <v>9700</v>
      </c>
      <c r="W123" s="39"/>
      <c r="X123" s="2" t="s">
        <v>79</v>
      </c>
    </row>
    <row r="124" spans="17:24" x14ac:dyDescent="0.35">
      <c r="Q124" s="8">
        <v>45955</v>
      </c>
      <c r="R124" s="2" t="s">
        <v>31</v>
      </c>
      <c r="S124" s="56"/>
      <c r="T124" s="56"/>
      <c r="U124" s="56"/>
      <c r="V124" s="31">
        <v>16753.5</v>
      </c>
      <c r="W124" s="39"/>
      <c r="X124" s="2" t="s">
        <v>79</v>
      </c>
    </row>
    <row r="125" spans="17:24" x14ac:dyDescent="0.35">
      <c r="Q125" s="8">
        <v>45955</v>
      </c>
      <c r="R125" s="2" t="s">
        <v>31</v>
      </c>
      <c r="S125" s="56"/>
      <c r="T125" s="56"/>
      <c r="U125" s="56"/>
      <c r="V125" s="31">
        <v>6500</v>
      </c>
      <c r="W125" s="39"/>
      <c r="X125" s="2" t="s">
        <v>79</v>
      </c>
    </row>
    <row r="126" spans="17:24" x14ac:dyDescent="0.35">
      <c r="Q126" s="8">
        <v>45955</v>
      </c>
      <c r="R126" s="2" t="s">
        <v>22</v>
      </c>
      <c r="S126" s="56" t="s">
        <v>28</v>
      </c>
      <c r="T126" s="56"/>
      <c r="U126" s="56"/>
      <c r="V126" s="31">
        <v>5964.05</v>
      </c>
      <c r="W126" s="39"/>
      <c r="X126" s="2" t="s">
        <v>79</v>
      </c>
    </row>
    <row r="127" spans="17:24" x14ac:dyDescent="0.35">
      <c r="Q127" s="8">
        <v>45955</v>
      </c>
      <c r="R127" s="2" t="s">
        <v>22</v>
      </c>
      <c r="S127" s="56" t="s">
        <v>24</v>
      </c>
      <c r="T127" s="56"/>
      <c r="U127" s="56"/>
      <c r="V127" s="31">
        <v>2112.4899999999998</v>
      </c>
      <c r="W127" s="39"/>
      <c r="X127" s="2" t="s">
        <v>20</v>
      </c>
    </row>
    <row r="128" spans="17:24" x14ac:dyDescent="0.35">
      <c r="Q128" s="8">
        <v>45955</v>
      </c>
      <c r="R128" s="2" t="s">
        <v>71</v>
      </c>
      <c r="S128" s="56" t="s">
        <v>48</v>
      </c>
      <c r="T128" s="56"/>
      <c r="U128" s="56"/>
      <c r="V128" s="31"/>
      <c r="W128" s="39">
        <v>249.36</v>
      </c>
      <c r="X128" s="2" t="s">
        <v>20</v>
      </c>
    </row>
    <row r="129" spans="17:24" x14ac:dyDescent="0.35">
      <c r="Q129" s="8">
        <v>45956</v>
      </c>
      <c r="R129" s="2" t="s">
        <v>31</v>
      </c>
      <c r="S129" s="56"/>
      <c r="T129" s="56"/>
      <c r="U129" s="56"/>
      <c r="V129" s="31">
        <v>7878</v>
      </c>
      <c r="W129" s="39"/>
      <c r="X129" s="2" t="s">
        <v>79</v>
      </c>
    </row>
    <row r="130" spans="17:24" x14ac:dyDescent="0.35">
      <c r="Q130" s="8">
        <v>45956</v>
      </c>
      <c r="R130" s="2" t="s">
        <v>31</v>
      </c>
      <c r="S130" s="56"/>
      <c r="T130" s="56"/>
      <c r="U130" s="56"/>
      <c r="V130" s="31">
        <v>3000</v>
      </c>
      <c r="W130" s="39"/>
      <c r="X130" s="2" t="s">
        <v>79</v>
      </c>
    </row>
    <row r="131" spans="17:24" x14ac:dyDescent="0.35">
      <c r="Q131" s="8">
        <v>45956</v>
      </c>
      <c r="R131" s="2" t="s">
        <v>71</v>
      </c>
      <c r="S131" s="56" t="s">
        <v>48</v>
      </c>
      <c r="T131" s="56"/>
      <c r="U131" s="56"/>
      <c r="V131" s="31"/>
      <c r="W131" s="39">
        <v>247.36</v>
      </c>
      <c r="X131" s="2" t="s">
        <v>20</v>
      </c>
    </row>
    <row r="132" spans="17:24" x14ac:dyDescent="0.35">
      <c r="Q132" s="8">
        <v>45957</v>
      </c>
      <c r="R132" s="2" t="s">
        <v>71</v>
      </c>
      <c r="S132" s="56" t="s">
        <v>48</v>
      </c>
      <c r="T132" s="56"/>
      <c r="U132" s="56"/>
      <c r="V132" s="31"/>
      <c r="W132" s="39">
        <v>418.66</v>
      </c>
      <c r="X132" s="2" t="s">
        <v>79</v>
      </c>
    </row>
    <row r="133" spans="17:24" x14ac:dyDescent="0.35">
      <c r="Q133" s="8">
        <v>45957</v>
      </c>
      <c r="R133" s="2" t="s">
        <v>71</v>
      </c>
      <c r="S133" s="56" t="s">
        <v>48</v>
      </c>
      <c r="T133" s="56"/>
      <c r="U133" s="56"/>
      <c r="V133" s="31"/>
      <c r="W133" s="39">
        <v>247.63</v>
      </c>
      <c r="X133" s="2" t="s">
        <v>20</v>
      </c>
    </row>
    <row r="134" spans="17:24" x14ac:dyDescent="0.35">
      <c r="Q134" s="8">
        <v>45957</v>
      </c>
      <c r="R134" s="2" t="s">
        <v>31</v>
      </c>
      <c r="S134" s="56"/>
      <c r="T134" s="56"/>
      <c r="U134" s="56"/>
      <c r="V134" s="31">
        <v>4355</v>
      </c>
      <c r="W134" s="39"/>
      <c r="X134" s="2" t="s">
        <v>79</v>
      </c>
    </row>
    <row r="135" spans="17:24" x14ac:dyDescent="0.35">
      <c r="Q135" s="8">
        <v>45957</v>
      </c>
      <c r="R135" s="2" t="s">
        <v>10</v>
      </c>
      <c r="S135" s="56" t="s">
        <v>47</v>
      </c>
      <c r="T135" s="56"/>
      <c r="U135" s="56"/>
      <c r="V135" s="31">
        <v>37288.6</v>
      </c>
      <c r="W135" s="39"/>
      <c r="X135" s="2" t="s">
        <v>79</v>
      </c>
    </row>
    <row r="136" spans="17:24" x14ac:dyDescent="0.35">
      <c r="Q136" s="8">
        <v>45957</v>
      </c>
      <c r="R136" s="2" t="s">
        <v>68</v>
      </c>
      <c r="S136" s="56" t="s">
        <v>4</v>
      </c>
      <c r="T136" s="56"/>
      <c r="U136" s="56"/>
      <c r="V136" s="31">
        <v>2833</v>
      </c>
      <c r="W136" s="39"/>
      <c r="X136" s="2" t="s">
        <v>79</v>
      </c>
    </row>
    <row r="137" spans="17:24" x14ac:dyDescent="0.35">
      <c r="Q137" s="8">
        <v>45957</v>
      </c>
      <c r="R137" s="2" t="s">
        <v>31</v>
      </c>
      <c r="S137" s="56"/>
      <c r="T137" s="56"/>
      <c r="U137" s="56"/>
      <c r="V137" s="31">
        <v>8930</v>
      </c>
      <c r="W137" s="39"/>
      <c r="X137" s="2" t="s">
        <v>79</v>
      </c>
    </row>
    <row r="138" spans="17:24" x14ac:dyDescent="0.35">
      <c r="Q138" s="8">
        <v>45957</v>
      </c>
      <c r="R138" s="2" t="s">
        <v>31</v>
      </c>
      <c r="S138" s="56"/>
      <c r="T138" s="56"/>
      <c r="U138" s="56"/>
      <c r="V138" s="31">
        <v>4600</v>
      </c>
      <c r="W138" s="39"/>
      <c r="X138" s="2" t="s">
        <v>79</v>
      </c>
    </row>
    <row r="139" spans="17:24" x14ac:dyDescent="0.35">
      <c r="Q139" s="8">
        <v>45958</v>
      </c>
      <c r="R139" s="2" t="s">
        <v>71</v>
      </c>
      <c r="S139" s="56" t="s">
        <v>48</v>
      </c>
      <c r="T139" s="56"/>
      <c r="U139" s="56"/>
      <c r="V139" s="31"/>
      <c r="W139" s="39">
        <v>25.47</v>
      </c>
      <c r="X139" s="2" t="s">
        <v>79</v>
      </c>
    </row>
    <row r="140" spans="17:24" x14ac:dyDescent="0.35">
      <c r="Q140" s="8">
        <v>45958</v>
      </c>
      <c r="R140" s="2" t="s">
        <v>68</v>
      </c>
      <c r="S140" s="56" t="s">
        <v>4</v>
      </c>
      <c r="T140" s="56"/>
      <c r="U140" s="56"/>
      <c r="V140" s="31">
        <v>2591</v>
      </c>
      <c r="W140" s="39"/>
      <c r="X140" s="2" t="s">
        <v>79</v>
      </c>
    </row>
    <row r="141" spans="17:24" x14ac:dyDescent="0.35">
      <c r="Q141" s="8">
        <v>45958</v>
      </c>
      <c r="R141" s="2" t="s">
        <v>68</v>
      </c>
      <c r="S141" s="56" t="s">
        <v>4</v>
      </c>
      <c r="T141" s="56"/>
      <c r="U141" s="56"/>
      <c r="V141" s="31">
        <v>2731</v>
      </c>
      <c r="W141" s="39"/>
      <c r="X141" s="2" t="s">
        <v>79</v>
      </c>
    </row>
    <row r="142" spans="17:24" x14ac:dyDescent="0.35">
      <c r="Q142" s="8">
        <v>45958</v>
      </c>
      <c r="R142" s="2" t="s">
        <v>68</v>
      </c>
      <c r="S142" s="56" t="s">
        <v>4</v>
      </c>
      <c r="T142" s="56"/>
      <c r="U142" s="56"/>
      <c r="V142" s="31">
        <v>2715</v>
      </c>
      <c r="W142" s="39"/>
      <c r="X142" s="2" t="s">
        <v>79</v>
      </c>
    </row>
    <row r="143" spans="17:24" x14ac:dyDescent="0.35">
      <c r="Q143" s="8">
        <v>45958</v>
      </c>
      <c r="R143" s="2" t="s">
        <v>68</v>
      </c>
      <c r="S143" s="56" t="s">
        <v>4</v>
      </c>
      <c r="T143" s="56"/>
      <c r="U143" s="56"/>
      <c r="V143" s="31">
        <v>2608</v>
      </c>
      <c r="W143" s="39"/>
      <c r="X143" s="2" t="s">
        <v>79</v>
      </c>
    </row>
    <row r="144" spans="17:24" x14ac:dyDescent="0.35">
      <c r="Q144" s="81">
        <v>45958</v>
      </c>
      <c r="R144" s="2" t="s">
        <v>67</v>
      </c>
      <c r="S144" s="56" t="s">
        <v>4</v>
      </c>
      <c r="T144" s="56"/>
      <c r="U144" s="56"/>
      <c r="V144" s="31">
        <v>3600</v>
      </c>
      <c r="W144" s="39"/>
      <c r="X144" s="2" t="s">
        <v>79</v>
      </c>
    </row>
    <row r="145" spans="17:24" x14ac:dyDescent="0.35">
      <c r="Q145" s="81">
        <v>45959</v>
      </c>
      <c r="R145" s="2" t="s">
        <v>71</v>
      </c>
      <c r="S145" s="56" t="s">
        <v>48</v>
      </c>
      <c r="T145" s="56"/>
      <c r="U145" s="56"/>
      <c r="V145" s="31"/>
      <c r="W145" s="39">
        <v>22.68</v>
      </c>
      <c r="X145" s="2" t="s">
        <v>79</v>
      </c>
    </row>
    <row r="146" spans="17:24" x14ac:dyDescent="0.35">
      <c r="Q146" s="81">
        <v>45959</v>
      </c>
      <c r="R146" s="2" t="s">
        <v>68</v>
      </c>
      <c r="S146" s="56" t="s">
        <v>51</v>
      </c>
      <c r="T146" s="56"/>
      <c r="U146" s="56"/>
      <c r="V146" s="31">
        <v>4000</v>
      </c>
      <c r="W146" s="39"/>
      <c r="X146" s="2" t="s">
        <v>79</v>
      </c>
    </row>
    <row r="147" spans="17:24" x14ac:dyDescent="0.35">
      <c r="Q147" s="81">
        <v>45960</v>
      </c>
      <c r="R147" s="2" t="s">
        <v>71</v>
      </c>
      <c r="S147" s="56" t="s">
        <v>48</v>
      </c>
      <c r="T147" s="56"/>
      <c r="U147" s="56"/>
      <c r="V147" s="31"/>
      <c r="W147" s="39">
        <v>3.39</v>
      </c>
      <c r="X147" s="2" t="s">
        <v>79</v>
      </c>
    </row>
    <row r="148" spans="17:24" x14ac:dyDescent="0.35">
      <c r="Q148" s="81">
        <v>45960</v>
      </c>
      <c r="R148" s="2" t="s">
        <v>71</v>
      </c>
      <c r="S148" s="56" t="s">
        <v>48</v>
      </c>
      <c r="T148" s="56"/>
      <c r="U148" s="56"/>
      <c r="V148" s="31"/>
      <c r="W148" s="39">
        <v>3.13</v>
      </c>
      <c r="X148" s="2" t="s">
        <v>79</v>
      </c>
    </row>
    <row r="149" spans="17:24" x14ac:dyDescent="0.35">
      <c r="Q149" s="81">
        <v>45958</v>
      </c>
      <c r="R149" s="2" t="s">
        <v>32</v>
      </c>
      <c r="S149" s="56"/>
      <c r="T149" s="56"/>
      <c r="U149" s="56"/>
      <c r="V149" s="31"/>
      <c r="W149" s="39">
        <v>15000</v>
      </c>
      <c r="X149" s="2" t="s">
        <v>79</v>
      </c>
    </row>
    <row r="150" spans="17:24" x14ac:dyDescent="0.35">
      <c r="Q150" s="81">
        <v>45961</v>
      </c>
      <c r="R150" s="2" t="s">
        <v>31</v>
      </c>
      <c r="S150" s="56"/>
      <c r="T150" s="56"/>
      <c r="U150" s="56"/>
      <c r="V150" s="31">
        <v>5399</v>
      </c>
      <c r="W150" s="39"/>
      <c r="X150" s="2" t="s">
        <v>20</v>
      </c>
    </row>
    <row r="151" spans="17:24" x14ac:dyDescent="0.35">
      <c r="Q151" s="81">
        <v>45961</v>
      </c>
      <c r="R151" s="2" t="s">
        <v>31</v>
      </c>
      <c r="S151" s="56"/>
      <c r="T151" s="56"/>
      <c r="U151" s="56"/>
      <c r="V151" s="31">
        <v>4600</v>
      </c>
      <c r="W151" s="39"/>
      <c r="X151" s="2" t="s">
        <v>20</v>
      </c>
    </row>
    <row r="152" spans="17:24" x14ac:dyDescent="0.35">
      <c r="Q152" s="81">
        <v>45961</v>
      </c>
      <c r="R152" s="2" t="s">
        <v>3</v>
      </c>
      <c r="S152" s="56" t="s">
        <v>72</v>
      </c>
      <c r="T152" s="56"/>
      <c r="U152" s="56"/>
      <c r="V152" s="31">
        <v>3000</v>
      </c>
      <c r="W152" s="39"/>
      <c r="X152" s="2" t="s">
        <v>20</v>
      </c>
    </row>
    <row r="153" spans="17:24" x14ac:dyDescent="0.35">
      <c r="Q153" s="81">
        <v>45961</v>
      </c>
      <c r="R153" s="2" t="s">
        <v>71</v>
      </c>
      <c r="S153" s="56" t="s">
        <v>48</v>
      </c>
      <c r="T153" s="56"/>
      <c r="U153" s="56"/>
      <c r="V153" s="31"/>
      <c r="W153" s="39">
        <v>72.180000000000007</v>
      </c>
      <c r="X153" s="2" t="s">
        <v>20</v>
      </c>
    </row>
    <row r="154" spans="17:24" x14ac:dyDescent="0.35">
      <c r="Q154" s="81">
        <v>45960</v>
      </c>
      <c r="R154" s="2" t="s">
        <v>31</v>
      </c>
      <c r="S154" s="56"/>
      <c r="T154" s="56"/>
      <c r="U154" s="56"/>
      <c r="V154" s="31">
        <v>7600</v>
      </c>
      <c r="W154" s="39"/>
      <c r="X154" s="2" t="s">
        <v>20</v>
      </c>
    </row>
    <row r="155" spans="17:24" x14ac:dyDescent="0.35">
      <c r="Q155" s="81">
        <v>45960</v>
      </c>
      <c r="R155" s="2" t="s">
        <v>31</v>
      </c>
      <c r="S155" s="56"/>
      <c r="T155" s="56"/>
      <c r="U155" s="56"/>
      <c r="V155" s="31">
        <v>6688</v>
      </c>
      <c r="W155" s="39"/>
      <c r="X155" s="2" t="s">
        <v>20</v>
      </c>
    </row>
    <row r="156" spans="17:24" x14ac:dyDescent="0.35">
      <c r="Q156" s="81">
        <v>45960</v>
      </c>
      <c r="R156" s="2" t="s">
        <v>71</v>
      </c>
      <c r="S156" s="56" t="s">
        <v>48</v>
      </c>
      <c r="T156" s="56"/>
      <c r="U156" s="56"/>
      <c r="V156" s="31"/>
      <c r="W156" s="39">
        <v>87.33</v>
      </c>
      <c r="X156" s="2" t="s">
        <v>20</v>
      </c>
    </row>
    <row r="157" spans="17:24" x14ac:dyDescent="0.35">
      <c r="Q157" s="81">
        <v>45960</v>
      </c>
      <c r="R157" s="2" t="s">
        <v>31</v>
      </c>
      <c r="S157" s="56"/>
      <c r="T157" s="56"/>
      <c r="U157" s="56"/>
      <c r="V157" s="31">
        <v>4200</v>
      </c>
      <c r="W157" s="39"/>
      <c r="X157" s="2" t="s">
        <v>20</v>
      </c>
    </row>
    <row r="158" spans="17:24" x14ac:dyDescent="0.35">
      <c r="Q158" s="81">
        <v>45960</v>
      </c>
      <c r="R158" s="2" t="s">
        <v>31</v>
      </c>
      <c r="S158" s="56"/>
      <c r="T158" s="56"/>
      <c r="U158" s="56"/>
      <c r="V158" s="31">
        <v>10614</v>
      </c>
      <c r="W158" s="39"/>
      <c r="X158" s="2" t="s">
        <v>20</v>
      </c>
    </row>
    <row r="159" spans="17:24" x14ac:dyDescent="0.35">
      <c r="Q159" s="81">
        <v>45960</v>
      </c>
      <c r="R159" s="2" t="s">
        <v>31</v>
      </c>
      <c r="S159" s="56"/>
      <c r="T159" s="56"/>
      <c r="U159" s="56"/>
      <c r="V159" s="31">
        <v>4200</v>
      </c>
      <c r="W159" s="39"/>
      <c r="X159" s="2" t="s">
        <v>20</v>
      </c>
    </row>
    <row r="160" spans="17:24" x14ac:dyDescent="0.35">
      <c r="Q160" s="81">
        <v>45959</v>
      </c>
      <c r="R160" s="2" t="s">
        <v>71</v>
      </c>
      <c r="S160" s="56" t="s">
        <v>48</v>
      </c>
      <c r="T160" s="56"/>
      <c r="U160" s="56"/>
      <c r="V160" s="31"/>
      <c r="W160" s="39">
        <v>107.53</v>
      </c>
      <c r="X160" s="2" t="s">
        <v>20</v>
      </c>
    </row>
    <row r="161" spans="17:24" x14ac:dyDescent="0.35">
      <c r="Q161" s="81">
        <v>45958</v>
      </c>
      <c r="R161" s="2" t="s">
        <v>3</v>
      </c>
      <c r="S161" s="56" t="s">
        <v>152</v>
      </c>
      <c r="T161" s="56"/>
      <c r="U161" s="56"/>
      <c r="V161" s="31">
        <v>48000</v>
      </c>
      <c r="W161" s="39"/>
      <c r="X161" s="2" t="s">
        <v>20</v>
      </c>
    </row>
    <row r="162" spans="17:24" x14ac:dyDescent="0.35">
      <c r="Q162" s="81">
        <v>45958</v>
      </c>
      <c r="R162" s="2" t="s">
        <v>31</v>
      </c>
      <c r="S162" s="56"/>
      <c r="T162" s="56"/>
      <c r="U162" s="56"/>
      <c r="V162" s="31">
        <v>9312.5</v>
      </c>
      <c r="W162" s="39"/>
      <c r="X162" s="2" t="s">
        <v>20</v>
      </c>
    </row>
    <row r="163" spans="17:24" x14ac:dyDescent="0.35">
      <c r="Q163" s="81">
        <v>45958</v>
      </c>
      <c r="R163" s="2" t="s">
        <v>31</v>
      </c>
      <c r="S163" s="56"/>
      <c r="T163" s="56"/>
      <c r="U163" s="56"/>
      <c r="V163" s="31">
        <v>1000</v>
      </c>
      <c r="W163" s="39"/>
      <c r="X163" s="2" t="s">
        <v>20</v>
      </c>
    </row>
    <row r="164" spans="17:24" x14ac:dyDescent="0.35">
      <c r="Q164" s="81">
        <v>45958</v>
      </c>
      <c r="R164" s="2" t="s">
        <v>31</v>
      </c>
      <c r="S164" s="56"/>
      <c r="T164" s="56"/>
      <c r="U164" s="56"/>
      <c r="V164" s="31">
        <v>3500</v>
      </c>
      <c r="W164" s="39"/>
      <c r="X164" s="2" t="s">
        <v>20</v>
      </c>
    </row>
    <row r="165" spans="17:24" x14ac:dyDescent="0.35">
      <c r="Q165" s="81">
        <v>45958</v>
      </c>
      <c r="R165" s="2" t="s">
        <v>117</v>
      </c>
      <c r="S165" s="56"/>
      <c r="T165" s="56"/>
      <c r="U165" s="56"/>
      <c r="V165" s="31">
        <v>6000</v>
      </c>
      <c r="W165" s="39"/>
      <c r="X165" s="2" t="s">
        <v>20</v>
      </c>
    </row>
    <row r="166" spans="17:24" x14ac:dyDescent="0.35">
      <c r="Q166" s="81">
        <v>45958</v>
      </c>
      <c r="R166" s="2" t="s">
        <v>68</v>
      </c>
      <c r="S166" s="56" t="s">
        <v>51</v>
      </c>
      <c r="T166" s="56"/>
      <c r="U166" s="56"/>
      <c r="V166" s="31">
        <v>3000</v>
      </c>
      <c r="W166" s="39"/>
      <c r="X166" s="2" t="s">
        <v>20</v>
      </c>
    </row>
    <row r="167" spans="17:24" x14ac:dyDescent="0.35">
      <c r="Q167" s="81">
        <v>45958</v>
      </c>
      <c r="R167" s="2" t="s">
        <v>31</v>
      </c>
      <c r="S167" s="56" t="s">
        <v>63</v>
      </c>
      <c r="T167" s="56"/>
      <c r="U167" s="56"/>
      <c r="V167" s="31">
        <v>5800</v>
      </c>
      <c r="W167" s="39"/>
      <c r="X167" s="2" t="s">
        <v>20</v>
      </c>
    </row>
    <row r="168" spans="17:24" x14ac:dyDescent="0.35">
      <c r="Q168" s="81">
        <v>45958</v>
      </c>
      <c r="R168" s="2" t="s">
        <v>32</v>
      </c>
      <c r="S168" s="56"/>
      <c r="T168" s="56"/>
      <c r="U168" s="56"/>
      <c r="V168" s="31">
        <v>15000</v>
      </c>
      <c r="W168" s="39"/>
      <c r="X168" s="2" t="s">
        <v>20</v>
      </c>
    </row>
    <row r="169" spans="17:24" x14ac:dyDescent="0.35">
      <c r="Q169" s="81">
        <v>45958</v>
      </c>
      <c r="R169" s="2" t="s">
        <v>117</v>
      </c>
      <c r="S169" s="56"/>
      <c r="T169" s="56"/>
      <c r="U169" s="56"/>
      <c r="V169" s="31">
        <v>10000</v>
      </c>
      <c r="W169" s="39"/>
      <c r="X169" s="2" t="s">
        <v>20</v>
      </c>
    </row>
    <row r="170" spans="17:24" x14ac:dyDescent="0.35">
      <c r="Q170" s="81">
        <v>45958</v>
      </c>
      <c r="R170" s="2" t="s">
        <v>62</v>
      </c>
      <c r="S170" s="56"/>
      <c r="T170" s="56"/>
      <c r="U170" s="56"/>
      <c r="V170" s="31">
        <v>30000</v>
      </c>
      <c r="W170" s="39"/>
      <c r="X170" s="2" t="s">
        <v>20</v>
      </c>
    </row>
    <row r="171" spans="17:24" x14ac:dyDescent="0.35">
      <c r="Q171" s="81">
        <v>45958</v>
      </c>
      <c r="R171" s="2"/>
      <c r="S171" s="56"/>
      <c r="T171" s="56"/>
      <c r="U171" s="56"/>
      <c r="V171" s="31"/>
      <c r="W171" s="39">
        <v>247.89</v>
      </c>
    </row>
    <row r="172" spans="17:24" x14ac:dyDescent="0.35">
      <c r="Q172" s="81"/>
      <c r="R172" s="2"/>
      <c r="S172" s="56"/>
      <c r="T172" s="56"/>
      <c r="U172" s="56"/>
      <c r="V172" s="31"/>
      <c r="W172" s="39"/>
    </row>
    <row r="173" spans="17:24" x14ac:dyDescent="0.35">
      <c r="Q173" s="81"/>
      <c r="R173" s="2"/>
      <c r="S173" s="56"/>
      <c r="T173" s="56"/>
      <c r="U173" s="56"/>
      <c r="V173" s="31"/>
      <c r="W173" s="39"/>
    </row>
    <row r="174" spans="17:24" x14ac:dyDescent="0.35">
      <c r="Q174" s="81"/>
      <c r="R174" s="2"/>
      <c r="S174" s="56"/>
      <c r="T174" s="56"/>
      <c r="U174" s="56"/>
      <c r="V174" s="31"/>
      <c r="W174" s="39"/>
    </row>
    <row r="175" spans="17:24" x14ac:dyDescent="0.35">
      <c r="Q175" s="81"/>
      <c r="R175" s="2"/>
      <c r="S175" s="56"/>
      <c r="T175" s="56"/>
      <c r="U175" s="56"/>
      <c r="V175" s="31"/>
      <c r="W175" s="39"/>
    </row>
    <row r="176" spans="17:24" x14ac:dyDescent="0.35">
      <c r="Q176" s="81"/>
      <c r="R176" s="2"/>
      <c r="S176" s="56"/>
      <c r="T176" s="56"/>
      <c r="U176" s="56"/>
      <c r="V176" s="31"/>
      <c r="W176" s="39"/>
    </row>
    <row r="177" spans="17:23" x14ac:dyDescent="0.35">
      <c r="Q177" s="81"/>
      <c r="R177" s="2"/>
      <c r="S177" s="56"/>
      <c r="T177" s="56"/>
      <c r="U177" s="56"/>
      <c r="V177" s="31"/>
      <c r="W177" s="39"/>
    </row>
    <row r="178" spans="17:23" x14ac:dyDescent="0.35">
      <c r="Q178" s="81"/>
      <c r="R178" s="2"/>
      <c r="S178" s="56"/>
      <c r="T178" s="56"/>
      <c r="U178" s="56"/>
      <c r="V178" s="31"/>
      <c r="W178" s="39"/>
    </row>
    <row r="179" spans="17:23" x14ac:dyDescent="0.35">
      <c r="Q179" s="81"/>
      <c r="R179" s="2"/>
      <c r="S179" s="56"/>
      <c r="T179" s="56"/>
      <c r="U179" s="56"/>
      <c r="V179" s="31"/>
      <c r="W179" s="39"/>
    </row>
    <row r="180" spans="17:23" x14ac:dyDescent="0.35">
      <c r="Q180" s="81"/>
      <c r="R180" s="2"/>
      <c r="S180" s="56"/>
      <c r="T180" s="56"/>
      <c r="U180" s="56"/>
      <c r="V180" s="31"/>
      <c r="W180" s="39"/>
    </row>
    <row r="181" spans="17:23" x14ac:dyDescent="0.35">
      <c r="Q181" s="81"/>
      <c r="R181" s="2"/>
      <c r="S181" s="56"/>
      <c r="T181" s="56"/>
      <c r="U181" s="56"/>
      <c r="V181" s="31"/>
      <c r="W181" s="39"/>
    </row>
    <row r="182" spans="17:23" x14ac:dyDescent="0.35">
      <c r="Q182" s="81"/>
      <c r="R182" s="2"/>
      <c r="S182" s="56"/>
      <c r="T182" s="56"/>
      <c r="U182" s="56"/>
      <c r="V182" s="31"/>
      <c r="W182" s="39"/>
    </row>
    <row r="183" spans="17:23" x14ac:dyDescent="0.35">
      <c r="Q183" s="81"/>
      <c r="R183" s="2"/>
      <c r="S183" s="56"/>
      <c r="T183" s="56"/>
      <c r="U183" s="56"/>
      <c r="V183" s="31"/>
      <c r="W183" s="39"/>
    </row>
    <row r="184" spans="17:23" x14ac:dyDescent="0.35">
      <c r="Q184" s="81"/>
      <c r="R184" s="2"/>
      <c r="S184" s="56"/>
      <c r="T184" s="56"/>
      <c r="U184" s="56"/>
      <c r="V184" s="31"/>
      <c r="W184" s="39"/>
    </row>
    <row r="185" spans="17:23" x14ac:dyDescent="0.35">
      <c r="Q185" s="81"/>
      <c r="R185" s="2"/>
      <c r="S185" s="56"/>
      <c r="T185" s="56"/>
      <c r="U185" s="56"/>
      <c r="V185" s="31"/>
      <c r="W185" s="39"/>
    </row>
    <row r="186" spans="17:23" x14ac:dyDescent="0.35">
      <c r="Q186" s="81"/>
      <c r="R186" s="2"/>
      <c r="S186" s="56"/>
      <c r="T186" s="56"/>
      <c r="U186" s="56"/>
      <c r="V186" s="31"/>
      <c r="W186" s="39"/>
    </row>
    <row r="187" spans="17:23" x14ac:dyDescent="0.35">
      <c r="Q187" s="81"/>
      <c r="R187" s="2"/>
      <c r="S187" s="56"/>
      <c r="T187" s="56"/>
      <c r="U187" s="56"/>
      <c r="V187" s="31"/>
      <c r="W187" s="39"/>
    </row>
    <row r="188" spans="17:23" x14ac:dyDescent="0.35">
      <c r="Q188" s="81"/>
      <c r="R188" s="2"/>
      <c r="S188" s="56"/>
      <c r="T188" s="56"/>
      <c r="U188" s="56"/>
      <c r="V188" s="31"/>
      <c r="W188" s="39"/>
    </row>
    <row r="189" spans="17:23" x14ac:dyDescent="0.35">
      <c r="Q189" s="81"/>
      <c r="R189" s="2"/>
      <c r="S189" s="56"/>
      <c r="T189" s="56"/>
      <c r="U189" s="56"/>
      <c r="V189" s="31"/>
      <c r="W189" s="39"/>
    </row>
    <row r="190" spans="17:23" x14ac:dyDescent="0.35">
      <c r="Q190" s="81"/>
      <c r="R190" s="2"/>
      <c r="S190" s="56"/>
      <c r="T190" s="56"/>
      <c r="U190" s="56"/>
      <c r="V190" s="31"/>
      <c r="W190" s="39"/>
    </row>
    <row r="191" spans="17:23" x14ac:dyDescent="0.35">
      <c r="Q191" s="81"/>
      <c r="R191" s="2"/>
      <c r="S191" s="56"/>
      <c r="T191" s="56"/>
      <c r="U191" s="56"/>
      <c r="V191" s="31"/>
      <c r="W191" s="39"/>
    </row>
    <row r="192" spans="17:23" x14ac:dyDescent="0.35">
      <c r="Q192" s="81"/>
      <c r="R192" s="2"/>
      <c r="S192" s="56"/>
      <c r="T192" s="56"/>
      <c r="U192" s="56"/>
      <c r="V192" s="31"/>
      <c r="W192" s="39"/>
    </row>
    <row r="193" spans="17:23" x14ac:dyDescent="0.35">
      <c r="Q193" s="81"/>
      <c r="R193" s="2"/>
      <c r="S193" s="56"/>
      <c r="T193" s="56"/>
      <c r="U193" s="56"/>
      <c r="V193" s="31"/>
      <c r="W193" s="39"/>
    </row>
    <row r="194" spans="17:23" x14ac:dyDescent="0.35">
      <c r="Q194" s="81"/>
      <c r="R194" s="2"/>
      <c r="S194" s="56"/>
      <c r="T194" s="56"/>
      <c r="U194" s="56"/>
      <c r="V194" s="31"/>
      <c r="W194" s="39"/>
    </row>
    <row r="195" spans="17:23" x14ac:dyDescent="0.35">
      <c r="Q195" s="81"/>
      <c r="R195" s="2"/>
      <c r="S195" s="56"/>
      <c r="T195" s="56"/>
      <c r="U195" s="56"/>
      <c r="V195" s="31"/>
      <c r="W195" s="39"/>
    </row>
    <row r="196" spans="17:23" x14ac:dyDescent="0.35">
      <c r="Q196" s="81"/>
      <c r="R196" s="2"/>
      <c r="S196" s="56"/>
      <c r="T196" s="56"/>
      <c r="U196" s="56"/>
      <c r="V196" s="31"/>
      <c r="W196" s="39"/>
    </row>
    <row r="197" spans="17:23" x14ac:dyDescent="0.35">
      <c r="Q197" s="81"/>
      <c r="R197" s="2"/>
      <c r="S197" s="56"/>
      <c r="T197" s="56"/>
      <c r="U197" s="56"/>
      <c r="V197" s="31"/>
      <c r="W197" s="39"/>
    </row>
    <row r="198" spans="17:23" x14ac:dyDescent="0.35">
      <c r="Q198" s="81"/>
      <c r="R198" s="2"/>
      <c r="S198" s="56"/>
      <c r="T198" s="56"/>
      <c r="U198" s="56"/>
      <c r="V198" s="31"/>
      <c r="W198" s="39"/>
    </row>
    <row r="199" spans="17:23" x14ac:dyDescent="0.35">
      <c r="Q199" s="81"/>
      <c r="R199" s="2"/>
      <c r="S199" s="56"/>
      <c r="T199" s="56"/>
      <c r="U199" s="56"/>
      <c r="V199" s="31"/>
      <c r="W199" s="39"/>
    </row>
    <row r="200" spans="17:23" x14ac:dyDescent="0.35">
      <c r="Q200" s="81"/>
      <c r="R200" s="2"/>
      <c r="S200" s="56"/>
      <c r="T200" s="56"/>
      <c r="U200" s="56"/>
      <c r="V200" s="31"/>
      <c r="W200" s="39"/>
    </row>
    <row r="201" spans="17:23" x14ac:dyDescent="0.35">
      <c r="Q201" s="81"/>
      <c r="R201" s="2"/>
      <c r="S201" s="56"/>
      <c r="T201" s="56"/>
      <c r="U201" s="56"/>
      <c r="V201" s="31"/>
      <c r="W201" s="39"/>
    </row>
    <row r="202" spans="17:23" x14ac:dyDescent="0.35">
      <c r="Q202" s="81"/>
      <c r="R202" s="2"/>
      <c r="S202" s="56"/>
      <c r="T202" s="56"/>
      <c r="U202" s="56"/>
      <c r="V202" s="31"/>
      <c r="W202" s="39"/>
    </row>
    <row r="203" spans="17:23" x14ac:dyDescent="0.35">
      <c r="Q203" s="81"/>
      <c r="R203" s="2"/>
      <c r="S203" s="56"/>
      <c r="T203" s="56"/>
      <c r="U203" s="56"/>
      <c r="V203" s="31"/>
      <c r="W203" s="39"/>
    </row>
    <row r="204" spans="17:23" x14ac:dyDescent="0.35">
      <c r="Q204" s="81"/>
      <c r="R204" s="2"/>
      <c r="S204" s="56"/>
      <c r="T204" s="56"/>
      <c r="U204" s="56"/>
      <c r="V204" s="31"/>
      <c r="W204" s="39"/>
    </row>
    <row r="205" spans="17:23" x14ac:dyDescent="0.35">
      <c r="Q205" s="81"/>
      <c r="R205" s="2"/>
      <c r="S205" s="56"/>
      <c r="T205" s="56"/>
      <c r="U205" s="56"/>
      <c r="V205" s="31"/>
      <c r="W205" s="39"/>
    </row>
    <row r="206" spans="17:23" x14ac:dyDescent="0.35">
      <c r="Q206" s="81"/>
      <c r="R206" s="2"/>
      <c r="S206" s="56"/>
      <c r="T206" s="56"/>
      <c r="U206" s="56"/>
      <c r="V206" s="31"/>
      <c r="W206" s="39"/>
    </row>
    <row r="207" spans="17:23" x14ac:dyDescent="0.35">
      <c r="Q207" s="81"/>
      <c r="R207" s="2"/>
      <c r="S207" s="56"/>
      <c r="T207" s="56"/>
      <c r="U207" s="56"/>
      <c r="V207" s="31"/>
      <c r="W207" s="39"/>
    </row>
    <row r="208" spans="17:23" x14ac:dyDescent="0.35">
      <c r="Q208" s="81"/>
      <c r="R208" s="2"/>
      <c r="S208" s="56"/>
      <c r="T208" s="56"/>
      <c r="U208" s="56"/>
      <c r="V208" s="31"/>
      <c r="W208" s="39"/>
    </row>
    <row r="209" spans="17:23" x14ac:dyDescent="0.35">
      <c r="Q209" s="81"/>
      <c r="R209" s="2"/>
      <c r="S209" s="56"/>
      <c r="T209" s="56"/>
      <c r="U209" s="56"/>
      <c r="V209" s="31"/>
      <c r="W209" s="39"/>
    </row>
    <row r="210" spans="17:23" x14ac:dyDescent="0.35">
      <c r="Q210" s="81"/>
      <c r="R210" s="2"/>
      <c r="S210" s="56"/>
      <c r="T210" s="56"/>
      <c r="U210" s="56"/>
      <c r="V210" s="31"/>
      <c r="W210" s="39"/>
    </row>
    <row r="211" spans="17:23" x14ac:dyDescent="0.35">
      <c r="Q211" s="81"/>
      <c r="R211" s="2"/>
      <c r="S211" s="56"/>
      <c r="T211" s="56"/>
      <c r="U211" s="56"/>
      <c r="V211" s="31"/>
      <c r="W211" s="39"/>
    </row>
    <row r="212" spans="17:23" x14ac:dyDescent="0.35">
      <c r="Q212" s="81"/>
      <c r="R212" s="2"/>
      <c r="S212" s="56"/>
      <c r="T212" s="56"/>
      <c r="U212" s="56"/>
      <c r="V212" s="31"/>
      <c r="W212" s="39"/>
    </row>
    <row r="213" spans="17:23" x14ac:dyDescent="0.35">
      <c r="Q213" s="81"/>
      <c r="R213" s="2"/>
      <c r="S213" s="56"/>
      <c r="T213" s="56"/>
      <c r="U213" s="56"/>
      <c r="V213" s="31"/>
      <c r="W213" s="39"/>
    </row>
    <row r="214" spans="17:23" x14ac:dyDescent="0.35">
      <c r="Q214" s="81"/>
      <c r="R214" s="2"/>
      <c r="S214" s="56"/>
      <c r="T214" s="56"/>
      <c r="U214" s="56"/>
      <c r="V214" s="31"/>
      <c r="W214" s="39"/>
    </row>
    <row r="215" spans="17:23" x14ac:dyDescent="0.35">
      <c r="Q215" s="81"/>
      <c r="R215" s="2"/>
      <c r="S215" s="56"/>
      <c r="T215" s="56"/>
      <c r="U215" s="56"/>
      <c r="V215" s="31"/>
      <c r="W215" s="39"/>
    </row>
    <row r="216" spans="17:23" x14ac:dyDescent="0.35">
      <c r="Q216" s="81"/>
      <c r="R216" s="2"/>
      <c r="S216" s="56"/>
      <c r="T216" s="56"/>
      <c r="U216" s="56"/>
      <c r="V216" s="31"/>
      <c r="W216" s="39"/>
    </row>
    <row r="217" spans="17:23" x14ac:dyDescent="0.35">
      <c r="Q217" s="81"/>
      <c r="R217" s="2"/>
      <c r="S217" s="56"/>
      <c r="T217" s="56"/>
      <c r="U217" s="56"/>
      <c r="V217" s="31"/>
      <c r="W217" s="39"/>
    </row>
    <row r="218" spans="17:23" x14ac:dyDescent="0.35">
      <c r="Q218" s="81"/>
      <c r="R218" s="2"/>
      <c r="S218" s="56"/>
      <c r="T218" s="56"/>
      <c r="U218" s="56"/>
      <c r="V218" s="31"/>
      <c r="W218" s="39"/>
    </row>
    <row r="219" spans="17:23" x14ac:dyDescent="0.35">
      <c r="Q219" s="81"/>
      <c r="R219" s="2"/>
      <c r="S219" s="56"/>
      <c r="T219" s="56"/>
      <c r="U219" s="56"/>
      <c r="V219" s="31"/>
      <c r="W219" s="39"/>
    </row>
    <row r="220" spans="17:23" x14ac:dyDescent="0.35">
      <c r="Q220" s="81"/>
      <c r="R220" s="2"/>
      <c r="S220" s="56"/>
      <c r="T220" s="56"/>
      <c r="U220" s="56"/>
      <c r="V220" s="31"/>
      <c r="W220" s="39"/>
    </row>
    <row r="221" spans="17:23" x14ac:dyDescent="0.35">
      <c r="Q221" s="81"/>
      <c r="R221" s="2"/>
      <c r="S221" s="56"/>
      <c r="T221" s="56"/>
      <c r="U221" s="56"/>
      <c r="V221" s="31"/>
      <c r="W221" s="39"/>
    </row>
    <row r="222" spans="17:23" x14ac:dyDescent="0.35">
      <c r="Q222" s="81"/>
      <c r="R222" s="2"/>
      <c r="S222" s="56"/>
      <c r="T222" s="56"/>
      <c r="U222" s="56"/>
      <c r="V222" s="31"/>
      <c r="W222" s="39"/>
    </row>
    <row r="223" spans="17:23" x14ac:dyDescent="0.35">
      <c r="Q223" s="81"/>
      <c r="R223" s="2"/>
      <c r="S223" s="56"/>
      <c r="T223" s="56"/>
      <c r="U223" s="56"/>
      <c r="V223" s="31"/>
      <c r="W223" s="39"/>
    </row>
    <row r="224" spans="17:23" x14ac:dyDescent="0.35">
      <c r="Q224" s="81"/>
      <c r="R224" s="2"/>
      <c r="S224" s="56"/>
      <c r="T224" s="56"/>
      <c r="U224" s="56"/>
      <c r="V224" s="31"/>
      <c r="W224" s="39"/>
    </row>
    <row r="225" spans="17:23" x14ac:dyDescent="0.35">
      <c r="Q225" s="81"/>
      <c r="R225" s="2"/>
      <c r="S225" s="56"/>
      <c r="T225" s="56"/>
      <c r="U225" s="56"/>
      <c r="V225" s="31"/>
      <c r="W225" s="39"/>
    </row>
    <row r="226" spans="17:23" x14ac:dyDescent="0.35">
      <c r="Q226" s="81"/>
      <c r="R226" s="2"/>
      <c r="S226" s="56"/>
      <c r="T226" s="56"/>
      <c r="U226" s="56"/>
      <c r="V226" s="31"/>
      <c r="W226" s="39"/>
    </row>
    <row r="227" spans="17:23" x14ac:dyDescent="0.35">
      <c r="Q227" s="81"/>
      <c r="R227" s="2"/>
      <c r="S227" s="56"/>
      <c r="T227" s="56"/>
      <c r="U227" s="56"/>
      <c r="V227" s="31"/>
      <c r="W227" s="39"/>
    </row>
    <row r="228" spans="17:23" x14ac:dyDescent="0.35">
      <c r="Q228" s="81"/>
      <c r="R228" s="2"/>
      <c r="S228" s="56"/>
      <c r="T228" s="56"/>
      <c r="U228" s="56"/>
      <c r="V228" s="31"/>
      <c r="W228" s="39"/>
    </row>
    <row r="229" spans="17:23" x14ac:dyDescent="0.35">
      <c r="Q229" s="81"/>
      <c r="R229" s="2"/>
      <c r="S229" s="56"/>
      <c r="T229" s="56"/>
      <c r="U229" s="56"/>
      <c r="V229" s="31"/>
      <c r="W229" s="39"/>
    </row>
    <row r="230" spans="17:23" x14ac:dyDescent="0.35">
      <c r="Q230" s="81"/>
      <c r="R230" s="2"/>
      <c r="S230" s="56"/>
      <c r="T230" s="56"/>
      <c r="U230" s="56"/>
      <c r="V230" s="31"/>
      <c r="W230" s="39"/>
    </row>
    <row r="231" spans="17:23" x14ac:dyDescent="0.35">
      <c r="Q231" s="81"/>
      <c r="R231" s="2"/>
      <c r="S231" s="56"/>
      <c r="T231" s="56"/>
      <c r="U231" s="56"/>
      <c r="V231" s="31"/>
      <c r="W231" s="39"/>
    </row>
    <row r="232" spans="17:23" x14ac:dyDescent="0.35">
      <c r="Q232" s="81"/>
      <c r="R232" s="2"/>
      <c r="S232" s="56"/>
      <c r="T232" s="56"/>
      <c r="U232" s="56"/>
      <c r="V232" s="31"/>
      <c r="W232" s="39"/>
    </row>
    <row r="233" spans="17:23" x14ac:dyDescent="0.35">
      <c r="Q233" s="81"/>
      <c r="R233" s="2"/>
      <c r="S233" s="56"/>
      <c r="T233" s="56"/>
      <c r="U233" s="56"/>
      <c r="V233" s="31"/>
      <c r="W233" s="39"/>
    </row>
    <row r="234" spans="17:23" x14ac:dyDescent="0.35">
      <c r="Q234" s="81"/>
      <c r="R234" s="2"/>
      <c r="S234" s="56"/>
      <c r="T234" s="56"/>
      <c r="U234" s="56"/>
      <c r="V234" s="31"/>
      <c r="W234" s="39"/>
    </row>
    <row r="235" spans="17:23" x14ac:dyDescent="0.35">
      <c r="Q235" s="81"/>
      <c r="R235" s="2"/>
      <c r="S235" s="56"/>
      <c r="T235" s="56"/>
      <c r="U235" s="56"/>
      <c r="V235" s="31"/>
      <c r="W235" s="39"/>
    </row>
    <row r="236" spans="17:23" x14ac:dyDescent="0.35">
      <c r="Q236" s="81"/>
      <c r="R236" s="2"/>
      <c r="S236" s="56"/>
      <c r="T236" s="56"/>
      <c r="U236" s="56"/>
      <c r="V236" s="31"/>
      <c r="W236" s="39"/>
    </row>
    <row r="237" spans="17:23" x14ac:dyDescent="0.35">
      <c r="Q237" s="81"/>
      <c r="R237" s="2"/>
      <c r="S237" s="56"/>
      <c r="T237" s="56"/>
      <c r="U237" s="56"/>
      <c r="V237" s="31"/>
      <c r="W237" s="39"/>
    </row>
    <row r="238" spans="17:23" x14ac:dyDescent="0.35">
      <c r="Q238" s="81"/>
      <c r="R238" s="2"/>
      <c r="S238" s="56"/>
      <c r="T238" s="56"/>
      <c r="U238" s="56"/>
      <c r="V238" s="31"/>
      <c r="W238" s="39"/>
    </row>
    <row r="239" spans="17:23" x14ac:dyDescent="0.35">
      <c r="Q239" s="81"/>
      <c r="R239" s="2"/>
      <c r="S239" s="56"/>
      <c r="T239" s="56"/>
      <c r="U239" s="56"/>
      <c r="V239" s="31"/>
      <c r="W239" s="39"/>
    </row>
    <row r="240" spans="17:23" x14ac:dyDescent="0.35">
      <c r="Q240" s="81"/>
      <c r="R240" s="2"/>
      <c r="S240" s="56"/>
      <c r="T240" s="56"/>
      <c r="U240" s="56"/>
      <c r="V240" s="31"/>
      <c r="W240" s="39"/>
    </row>
    <row r="241" spans="17:24" x14ac:dyDescent="0.35">
      <c r="Q241" s="81"/>
      <c r="R241" s="2"/>
      <c r="S241" s="56"/>
      <c r="T241" s="56"/>
      <c r="U241" s="56"/>
      <c r="V241" s="31"/>
      <c r="W241" s="39"/>
    </row>
    <row r="242" spans="17:24" x14ac:dyDescent="0.35">
      <c r="Q242" s="81"/>
      <c r="R242" s="2"/>
      <c r="S242" s="56"/>
      <c r="T242" s="56"/>
      <c r="U242" s="56"/>
      <c r="V242" s="31"/>
      <c r="W242" s="39"/>
    </row>
    <row r="243" spans="17:24" x14ac:dyDescent="0.35">
      <c r="Q243" s="81"/>
      <c r="R243" s="2"/>
      <c r="S243" s="56"/>
      <c r="T243" s="56"/>
      <c r="U243" s="56"/>
      <c r="V243" s="31"/>
      <c r="W243" s="39"/>
    </row>
    <row r="244" spans="17:24" x14ac:dyDescent="0.35">
      <c r="Q244" s="7" t="s">
        <v>73</v>
      </c>
      <c r="R244" s="2"/>
      <c r="S244" s="2"/>
      <c r="T244" s="2"/>
      <c r="U244" s="2"/>
      <c r="V244" s="12">
        <f>SUBTOTAL(109,DATA.IN.OCTUBRE2[OUT])</f>
        <v>3336118.0200000005</v>
      </c>
      <c r="W244" s="10">
        <f>SUBTOTAL(109,DATA.IN.OCTUBRE2[IN])</f>
        <v>3399074.0499999993</v>
      </c>
      <c r="X244" s="16">
        <f>+DATA.IN.OCTUBRE2[[#Totals],[IN]]-DATA.IN.OCTUBRE2[[#Totals],[OUT]]</f>
        <v>62956.029999998864</v>
      </c>
    </row>
  </sheetData>
  <mergeCells count="3">
    <mergeCell ref="AB1:AF1"/>
    <mergeCell ref="AK1:AL1"/>
    <mergeCell ref="L22:M22"/>
  </mergeCells>
  <conditionalFormatting sqref="H3:I27 G2:G19">
    <cfRule type="iconSet" priority="3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O7:O18 O21 O2:O4">
    <cfRule type="iconSet" priority="2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C7:AC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{92CE2762-9298-493C-A630-51258CEDD81D}</x14:id>
        </ext>
      </extLst>
    </cfRule>
  </conditionalFormatting>
  <conditionalFormatting sqref="AF59:AF6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{F9B5058A-4A1A-495E-8493-9A6122D445C1}</x14:id>
        </ext>
      </extLst>
    </cfRule>
  </conditionalFormatting>
  <conditionalFormatting sqref="AF61:AF62 AN28:AN30 AE63">
    <cfRule type="iconSet" priority="2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66:AF67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58:AH5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{820D404D-7B55-4AE0-A766-0B396FF67ED8}</x14:id>
        </ext>
      </extLst>
    </cfRule>
  </conditionalFormatting>
  <conditionalFormatting sqref="AF52:AI5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{BB4CBFFC-6B35-4E11-BB7E-DFE2018D64DB}</x14:id>
        </ext>
      </extLst>
    </cfRule>
  </conditionalFormatting>
  <conditionalFormatting sqref="AG7:AG8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{C6DDD8A8-27E9-4DE7-9047-FF7D2A142514}</x14:id>
        </ext>
      </extLst>
    </cfRule>
  </conditionalFormatting>
  <conditionalFormatting sqref="AG9:AG10 AN13:AN22">
    <cfRule type="iconSet" priority="2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61:AG62 AF63">
    <cfRule type="iconSet" priority="2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59:AH5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{E5B20323-3CE1-429F-BE57-CAB27AD558E0}</x14:id>
        </ext>
      </extLst>
    </cfRule>
  </conditionalFormatting>
  <conditionalFormatting sqref="AG60:AH6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{9937E6D1-BD5E-4F6F-B079-62CFB011E252}</x14:id>
        </ext>
      </extLst>
    </cfRule>
  </conditionalFormatting>
  <conditionalFormatting sqref="AH9">
    <cfRule type="iconSet" priority="2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I58:AI6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{85E3467F-9AE8-4007-83A8-839E8E91BAC9}</x14:id>
        </ext>
      </extLst>
    </cfRule>
  </conditionalFormatting>
  <conditionalFormatting sqref="AI10:AK10"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L8:AL1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{0F595318-32A0-4A2F-B6A5-3C559D6D460F}</x14:id>
        </ext>
      </extLst>
    </cfRule>
  </conditionalFormatting>
  <conditionalFormatting sqref="AL16:AL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{7BEC6C93-650C-4EE7-A797-6FA4E3610E7E}</x14:id>
        </ext>
      </extLst>
    </cfRule>
  </conditionalFormatting>
  <conditionalFormatting sqref="AL29:AL3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{0B68B989-E32C-4595-A461-3750727858CB}</x14:id>
        </ext>
      </extLst>
    </cfRule>
  </conditionalFormatting>
  <conditionalFormatting sqref="AM8:AM10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{038D6FE7-A4D4-4FE1-B85D-C6082D72F6E0}</x14:id>
        </ext>
      </extLst>
    </cfRule>
  </conditionalFormatting>
  <conditionalFormatting sqref="AM13:AM2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{93AEFEAA-9707-41DB-BABC-97A5F15E74EC}</x14:id>
        </ext>
      </extLst>
    </cfRule>
  </conditionalFormatting>
  <conditionalFormatting sqref="AM28:AM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{437EB013-D9C7-4ADB-B0AC-2595646F18B3}</x14:id>
        </ext>
      </extLst>
    </cfRule>
  </conditionalFormatting>
  <dataValidations count="3">
    <dataValidation type="list" allowBlank="1" showInputMessage="1" showErrorMessage="1" sqref="X2:X243" xr:uid="{F8DDDD3A-4E13-4223-832D-4FA5D79A4F0E}">
      <formula1>INDIRECT("CAJAS[CAJAS]")</formula1>
    </dataValidation>
    <dataValidation type="list" allowBlank="1" showInputMessage="1" showErrorMessage="1" sqref="D2:D19 S2:S243" xr:uid="{AE56B82B-F667-4011-8816-F496ADBA6B70}">
      <formula1>INDIRECT(C2)</formula1>
    </dataValidation>
    <dataValidation type="list" allowBlank="1" showInputMessage="1" showErrorMessage="1" sqref="C2:C19 R2:R243" xr:uid="{EE405C60-1C7B-4130-8B7C-443FE71E7C3B}">
      <formula1>INDIRECT("RUBROS[RUBROS]")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A8C38B78-D473-4597-8016-03549C869DB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O22</xm:sqref>
        </x14:conditionalFormatting>
        <x14:conditionalFormatting xmlns:xm="http://schemas.microsoft.com/office/excel/2006/main">
          <x14:cfRule type="dataBar" id="{92CE2762-9298-493C-A630-51258CEDD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AC7:AC8</xm:sqref>
        </x14:conditionalFormatting>
        <x14:conditionalFormatting xmlns:xm="http://schemas.microsoft.com/office/excel/2006/main">
          <x14:cfRule type="dataBar" id="{F9B5058A-4A1A-495E-8493-9A6122D445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AF59:AF60</xm:sqref>
        </x14:conditionalFormatting>
        <x14:conditionalFormatting xmlns:xm="http://schemas.microsoft.com/office/excel/2006/main">
          <x14:cfRule type="dataBar" id="{820D404D-7B55-4AE0-A766-0B396FF67E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AF58:AH58</xm:sqref>
        </x14:conditionalFormatting>
        <x14:conditionalFormatting xmlns:xm="http://schemas.microsoft.com/office/excel/2006/main">
          <x14:cfRule type="dataBar" id="{BB4CBFFC-6B35-4E11-BB7E-DFE2018D6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AF52:AI55</xm:sqref>
        </x14:conditionalFormatting>
        <x14:conditionalFormatting xmlns:xm="http://schemas.microsoft.com/office/excel/2006/main">
          <x14:cfRule type="dataBar" id="{C6DDD8A8-27E9-4DE7-9047-FF7D2A1425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  <x14:conditionalFormatting xmlns:xm="http://schemas.microsoft.com/office/excel/2006/main">
          <x14:cfRule type="dataBar" id="{E5B20323-3CE1-429F-BE57-CAB27AD558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AG59:AH59</xm:sqref>
        </x14:conditionalFormatting>
        <x14:conditionalFormatting xmlns:xm="http://schemas.microsoft.com/office/excel/2006/main">
          <x14:cfRule type="dataBar" id="{9937E6D1-BD5E-4F6F-B079-62CFB011E2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AG60:AH60</xm:sqref>
        </x14:conditionalFormatting>
        <x14:conditionalFormatting xmlns:xm="http://schemas.microsoft.com/office/excel/2006/main">
          <x14:cfRule type="dataBar" id="{85E3467F-9AE8-4007-83A8-839E8E91B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AI58:AI60</xm:sqref>
        </x14:conditionalFormatting>
        <x14:conditionalFormatting xmlns:xm="http://schemas.microsoft.com/office/excel/2006/main">
          <x14:cfRule type="dataBar" id="{0F595318-32A0-4A2F-B6A5-3C559D6D46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AL8:AL10</xm:sqref>
        </x14:conditionalFormatting>
        <x14:conditionalFormatting xmlns:xm="http://schemas.microsoft.com/office/excel/2006/main">
          <x14:cfRule type="dataBar" id="{7BEC6C93-650C-4EE7-A797-6FA4E3610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AL16:AL23</xm:sqref>
        </x14:conditionalFormatting>
        <x14:conditionalFormatting xmlns:xm="http://schemas.microsoft.com/office/excel/2006/main">
          <x14:cfRule type="dataBar" id="{0B68B989-E32C-4595-A461-375072785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AL29:AL31</xm:sqref>
        </x14:conditionalFormatting>
        <x14:conditionalFormatting xmlns:xm="http://schemas.microsoft.com/office/excel/2006/main">
          <x14:cfRule type="dataBar" id="{038D6FE7-A4D4-4FE1-B85D-C6082D72F6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AM8:AM10</xm:sqref>
        </x14:conditionalFormatting>
        <x14:conditionalFormatting xmlns:xm="http://schemas.microsoft.com/office/excel/2006/main">
          <x14:cfRule type="dataBar" id="{93AEFEAA-9707-41DB-BABC-97A5F15E74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AM13:AM22</xm:sqref>
        </x14:conditionalFormatting>
        <x14:conditionalFormatting xmlns:xm="http://schemas.microsoft.com/office/excel/2006/main">
          <x14:cfRule type="dataBar" id="{437EB013-D9C7-4ADB-B0AC-2595646F18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AM28:AM30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4A00-34DA-44A1-ACFE-85020B4B0736}">
  <dimension ref="A1:AL278"/>
  <sheetViews>
    <sheetView showGridLines="0" tabSelected="1" topLeftCell="G1" zoomScaleNormal="100" workbookViewId="0">
      <selection activeCell="L14" sqref="L14"/>
    </sheetView>
  </sheetViews>
  <sheetFormatPr baseColWidth="10" defaultColWidth="11.453125" defaultRowHeight="14.5" x14ac:dyDescent="0.35"/>
  <cols>
    <col min="1" max="1" width="17.54296875" style="7" bestFit="1" customWidth="1"/>
    <col min="2" max="2" width="11.81640625" style="7" customWidth="1"/>
    <col min="3" max="3" width="22" style="7" bestFit="1" customWidth="1"/>
    <col min="4" max="4" width="12" style="7" bestFit="1" customWidth="1"/>
    <col min="5" max="5" width="15.7265625" style="32" customWidth="1"/>
    <col min="6" max="6" width="15.7265625" style="33" customWidth="1"/>
    <col min="7" max="7" width="7.1796875" style="32" customWidth="1"/>
    <col min="8" max="9" width="3.7265625" style="32" customWidth="1"/>
    <col min="10" max="10" width="10.81640625" style="55" bestFit="1" customWidth="1"/>
    <col min="11" max="11" width="9.453125" style="32" customWidth="1"/>
    <col min="12" max="12" width="17.453125" style="7" bestFit="1" customWidth="1"/>
    <col min="13" max="13" width="18" style="32" bestFit="1" customWidth="1"/>
    <col min="14" max="14" width="22" style="33" bestFit="1" customWidth="1"/>
    <col min="15" max="15" width="22" style="32" bestFit="1" customWidth="1"/>
    <col min="16" max="16" width="3.7265625" style="7" customWidth="1"/>
    <col min="17" max="17" width="8.453125" style="7" customWidth="1"/>
    <col min="18" max="18" width="15" style="7" bestFit="1" customWidth="1"/>
    <col min="19" max="19" width="15" style="44" customWidth="1"/>
    <col min="20" max="21" width="15" style="44" hidden="1" customWidth="1"/>
    <col min="22" max="23" width="13.1796875" style="26" bestFit="1" customWidth="1"/>
    <col min="24" max="24" width="13" style="2" bestFit="1" customWidth="1"/>
    <col min="25" max="25" width="3.453125" style="2" customWidth="1"/>
    <col min="26" max="26" width="5.08984375" style="7" customWidth="1"/>
    <col min="27" max="27" width="8.6328125" style="2" bestFit="1" customWidth="1"/>
    <col min="28" max="28" width="13.1796875" style="7" customWidth="1"/>
    <col min="29" max="29" width="22" style="7" customWidth="1"/>
    <col min="30" max="30" width="13.7265625" style="7" customWidth="1"/>
    <col min="31" max="31" width="15.26953125" style="7" bestFit="1" customWidth="1"/>
    <col min="32" max="32" width="19.81640625" style="7" customWidth="1"/>
    <col min="33" max="33" width="17.81640625" style="7" customWidth="1"/>
    <col min="34" max="34" width="15.26953125" style="7" customWidth="1"/>
    <col min="35" max="35" width="15.08984375" style="7" customWidth="1"/>
    <col min="36" max="36" width="13.54296875" style="7" bestFit="1" customWidth="1"/>
    <col min="37" max="37" width="16" style="7" customWidth="1"/>
    <col min="38" max="38" width="17.54296875" style="7" bestFit="1" customWidth="1"/>
    <col min="39" max="39" width="13" style="7" bestFit="1" customWidth="1"/>
    <col min="40" max="40" width="13.453125" style="7" bestFit="1" customWidth="1"/>
    <col min="41" max="42" width="12" style="7" bestFit="1" customWidth="1"/>
    <col min="43" max="44" width="11" style="7" bestFit="1" customWidth="1"/>
    <col min="45" max="45" width="8.453125" style="7" bestFit="1" customWidth="1"/>
    <col min="46" max="46" width="13" style="7" bestFit="1" customWidth="1"/>
    <col min="47" max="16384" width="11.453125" style="7"/>
  </cols>
  <sheetData>
    <row r="1" spans="1:38" s="1" customFormat="1" x14ac:dyDescent="0.35">
      <c r="A1" s="64" t="s">
        <v>75</v>
      </c>
      <c r="B1" s="64" t="s">
        <v>74</v>
      </c>
      <c r="C1" s="65" t="s">
        <v>18</v>
      </c>
      <c r="D1" s="66" t="s">
        <v>38</v>
      </c>
      <c r="E1" s="65" t="s">
        <v>17</v>
      </c>
      <c r="F1" s="65" t="s">
        <v>36</v>
      </c>
      <c r="G1" s="65" t="s">
        <v>35</v>
      </c>
      <c r="H1" s="4"/>
      <c r="I1" s="4"/>
      <c r="J1" s="53" t="s">
        <v>75</v>
      </c>
      <c r="K1" s="6" t="s">
        <v>85</v>
      </c>
      <c r="L1" s="6" t="s">
        <v>19</v>
      </c>
      <c r="M1" s="6" t="s">
        <v>17</v>
      </c>
      <c r="N1" s="6" t="s">
        <v>37</v>
      </c>
      <c r="O1" s="6" t="s">
        <v>35</v>
      </c>
      <c r="Q1" s="24" t="s">
        <v>99</v>
      </c>
      <c r="R1" s="6" t="s">
        <v>18</v>
      </c>
      <c r="S1" s="30" t="s">
        <v>38</v>
      </c>
      <c r="T1" s="30" t="s">
        <v>65</v>
      </c>
      <c r="U1" s="30" t="s">
        <v>70</v>
      </c>
      <c r="V1" s="35" t="s">
        <v>27</v>
      </c>
      <c r="W1" s="36" t="s">
        <v>26</v>
      </c>
      <c r="X1" s="6" t="s">
        <v>34</v>
      </c>
      <c r="Y1" s="2"/>
      <c r="AA1" s="2"/>
      <c r="AB1" s="87">
        <f>SUM(AB3:AE3)+AC7+AG3</f>
        <v>856088.13450272637</v>
      </c>
      <c r="AC1" s="87"/>
      <c r="AD1" s="87"/>
      <c r="AE1" s="87"/>
      <c r="AF1" s="87"/>
      <c r="AG1" s="37"/>
      <c r="AK1" s="88">
        <f>+AK3-AL3</f>
        <v>-51000</v>
      </c>
      <c r="AL1" s="88"/>
    </row>
    <row r="2" spans="1:38" s="5" customFormat="1" x14ac:dyDescent="0.35">
      <c r="A2" s="79">
        <f t="shared" ref="A2:A19" si="0">IF(WEEKDAY(DATE($J$7,$K$7,B2),2)=7, DATE($J$7,$K$7,B2)-2, DATE($J$7,$K$7,B2))</f>
        <v>45964</v>
      </c>
      <c r="B2" s="7">
        <v>3</v>
      </c>
      <c r="C2" s="2" t="s">
        <v>22</v>
      </c>
      <c r="D2" s="2" t="s">
        <v>113</v>
      </c>
      <c r="E2" s="26">
        <v>38613.97</v>
      </c>
      <c r="F2" s="46">
        <f t="shared" ref="F2:F10" si="1">+SUMIFS(V:V,R:R,C2,S:S,D2)</f>
        <v>37737.379999999997</v>
      </c>
      <c r="G2" s="28">
        <f t="shared" ref="G2:G19" si="2">+IFERROR(F2/E2,0)</f>
        <v>0.97729863052154431</v>
      </c>
      <c r="H2" s="6"/>
      <c r="I2" s="6"/>
      <c r="J2" s="54">
        <f>IF(WEEKDAY(DATE($J$7,$K$7,K2),2)=7, DATE($J$7,$K$7,K2)-2, DATE($J$7,$K$7,K2))</f>
        <v>45964</v>
      </c>
      <c r="K2" s="2">
        <v>3</v>
      </c>
      <c r="L2" s="2" t="s">
        <v>98</v>
      </c>
      <c r="M2" s="26">
        <v>1418000</v>
      </c>
      <c r="N2" s="27">
        <f>+SUMIFS(W:W,S:S,L2)</f>
        <v>1418000</v>
      </c>
      <c r="O2" s="28">
        <f>+IFERROR(N2/M2,0)</f>
        <v>1</v>
      </c>
      <c r="P2" s="6"/>
      <c r="Q2" s="8">
        <v>45962</v>
      </c>
      <c r="R2" s="2" t="s">
        <v>31</v>
      </c>
      <c r="S2" s="56"/>
      <c r="T2" s="56"/>
      <c r="U2" s="56"/>
      <c r="V2" s="31">
        <v>26523.8</v>
      </c>
      <c r="W2" s="39"/>
      <c r="X2" s="2" t="s">
        <v>20</v>
      </c>
      <c r="Y2" s="6"/>
      <c r="AB2" s="6" t="s">
        <v>20</v>
      </c>
      <c r="AC2" s="6" t="s">
        <v>79</v>
      </c>
      <c r="AD2" s="71" t="s">
        <v>112</v>
      </c>
      <c r="AE2" s="40" t="s">
        <v>30</v>
      </c>
      <c r="AF2" s="40" t="s">
        <v>106</v>
      </c>
      <c r="AG2" s="40" t="s">
        <v>61</v>
      </c>
      <c r="AH2" s="6" t="s">
        <v>64</v>
      </c>
      <c r="AJ2" s="40" t="s">
        <v>33</v>
      </c>
      <c r="AK2" s="41" t="s">
        <v>27</v>
      </c>
      <c r="AL2" s="36" t="s">
        <v>26</v>
      </c>
    </row>
    <row r="3" spans="1:38" x14ac:dyDescent="0.35">
      <c r="A3" s="79">
        <f t="shared" si="0"/>
        <v>45967</v>
      </c>
      <c r="B3" s="7">
        <v>6</v>
      </c>
      <c r="C3" s="2" t="s">
        <v>67</v>
      </c>
      <c r="D3" s="2" t="s">
        <v>4</v>
      </c>
      <c r="E3" s="26">
        <v>11000</v>
      </c>
      <c r="F3" s="46">
        <f t="shared" si="1"/>
        <v>30700</v>
      </c>
      <c r="G3" s="28">
        <f t="shared" si="2"/>
        <v>2.790909090909091</v>
      </c>
      <c r="H3" s="25"/>
      <c r="I3" s="25"/>
      <c r="J3" s="54">
        <f>IF(WEEKDAY(DATE($J$7,$K$7,K3),2)=7, DATE($J$7,$K$7,K3)-2, DATE($J$7,$K$7,K3))</f>
        <v>45964</v>
      </c>
      <c r="K3" s="2">
        <v>3</v>
      </c>
      <c r="L3" s="2" t="s">
        <v>101</v>
      </c>
      <c r="M3" s="26">
        <v>120000</v>
      </c>
      <c r="N3" s="27">
        <f>+SUMIFS(W:W,S:S,L3)</f>
        <v>120000</v>
      </c>
      <c r="O3" s="28">
        <f t="shared" ref="O3:O5" si="3">+IFERROR(N3/M3,0)</f>
        <v>1</v>
      </c>
      <c r="Q3" s="8">
        <v>45962</v>
      </c>
      <c r="R3" s="2" t="s">
        <v>71</v>
      </c>
      <c r="S3" s="56" t="s">
        <v>48</v>
      </c>
      <c r="T3" s="56"/>
      <c r="U3" s="56"/>
      <c r="V3" s="31"/>
      <c r="W3" s="39">
        <v>51.42</v>
      </c>
      <c r="X3" s="2" t="s">
        <v>20</v>
      </c>
      <c r="AA3" s="2" t="s">
        <v>92</v>
      </c>
      <c r="AB3" s="3">
        <f>SUM(AB4:AB6)</f>
        <v>94380.664502727333</v>
      </c>
      <c r="AC3" s="3">
        <f>SUM(AC4:AC6)</f>
        <v>419207.46999999904</v>
      </c>
      <c r="AD3" s="3">
        <f>SUM(AD4:AD6)+SUM(AG69,AG70)-SUM(AD4:AD6)</f>
        <v>0</v>
      </c>
      <c r="AE3" s="3">
        <f>SUM(AE4:AE6)</f>
        <v>342500</v>
      </c>
      <c r="AF3" s="3">
        <f ca="1">+Tabla27[[#Totals],[HOY]]</f>
        <v>0</v>
      </c>
      <c r="AG3" s="3">
        <f>SUM(AG4:AG6)</f>
        <v>0</v>
      </c>
      <c r="AH3" s="3">
        <f>SUM(AH4:AH6)</f>
        <v>0</v>
      </c>
      <c r="AJ3" s="40" t="s">
        <v>32</v>
      </c>
      <c r="AK3" s="42">
        <f>+SUMIFS($V:$V,$R:$R,$AJ$3)</f>
        <v>637944</v>
      </c>
      <c r="AL3" s="43">
        <f>+SUMIFS($W:$W,$R:$R,$AJ$3)</f>
        <v>688944</v>
      </c>
    </row>
    <row r="4" spans="1:38" x14ac:dyDescent="0.35">
      <c r="A4" s="79">
        <f t="shared" si="0"/>
        <v>45969</v>
      </c>
      <c r="B4" s="7">
        <v>8</v>
      </c>
      <c r="C4" s="2" t="s">
        <v>22</v>
      </c>
      <c r="D4" s="2" t="s">
        <v>24</v>
      </c>
      <c r="E4" s="26">
        <v>7836.79</v>
      </c>
      <c r="F4" s="46">
        <f t="shared" si="1"/>
        <v>7863.79</v>
      </c>
      <c r="G4" s="28">
        <f t="shared" si="2"/>
        <v>1.0034452881855964</v>
      </c>
      <c r="H4" s="25"/>
      <c r="I4" s="25"/>
      <c r="J4" s="54">
        <f>IF(WEEKDAY(DATE($J$7,$K$7,K4),2)=7, DATE($J$7,$K$7,K4)-2, DATE($J$7,$K$7,K4))</f>
        <v>45972</v>
      </c>
      <c r="K4" s="2">
        <v>11</v>
      </c>
      <c r="L4" s="2" t="s">
        <v>100</v>
      </c>
      <c r="M4" s="26">
        <v>1000000</v>
      </c>
      <c r="N4" s="27">
        <f>+SUMIFS(W:W,S:S,L4)</f>
        <v>1000000</v>
      </c>
      <c r="O4" s="28">
        <f t="shared" si="3"/>
        <v>1</v>
      </c>
      <c r="Q4" s="8">
        <v>45963</v>
      </c>
      <c r="R4" s="2" t="s">
        <v>71</v>
      </c>
      <c r="S4" s="56" t="s">
        <v>48</v>
      </c>
      <c r="T4" s="56"/>
      <c r="U4" s="56"/>
      <c r="V4" s="31"/>
      <c r="W4" s="39">
        <v>23.13</v>
      </c>
      <c r="X4" s="2" t="s">
        <v>20</v>
      </c>
      <c r="AA4" s="2" t="s">
        <v>93</v>
      </c>
      <c r="AB4" s="34">
        <v>48175.59</v>
      </c>
      <c r="AC4" s="34">
        <v>3538.08</v>
      </c>
      <c r="AD4" s="34"/>
      <c r="AE4" s="34"/>
      <c r="AF4" s="34"/>
      <c r="AG4" s="34"/>
      <c r="AH4" s="34"/>
    </row>
    <row r="5" spans="1:38" x14ac:dyDescent="0.35">
      <c r="A5" s="79">
        <f t="shared" si="0"/>
        <v>45968</v>
      </c>
      <c r="B5" s="7">
        <v>7</v>
      </c>
      <c r="C5" s="2" t="s">
        <v>10</v>
      </c>
      <c r="D5" s="2" t="s">
        <v>15</v>
      </c>
      <c r="E5" s="26">
        <v>58557</v>
      </c>
      <c r="F5" s="46">
        <f t="shared" si="1"/>
        <v>59775.86</v>
      </c>
      <c r="G5" s="28">
        <f t="shared" si="2"/>
        <v>1.0208149324589717</v>
      </c>
      <c r="H5" s="25"/>
      <c r="I5" s="25"/>
      <c r="J5" s="54">
        <f>IF(WEEKDAY(DATE($J$7,$K$7,K5),2)=7, DATE($J$7,$K$7,K5)-2, DATE($J$7,$K$7,K5))</f>
        <v>45976</v>
      </c>
      <c r="K5" s="2">
        <v>15</v>
      </c>
      <c r="L5" s="2" t="s">
        <v>129</v>
      </c>
      <c r="M5" s="26">
        <v>120000</v>
      </c>
      <c r="N5" s="27">
        <f>+SUMIFS(W:W,S:S,L5)</f>
        <v>0</v>
      </c>
      <c r="O5" s="28">
        <f t="shared" si="3"/>
        <v>0</v>
      </c>
      <c r="Q5" s="8">
        <v>45964</v>
      </c>
      <c r="R5" s="2" t="s">
        <v>71</v>
      </c>
      <c r="S5" s="56" t="s">
        <v>48</v>
      </c>
      <c r="T5" s="56"/>
      <c r="U5" s="56"/>
      <c r="V5" s="31"/>
      <c r="W5" s="39">
        <v>8.4700000000000006</v>
      </c>
      <c r="X5" s="2" t="s">
        <v>79</v>
      </c>
      <c r="AA5" s="9" t="s">
        <v>26</v>
      </c>
      <c r="AB5" s="10">
        <f t="shared" ref="AB5:AH5" si="4">+SUMIFS($W:$W,$X:$X,AB2)</f>
        <v>1844613.8545027273</v>
      </c>
      <c r="AC5" s="10">
        <f t="shared" si="4"/>
        <v>2191442.8499999992</v>
      </c>
      <c r="AD5" s="10">
        <f t="shared" si="4"/>
        <v>0</v>
      </c>
      <c r="AE5" s="10">
        <f t="shared" si="4"/>
        <v>500000</v>
      </c>
      <c r="AF5" s="10">
        <f t="shared" si="4"/>
        <v>0</v>
      </c>
      <c r="AG5" s="10">
        <f t="shared" si="4"/>
        <v>0</v>
      </c>
      <c r="AH5" s="10">
        <f t="shared" si="4"/>
        <v>0</v>
      </c>
    </row>
    <row r="6" spans="1:38" x14ac:dyDescent="0.35">
      <c r="A6" s="79">
        <f t="shared" si="0"/>
        <v>45986</v>
      </c>
      <c r="B6" s="7">
        <v>25</v>
      </c>
      <c r="C6" s="2" t="s">
        <v>22</v>
      </c>
      <c r="D6" s="2" t="s">
        <v>28</v>
      </c>
      <c r="E6" s="26">
        <v>6094.86</v>
      </c>
      <c r="F6" s="46">
        <f t="shared" si="1"/>
        <v>0</v>
      </c>
      <c r="G6" s="28">
        <f t="shared" si="2"/>
        <v>0</v>
      </c>
      <c r="H6" s="25"/>
      <c r="I6" s="25"/>
      <c r="J6" s="54" t="s">
        <v>73</v>
      </c>
      <c r="K6" s="2"/>
      <c r="L6" s="2"/>
      <c r="M6" s="16">
        <f>SUBTOTAL(109,PRESUPUESTO.INGRESO[PRESUPUESTO])</f>
        <v>2658000</v>
      </c>
      <c r="N6" s="29">
        <f>SUBTOTAL(109,PRESUPUESTO.INGRESO[COBRADO])</f>
        <v>2538000</v>
      </c>
      <c r="O6" s="22">
        <f>+IFERROR(PRESUPUESTO.INGRESO[[#Totals],[COBRADO]]/PRESUPUESTO.INGRESO[[#Totals],[PRESUPUESTO]],0)</f>
        <v>0.95485327313769752</v>
      </c>
      <c r="Q6" s="8">
        <v>45964</v>
      </c>
      <c r="R6" s="2" t="s">
        <v>31</v>
      </c>
      <c r="S6" s="56"/>
      <c r="T6" s="56"/>
      <c r="U6" s="56"/>
      <c r="V6" s="31">
        <v>10000</v>
      </c>
      <c r="W6" s="39"/>
      <c r="X6" s="2" t="s">
        <v>20</v>
      </c>
      <c r="AA6" s="11" t="s">
        <v>27</v>
      </c>
      <c r="AB6" s="12">
        <f t="shared" ref="AB6:AH6" si="5">+SUMIFS($V:$V,$X:$X,AB2)*-1</f>
        <v>-1798408.78</v>
      </c>
      <c r="AC6" s="12">
        <f t="shared" si="5"/>
        <v>-1775773.4600000002</v>
      </c>
      <c r="AD6" s="12">
        <f t="shared" si="5"/>
        <v>0</v>
      </c>
      <c r="AE6" s="12">
        <f t="shared" si="5"/>
        <v>-157500</v>
      </c>
      <c r="AF6" s="12">
        <f t="shared" si="5"/>
        <v>0</v>
      </c>
      <c r="AG6" s="12">
        <f t="shared" si="5"/>
        <v>0</v>
      </c>
      <c r="AH6" s="12">
        <f t="shared" si="5"/>
        <v>0</v>
      </c>
    </row>
    <row r="7" spans="1:38" x14ac:dyDescent="0.35">
      <c r="A7" s="79">
        <f t="shared" si="0"/>
        <v>45971</v>
      </c>
      <c r="B7" s="7">
        <v>10</v>
      </c>
      <c r="C7" s="2" t="s">
        <v>76</v>
      </c>
      <c r="D7" s="2" t="s">
        <v>0</v>
      </c>
      <c r="E7" s="26">
        <v>50000</v>
      </c>
      <c r="F7" s="46">
        <f t="shared" si="1"/>
        <v>55000</v>
      </c>
      <c r="G7" s="28">
        <f t="shared" si="2"/>
        <v>1.1000000000000001</v>
      </c>
      <c r="H7" s="25"/>
      <c r="I7" s="25"/>
      <c r="J7" s="80">
        <v>2025</v>
      </c>
      <c r="K7" s="52">
        <v>11</v>
      </c>
      <c r="Q7" s="8">
        <v>45964</v>
      </c>
      <c r="R7" s="2" t="s">
        <v>71</v>
      </c>
      <c r="S7" s="56" t="s">
        <v>48</v>
      </c>
      <c r="T7" s="56"/>
      <c r="U7" s="56"/>
      <c r="V7" s="31"/>
      <c r="W7" s="39">
        <v>23.16</v>
      </c>
      <c r="X7" s="2" t="s">
        <v>20</v>
      </c>
      <c r="AC7" s="16"/>
      <c r="AD7" s="14"/>
      <c r="AF7" s="14"/>
      <c r="AG7" s="26"/>
    </row>
    <row r="8" spans="1:38" x14ac:dyDescent="0.35">
      <c r="A8" s="79">
        <f t="shared" si="0"/>
        <v>45971</v>
      </c>
      <c r="B8" s="7">
        <v>10</v>
      </c>
      <c r="C8" s="2" t="s">
        <v>10</v>
      </c>
      <c r="D8" s="2" t="s">
        <v>13</v>
      </c>
      <c r="E8" s="26">
        <v>30800</v>
      </c>
      <c r="F8" s="46">
        <f t="shared" si="1"/>
        <v>30800</v>
      </c>
      <c r="G8" s="28">
        <f t="shared" si="2"/>
        <v>1</v>
      </c>
      <c r="H8" s="25"/>
      <c r="I8" s="25"/>
      <c r="L8" s="2"/>
      <c r="M8" s="34"/>
      <c r="N8" s="46"/>
      <c r="O8" s="28"/>
      <c r="Q8" s="8">
        <v>45965</v>
      </c>
      <c r="R8" s="2" t="s">
        <v>71</v>
      </c>
      <c r="S8" s="38" t="s">
        <v>98</v>
      </c>
      <c r="T8" s="38"/>
      <c r="U8" s="38"/>
      <c r="V8" s="31"/>
      <c r="W8" s="39">
        <v>1418000</v>
      </c>
      <c r="X8" s="2" t="s">
        <v>79</v>
      </c>
      <c r="AB8" s="14"/>
      <c r="AC8" s="16"/>
      <c r="AD8" s="14"/>
      <c r="AE8" s="14"/>
      <c r="AF8" s="57"/>
      <c r="AG8" s="26"/>
      <c r="AK8" s="2"/>
      <c r="AL8" s="26"/>
    </row>
    <row r="9" spans="1:38" x14ac:dyDescent="0.35">
      <c r="A9" s="79">
        <f t="shared" si="0"/>
        <v>45971</v>
      </c>
      <c r="B9" s="7">
        <v>10</v>
      </c>
      <c r="C9" s="2" t="s">
        <v>10</v>
      </c>
      <c r="D9" s="2" t="s">
        <v>102</v>
      </c>
      <c r="E9" s="26">
        <v>18300</v>
      </c>
      <c r="F9" s="46">
        <f t="shared" si="1"/>
        <v>18300</v>
      </c>
      <c r="G9" s="28">
        <f t="shared" si="2"/>
        <v>1</v>
      </c>
      <c r="H9" s="25"/>
      <c r="I9" s="25"/>
      <c r="L9" s="2"/>
      <c r="M9" s="6"/>
      <c r="N9" s="46"/>
      <c r="O9" s="28"/>
      <c r="Q9" s="8">
        <v>45965</v>
      </c>
      <c r="R9" s="2" t="s">
        <v>71</v>
      </c>
      <c r="S9" s="56" t="s">
        <v>101</v>
      </c>
      <c r="T9" s="56"/>
      <c r="U9" s="56"/>
      <c r="V9" s="31"/>
      <c r="W9" s="39">
        <v>120000</v>
      </c>
      <c r="X9" s="2" t="s">
        <v>20</v>
      </c>
      <c r="Z9" s="20" t="s">
        <v>58</v>
      </c>
      <c r="AA9" s="20" t="s">
        <v>59</v>
      </c>
      <c r="AG9" s="45"/>
      <c r="AH9" s="69"/>
      <c r="AL9" s="26"/>
    </row>
    <row r="10" spans="1:38" x14ac:dyDescent="0.35">
      <c r="A10" s="79">
        <f t="shared" si="0"/>
        <v>45971</v>
      </c>
      <c r="B10" s="7">
        <v>10</v>
      </c>
      <c r="C10" s="2" t="s">
        <v>10</v>
      </c>
      <c r="D10" s="2" t="s">
        <v>103</v>
      </c>
      <c r="E10" s="26">
        <v>6000</v>
      </c>
      <c r="F10" s="46">
        <f t="shared" si="1"/>
        <v>6000</v>
      </c>
      <c r="G10" s="28">
        <f t="shared" si="2"/>
        <v>1</v>
      </c>
      <c r="H10" s="25"/>
      <c r="I10" s="25"/>
      <c r="L10" s="2"/>
      <c r="M10" s="34"/>
      <c r="N10" s="7"/>
      <c r="O10" s="28"/>
      <c r="Q10" s="8">
        <v>45965</v>
      </c>
      <c r="R10" s="2" t="s">
        <v>71</v>
      </c>
      <c r="S10" s="56" t="s">
        <v>48</v>
      </c>
      <c r="T10" s="56"/>
      <c r="U10" s="56"/>
      <c r="V10" s="31"/>
      <c r="W10" s="39">
        <v>2.77</v>
      </c>
      <c r="X10" s="2" t="s">
        <v>79</v>
      </c>
      <c r="Z10" s="18" t="s">
        <v>56</v>
      </c>
      <c r="AA10" s="18" t="s">
        <v>111</v>
      </c>
      <c r="AB10" s="18" t="s">
        <v>105</v>
      </c>
      <c r="AC10" s="18" t="s">
        <v>106</v>
      </c>
      <c r="AD10" s="18" t="s">
        <v>52</v>
      </c>
      <c r="AE10" s="18" t="s">
        <v>53</v>
      </c>
      <c r="AF10" s="19" t="s">
        <v>54</v>
      </c>
      <c r="AG10" s="47" t="s">
        <v>125</v>
      </c>
      <c r="AH10" s="68" t="s">
        <v>57</v>
      </c>
      <c r="AI10" s="47" t="s">
        <v>55</v>
      </c>
      <c r="AJ10" s="47" t="s">
        <v>110</v>
      </c>
      <c r="AK10" s="47" t="s">
        <v>35</v>
      </c>
      <c r="AL10" s="75" t="s">
        <v>122</v>
      </c>
    </row>
    <row r="11" spans="1:38" x14ac:dyDescent="0.35">
      <c r="A11" s="79">
        <f t="shared" si="0"/>
        <v>45971</v>
      </c>
      <c r="B11" s="7">
        <v>10</v>
      </c>
      <c r="C11" s="2" t="s">
        <v>9</v>
      </c>
      <c r="D11" s="2"/>
      <c r="E11" s="26">
        <v>438160</v>
      </c>
      <c r="F11" s="46">
        <f>+SUMIFS(V:V,R:R,C11)</f>
        <v>438160</v>
      </c>
      <c r="G11" s="28">
        <f t="shared" si="2"/>
        <v>1</v>
      </c>
      <c r="H11" s="25"/>
      <c r="I11" s="25"/>
      <c r="O11" s="28"/>
      <c r="Q11" s="8">
        <v>45965</v>
      </c>
      <c r="R11" s="2" t="s">
        <v>31</v>
      </c>
      <c r="S11" s="56" t="s">
        <v>63</v>
      </c>
      <c r="T11" s="56"/>
      <c r="U11" s="56"/>
      <c r="V11" s="31">
        <v>1341</v>
      </c>
      <c r="W11" s="39"/>
      <c r="X11" s="2" t="s">
        <v>20</v>
      </c>
      <c r="Z11" s="21">
        <v>0</v>
      </c>
      <c r="AA11" s="21">
        <v>0</v>
      </c>
      <c r="AB11" s="6" t="s">
        <v>20</v>
      </c>
      <c r="AC11" s="2" t="s">
        <v>127</v>
      </c>
      <c r="AD11" s="17">
        <v>45941</v>
      </c>
      <c r="AE11" s="17">
        <v>45969</v>
      </c>
      <c r="AF11" s="48">
        <f t="shared" ref="AF11:AF20" si="6">+AE11-AD11</f>
        <v>28</v>
      </c>
      <c r="AG11" s="26">
        <v>60000</v>
      </c>
      <c r="AH11" s="13">
        <f ca="1">+(AG11*(1+AK11/365)^(TODAY()-Tabla27[[#This Row],[FECHA IN]]))*Tabla27[[#This Row],[0/1]]</f>
        <v>0</v>
      </c>
      <c r="AI11" s="26">
        <f t="shared" ref="AI11:AI20" si="7">+(AG11+(AJ11*AA11))*Z11</f>
        <v>0</v>
      </c>
      <c r="AJ11" s="47">
        <f>+((AG11*(1+AK11/365)^AF11)-AG11)*Tabla27[[#This Row],[0/1]]</f>
        <v>0</v>
      </c>
      <c r="AK11" s="73">
        <v>0.4</v>
      </c>
      <c r="AL11" s="76">
        <f ca="1">+IFERROR(Tabla27[[#This Row],[FECHA OUT]]-TODAY(),0)</f>
        <v>-21</v>
      </c>
    </row>
    <row r="12" spans="1:38" x14ac:dyDescent="0.35">
      <c r="A12" s="79">
        <f t="shared" si="0"/>
        <v>45971</v>
      </c>
      <c r="B12" s="7">
        <v>10</v>
      </c>
      <c r="C12" s="2" t="s">
        <v>22</v>
      </c>
      <c r="D12" s="22" t="s">
        <v>104</v>
      </c>
      <c r="E12" s="26">
        <v>164971.32</v>
      </c>
      <c r="F12" s="46">
        <f>+SUMIFS(V:V,R:R,C12,S:S,D12)</f>
        <v>164971.32</v>
      </c>
      <c r="G12" s="28">
        <f t="shared" si="2"/>
        <v>1</v>
      </c>
      <c r="H12" s="25"/>
      <c r="I12" s="25"/>
      <c r="L12" s="2"/>
      <c r="M12" s="49"/>
      <c r="N12" s="46"/>
      <c r="O12" s="28"/>
      <c r="Q12" s="8">
        <v>45965</v>
      </c>
      <c r="R12" s="2" t="s">
        <v>71</v>
      </c>
      <c r="S12" s="56" t="s">
        <v>48</v>
      </c>
      <c r="T12" s="56"/>
      <c r="U12" s="56"/>
      <c r="V12" s="31"/>
      <c r="W12" s="39">
        <v>12.5</v>
      </c>
      <c r="X12" s="2" t="s">
        <v>20</v>
      </c>
      <c r="Z12" s="21">
        <v>0</v>
      </c>
      <c r="AA12" s="21">
        <v>0</v>
      </c>
      <c r="AB12" s="6" t="s">
        <v>20</v>
      </c>
      <c r="AC12" s="78" t="s">
        <v>131</v>
      </c>
      <c r="AD12" s="17">
        <v>45953</v>
      </c>
      <c r="AE12" s="17">
        <v>45971</v>
      </c>
      <c r="AF12" s="48">
        <f t="shared" si="6"/>
        <v>18</v>
      </c>
      <c r="AG12" s="26">
        <v>400000</v>
      </c>
      <c r="AH12" s="13">
        <f ca="1">+(AG12*(1+AK12/365)^(TODAY()-Tabla27[[#This Row],[FECHA IN]]))*Tabla27[[#This Row],[0/1]]</f>
        <v>0</v>
      </c>
      <c r="AI12" s="26">
        <f t="shared" si="7"/>
        <v>0</v>
      </c>
      <c r="AJ12" s="47">
        <f>+((AG12*(1+AK12/365)^AF12)-AG12)*Tabla27[[#This Row],[0/1]]</f>
        <v>0</v>
      </c>
      <c r="AK12" s="73">
        <v>0.43</v>
      </c>
      <c r="AL12" s="76">
        <f ca="1">+IFERROR(Tabla27[[#This Row],[FECHA OUT]]-TODAY(),0)</f>
        <v>-19</v>
      </c>
    </row>
    <row r="13" spans="1:38" x14ac:dyDescent="0.35">
      <c r="A13" s="79">
        <f t="shared" si="0"/>
        <v>45976</v>
      </c>
      <c r="B13" s="7">
        <v>15</v>
      </c>
      <c r="C13" s="2" t="s">
        <v>31</v>
      </c>
      <c r="D13" s="2"/>
      <c r="E13" s="26">
        <v>300000</v>
      </c>
      <c r="F13" s="46">
        <f>+SUMIFS(V:V,R:R,C13)</f>
        <v>789376.4</v>
      </c>
      <c r="G13" s="28">
        <f t="shared" si="2"/>
        <v>2.631254666666667</v>
      </c>
      <c r="H13" s="25"/>
      <c r="I13" s="25"/>
      <c r="L13" s="2"/>
      <c r="M13" s="34"/>
      <c r="N13" s="46"/>
      <c r="O13" s="28"/>
      <c r="Q13" s="8">
        <v>45965</v>
      </c>
      <c r="R13" s="2" t="s">
        <v>32</v>
      </c>
      <c r="S13" s="56"/>
      <c r="T13" s="56"/>
      <c r="U13" s="56"/>
      <c r="V13" s="31">
        <v>400000</v>
      </c>
      <c r="W13" s="39"/>
      <c r="X13" s="2" t="s">
        <v>79</v>
      </c>
      <c r="Z13" s="21">
        <v>0</v>
      </c>
      <c r="AA13" s="21">
        <v>0</v>
      </c>
      <c r="AB13" s="6" t="s">
        <v>20</v>
      </c>
      <c r="AC13" s="2" t="s">
        <v>108</v>
      </c>
      <c r="AD13" s="17">
        <v>45946</v>
      </c>
      <c r="AE13" s="17">
        <v>45974</v>
      </c>
      <c r="AF13" s="48">
        <f t="shared" si="6"/>
        <v>28</v>
      </c>
      <c r="AG13" s="26">
        <v>180000</v>
      </c>
      <c r="AH13" s="13">
        <f ca="1">+(AG13*(1+AK13/365)^(TODAY()-Tabla27[[#This Row],[FECHA IN]]))*Tabla27[[#This Row],[0/1]]</f>
        <v>0</v>
      </c>
      <c r="AI13" s="26">
        <f t="shared" si="7"/>
        <v>0</v>
      </c>
      <c r="AJ13" s="47">
        <f>+((AG13*(1+AK13/365)^AF13)-AG13)*Tabla27[[#This Row],[0/1]]</f>
        <v>0</v>
      </c>
      <c r="AK13" s="73">
        <v>0.43</v>
      </c>
      <c r="AL13" s="74">
        <f ca="1">+IFERROR(Tabla27[[#This Row],[FECHA OUT]]-TODAY(),0)</f>
        <v>-16</v>
      </c>
    </row>
    <row r="14" spans="1:38" x14ac:dyDescent="0.35">
      <c r="A14" s="79">
        <f t="shared" si="0"/>
        <v>45975</v>
      </c>
      <c r="B14" s="7">
        <v>16</v>
      </c>
      <c r="C14" s="2" t="s">
        <v>22</v>
      </c>
      <c r="D14" s="2" t="s">
        <v>23</v>
      </c>
      <c r="E14" s="26">
        <v>8990</v>
      </c>
      <c r="F14" s="46">
        <f t="shared" ref="F14:F19" si="8">+SUMIFS(V:V,R:R,C14,S:S,D14)</f>
        <v>8990</v>
      </c>
      <c r="G14" s="28">
        <f t="shared" si="2"/>
        <v>1</v>
      </c>
      <c r="H14" s="25"/>
      <c r="I14" s="25"/>
      <c r="L14" s="2" t="str">
        <f>+UPPER("Rebozador Compuesto")</f>
        <v>REBOZADOR COMPUESTO</v>
      </c>
      <c r="M14" s="34"/>
      <c r="N14" s="46"/>
      <c r="O14" s="28"/>
      <c r="Q14" s="8">
        <v>45965</v>
      </c>
      <c r="R14" s="2" t="s">
        <v>32</v>
      </c>
      <c r="S14" s="56"/>
      <c r="T14" s="56"/>
      <c r="U14" s="56"/>
      <c r="V14" s="31"/>
      <c r="W14" s="39">
        <v>400000</v>
      </c>
      <c r="X14" s="2" t="s">
        <v>20</v>
      </c>
      <c r="Z14" s="21">
        <v>0</v>
      </c>
      <c r="AA14" s="21">
        <v>0</v>
      </c>
      <c r="AB14" s="6" t="s">
        <v>20</v>
      </c>
      <c r="AC14" s="2" t="s">
        <v>109</v>
      </c>
      <c r="AD14" s="17">
        <v>45946</v>
      </c>
      <c r="AE14" s="17">
        <v>45974</v>
      </c>
      <c r="AF14" s="48">
        <f t="shared" si="6"/>
        <v>28</v>
      </c>
      <c r="AG14" s="26">
        <v>108000</v>
      </c>
      <c r="AH14" s="13">
        <f ca="1">+(AG14*(1+AK14/365)^(TODAY()-Tabla27[[#This Row],[FECHA IN]]))*Tabla27[[#This Row],[0/1]]</f>
        <v>0</v>
      </c>
      <c r="AI14" s="26">
        <f t="shared" si="7"/>
        <v>0</v>
      </c>
      <c r="AJ14" s="47">
        <f>+((AG14*(1+AK14/365)^AF14)-AG14)*Tabla27[[#This Row],[0/1]]</f>
        <v>0</v>
      </c>
      <c r="AK14" s="73">
        <v>0.43</v>
      </c>
      <c r="AL14" s="77">
        <f ca="1">+IFERROR(Tabla27[[#This Row],[FECHA OUT]]-TODAY(),0)</f>
        <v>-16</v>
      </c>
    </row>
    <row r="15" spans="1:38" x14ac:dyDescent="0.35">
      <c r="A15" s="79">
        <f t="shared" si="0"/>
        <v>45979</v>
      </c>
      <c r="B15" s="7">
        <v>18</v>
      </c>
      <c r="C15" s="2" t="s">
        <v>22</v>
      </c>
      <c r="D15" s="2" t="s">
        <v>21</v>
      </c>
      <c r="E15" s="26">
        <v>6174.6</v>
      </c>
      <c r="F15" s="46">
        <f t="shared" si="8"/>
        <v>6174.7</v>
      </c>
      <c r="G15" s="28">
        <f t="shared" si="2"/>
        <v>1.0000161953810773</v>
      </c>
      <c r="H15" s="25"/>
      <c r="I15" s="25"/>
      <c r="L15" s="2"/>
      <c r="M15" s="34"/>
      <c r="N15" s="46"/>
      <c r="O15" s="28"/>
      <c r="Q15" s="8">
        <v>45965</v>
      </c>
      <c r="R15" s="2" t="s">
        <v>71</v>
      </c>
      <c r="S15" s="56" t="s">
        <v>106</v>
      </c>
      <c r="T15" s="56"/>
      <c r="U15" s="56"/>
      <c r="V15" s="31">
        <v>400000</v>
      </c>
      <c r="W15" s="39"/>
      <c r="X15" s="2" t="s">
        <v>20</v>
      </c>
      <c r="Z15" s="21">
        <v>0</v>
      </c>
      <c r="AA15" s="21">
        <v>1</v>
      </c>
      <c r="AB15" s="6" t="s">
        <v>20</v>
      </c>
      <c r="AC15" s="2" t="s">
        <v>120</v>
      </c>
      <c r="AD15" s="17">
        <v>45965</v>
      </c>
      <c r="AE15" s="17">
        <v>45979</v>
      </c>
      <c r="AF15" s="48">
        <f t="shared" si="6"/>
        <v>14</v>
      </c>
      <c r="AG15" s="26">
        <v>400000</v>
      </c>
      <c r="AH15" s="13">
        <f ca="1">+(AG15*(1+AK15/365)^(TODAY()-Tabla27[[#This Row],[FECHA IN]]))*Tabla27[[#This Row],[0/1]]</f>
        <v>0</v>
      </c>
      <c r="AI15" s="26">
        <f t="shared" si="7"/>
        <v>0</v>
      </c>
      <c r="AJ15" s="47">
        <f>+((AG15*(1+AK15/365)^AF15)-AG15)*Tabla27[[#This Row],[0/1]]</f>
        <v>0</v>
      </c>
      <c r="AK15" s="73">
        <v>0.39</v>
      </c>
      <c r="AL15" s="74">
        <f ca="1">+IFERROR(Tabla27[[#This Row],[FECHA OUT]]-TODAY(),0)</f>
        <v>-11</v>
      </c>
    </row>
    <row r="16" spans="1:38" x14ac:dyDescent="0.35">
      <c r="A16" s="79">
        <f t="shared" si="0"/>
        <v>45986</v>
      </c>
      <c r="B16" s="7">
        <v>25</v>
      </c>
      <c r="C16" s="2" t="s">
        <v>10</v>
      </c>
      <c r="D16" s="2" t="s">
        <v>47</v>
      </c>
      <c r="E16" s="26">
        <v>27738.2</v>
      </c>
      <c r="F16" s="46">
        <f t="shared" si="8"/>
        <v>27738.2</v>
      </c>
      <c r="G16" s="28">
        <f t="shared" si="2"/>
        <v>1</v>
      </c>
      <c r="H16" s="25"/>
      <c r="I16" s="25"/>
      <c r="L16" s="2"/>
      <c r="M16" s="34"/>
      <c r="N16" s="46"/>
      <c r="O16" s="28"/>
      <c r="Q16" s="8">
        <v>45965</v>
      </c>
      <c r="R16" s="2" t="s">
        <v>31</v>
      </c>
      <c r="S16" s="56" t="s">
        <v>63</v>
      </c>
      <c r="T16" s="56"/>
      <c r="U16" s="56"/>
      <c r="V16" s="31">
        <v>3000</v>
      </c>
      <c r="W16" s="39"/>
      <c r="X16" s="2" t="s">
        <v>79</v>
      </c>
      <c r="Z16" s="21">
        <v>0</v>
      </c>
      <c r="AA16" s="21">
        <v>1</v>
      </c>
      <c r="AB16" s="6" t="s">
        <v>20</v>
      </c>
      <c r="AC16" s="2" t="s">
        <v>144</v>
      </c>
      <c r="AD16" s="17">
        <v>45952</v>
      </c>
      <c r="AE16" s="17">
        <v>45980</v>
      </c>
      <c r="AF16" s="48">
        <f t="shared" si="6"/>
        <v>28</v>
      </c>
      <c r="AG16" s="26">
        <v>112505</v>
      </c>
      <c r="AH16" s="13">
        <f ca="1">+(AG16*(1+AK16/365)^(TODAY()-Tabla27[[#This Row],[FECHA IN]]))*Tabla27[[#This Row],[0/1]]</f>
        <v>0</v>
      </c>
      <c r="AI16" s="26">
        <f t="shared" si="7"/>
        <v>0</v>
      </c>
      <c r="AJ16" s="47">
        <f>+((AG16*(1+AK16/365)^AF16)-AG16)*Tabla27[[#This Row],[0/1]]</f>
        <v>0</v>
      </c>
      <c r="AK16" s="73">
        <v>0.45</v>
      </c>
      <c r="AL16" s="74">
        <f ca="1">+IFERROR(Tabla27[[#This Row],[FECHA OUT]]-TODAY(),0)</f>
        <v>-10</v>
      </c>
    </row>
    <row r="17" spans="1:38" x14ac:dyDescent="0.35">
      <c r="A17" s="79">
        <f t="shared" si="0"/>
        <v>45981</v>
      </c>
      <c r="B17" s="7">
        <v>20</v>
      </c>
      <c r="C17" s="2" t="s">
        <v>6</v>
      </c>
      <c r="D17" s="2" t="s">
        <v>8</v>
      </c>
      <c r="E17" s="26">
        <v>150000</v>
      </c>
      <c r="F17" s="46">
        <f t="shared" si="8"/>
        <v>150000</v>
      </c>
      <c r="G17" s="28">
        <f t="shared" si="2"/>
        <v>1</v>
      </c>
      <c r="H17" s="25"/>
      <c r="I17" s="25"/>
      <c r="L17" s="2"/>
      <c r="M17" s="34"/>
      <c r="N17" s="46"/>
      <c r="O17" s="28"/>
      <c r="Q17" s="8">
        <v>45965</v>
      </c>
      <c r="R17" s="2" t="s">
        <v>22</v>
      </c>
      <c r="S17" s="56" t="s">
        <v>113</v>
      </c>
      <c r="T17" s="56"/>
      <c r="U17" s="56"/>
      <c r="V17" s="31">
        <v>37737.379999999997</v>
      </c>
      <c r="W17" s="39"/>
      <c r="X17" s="2" t="s">
        <v>79</v>
      </c>
      <c r="Z17" s="21">
        <v>0</v>
      </c>
      <c r="AA17" s="21">
        <v>1</v>
      </c>
      <c r="AB17" s="6" t="s">
        <v>20</v>
      </c>
      <c r="AC17" s="2" t="s">
        <v>126</v>
      </c>
      <c r="AD17" s="17">
        <v>45971</v>
      </c>
      <c r="AE17" s="17">
        <v>46000</v>
      </c>
      <c r="AF17" s="48">
        <f t="shared" si="6"/>
        <v>29</v>
      </c>
      <c r="AG17" s="26">
        <v>149833.32999999999</v>
      </c>
      <c r="AH17" s="13">
        <f ca="1">+(AG17*(1+AK17/365)^(TODAY()-Tabla27[[#This Row],[FECHA IN]]))*Tabla27[[#This Row],[0/1]]</f>
        <v>0</v>
      </c>
      <c r="AI17" s="26">
        <f t="shared" si="7"/>
        <v>0</v>
      </c>
      <c r="AJ17" s="47">
        <f>+((AG17*(1+AK17/365)^AF17)-AG17)*Tabla27[[#This Row],[0/1]]</f>
        <v>0</v>
      </c>
      <c r="AK17" s="73">
        <v>0.4</v>
      </c>
      <c r="AL17" s="74">
        <f ca="1">+IFERROR(Tabla27[[#This Row],[FECHA OUT]]-TODAY(),0)</f>
        <v>10</v>
      </c>
    </row>
    <row r="18" spans="1:38" x14ac:dyDescent="0.35">
      <c r="A18" s="79">
        <f t="shared" si="0"/>
        <v>45982</v>
      </c>
      <c r="B18" s="7">
        <v>21</v>
      </c>
      <c r="C18" s="2" t="s">
        <v>10</v>
      </c>
      <c r="D18" s="2" t="s">
        <v>16</v>
      </c>
      <c r="E18" s="26">
        <v>25000</v>
      </c>
      <c r="F18" s="46">
        <f t="shared" si="8"/>
        <v>24451.21</v>
      </c>
      <c r="G18" s="28">
        <f t="shared" si="2"/>
        <v>0.97804839999999993</v>
      </c>
      <c r="H18" s="25"/>
      <c r="I18" s="25"/>
      <c r="L18" s="2"/>
      <c r="M18" s="34"/>
      <c r="N18" s="46"/>
      <c r="O18" s="28"/>
      <c r="Q18" s="8">
        <v>45965</v>
      </c>
      <c r="R18" s="2" t="s">
        <v>71</v>
      </c>
      <c r="S18" s="56"/>
      <c r="T18" s="56"/>
      <c r="U18" s="56"/>
      <c r="V18" s="31"/>
      <c r="W18" s="39">
        <v>4355</v>
      </c>
      <c r="X18" s="2" t="s">
        <v>79</v>
      </c>
      <c r="Z18" s="21">
        <v>0</v>
      </c>
      <c r="AA18" s="21">
        <v>1</v>
      </c>
      <c r="AB18" s="6" t="s">
        <v>20</v>
      </c>
      <c r="AC18" s="2" t="s">
        <v>143</v>
      </c>
      <c r="AD18" s="17">
        <v>45973</v>
      </c>
      <c r="AE18" s="17">
        <v>46001</v>
      </c>
      <c r="AF18" s="48">
        <f t="shared" si="6"/>
        <v>28</v>
      </c>
      <c r="AG18" s="26">
        <v>270000</v>
      </c>
      <c r="AH18" s="13">
        <f ca="1">+(AG18*(1+AK18/365)^(TODAY()-Tabla27[[#This Row],[FECHA IN]]))*Tabla27[[#This Row],[0/1]]</f>
        <v>0</v>
      </c>
      <c r="AI18" s="26">
        <f t="shared" si="7"/>
        <v>0</v>
      </c>
      <c r="AJ18" s="47">
        <f>+((AG18*(1+AK18/365)^AF18)-AG18)*Tabla27[[#This Row],[0/1]]</f>
        <v>0</v>
      </c>
      <c r="AK18" s="73">
        <v>0.4</v>
      </c>
      <c r="AL18" s="74">
        <f ca="1">+IFERROR(Tabla27[[#This Row],[FECHA OUT]]-TODAY(),0)</f>
        <v>11</v>
      </c>
    </row>
    <row r="19" spans="1:38" x14ac:dyDescent="0.35">
      <c r="A19" s="79">
        <f t="shared" si="0"/>
        <v>45982</v>
      </c>
      <c r="B19" s="7">
        <v>23</v>
      </c>
      <c r="C19" s="2" t="s">
        <v>22</v>
      </c>
      <c r="D19" s="2" t="s">
        <v>25</v>
      </c>
      <c r="E19" s="26">
        <v>15568.43</v>
      </c>
      <c r="F19" s="46">
        <f t="shared" si="8"/>
        <v>15568.43</v>
      </c>
      <c r="G19" s="28">
        <f t="shared" si="2"/>
        <v>1</v>
      </c>
      <c r="H19" s="25"/>
      <c r="I19" s="25"/>
      <c r="L19" s="2"/>
      <c r="M19" s="34"/>
      <c r="N19" s="46"/>
      <c r="O19" s="28"/>
      <c r="Q19" s="8">
        <v>45965</v>
      </c>
      <c r="R19" s="2" t="s">
        <v>31</v>
      </c>
      <c r="S19" s="56"/>
      <c r="T19" s="56"/>
      <c r="U19" s="56"/>
      <c r="V19" s="31">
        <v>4000</v>
      </c>
      <c r="W19" s="39"/>
      <c r="X19" s="2" t="s">
        <v>79</v>
      </c>
      <c r="Z19" s="21">
        <v>0</v>
      </c>
      <c r="AA19" s="21">
        <v>1</v>
      </c>
      <c r="AB19" s="6" t="s">
        <v>20</v>
      </c>
      <c r="AC19" s="2" t="s">
        <v>145</v>
      </c>
      <c r="AD19" s="17">
        <v>45973</v>
      </c>
      <c r="AE19" s="17">
        <v>46001</v>
      </c>
      <c r="AF19" s="48">
        <f t="shared" si="6"/>
        <v>28</v>
      </c>
      <c r="AG19" s="26">
        <v>180000</v>
      </c>
      <c r="AH19" s="13">
        <f ca="1">+(AG19*(1+AK19/365)^(TODAY()-Tabla27[[#This Row],[FECHA IN]]))*Tabla27[[#This Row],[0/1]]</f>
        <v>0</v>
      </c>
      <c r="AI19" s="26">
        <f t="shared" si="7"/>
        <v>0</v>
      </c>
      <c r="AJ19" s="47">
        <f>+((AG19*(1+AK19/365)^AF19)-AG19)*Tabla27[[#This Row],[0/1]]</f>
        <v>0</v>
      </c>
      <c r="AK19" s="73">
        <v>0.4</v>
      </c>
      <c r="AL19" s="77">
        <f ca="1">+IFERROR(Tabla27[[#This Row],[FECHA OUT]]-TODAY(),0)</f>
        <v>11</v>
      </c>
    </row>
    <row r="20" spans="1:38" x14ac:dyDescent="0.35">
      <c r="A20" s="7" t="s">
        <v>73</v>
      </c>
      <c r="C20" s="2"/>
      <c r="D20" s="2"/>
      <c r="E20" s="16">
        <f>SUBTOTAL(109,PRESUPUESTO.GASTOS[PRESUPUESTO])</f>
        <v>1363805.17</v>
      </c>
      <c r="F20" s="63">
        <f>SUBTOTAL(109,PRESUPUESTO.GASTOS[PAGADO])</f>
        <v>1871607.2899999998</v>
      </c>
      <c r="G20" s="22">
        <f>+IFERROR(PRESUPUESTO.GASTOS[[#Totals],[PAGADO]]/PRESUPUESTO.GASTOS[[#Totals],[PRESUPUESTO]],0)</f>
        <v>1.372342128604777</v>
      </c>
      <c r="H20" s="25"/>
      <c r="I20" s="25"/>
      <c r="Q20" s="8">
        <v>45965</v>
      </c>
      <c r="R20" s="2" t="s">
        <v>71</v>
      </c>
      <c r="S20" s="56" t="s">
        <v>48</v>
      </c>
      <c r="T20" s="56"/>
      <c r="U20" s="56"/>
      <c r="V20" s="31"/>
      <c r="W20" s="39">
        <v>726.14</v>
      </c>
      <c r="X20" s="2" t="s">
        <v>79</v>
      </c>
      <c r="Z20" s="21">
        <v>0</v>
      </c>
      <c r="AA20" s="21">
        <v>1</v>
      </c>
      <c r="AB20" s="6" t="s">
        <v>20</v>
      </c>
      <c r="AC20" s="2" t="s">
        <v>146</v>
      </c>
      <c r="AD20" s="17">
        <v>45973</v>
      </c>
      <c r="AE20" s="17">
        <v>46001</v>
      </c>
      <c r="AF20" s="48">
        <f t="shared" si="6"/>
        <v>28</v>
      </c>
      <c r="AG20" s="26">
        <v>108000</v>
      </c>
      <c r="AH20" s="13">
        <f ca="1">+(AG20*(1+AK20/365)^(TODAY()-Tabla27[[#This Row],[FECHA IN]]))*Tabla27[[#This Row],[0/1]]</f>
        <v>0</v>
      </c>
      <c r="AI20" s="26">
        <f t="shared" si="7"/>
        <v>0</v>
      </c>
      <c r="AJ20" s="47">
        <f>+((AG20*(1+AK20/365)^AF20)-AG20)*Tabla27[[#This Row],[0/1]]</f>
        <v>0</v>
      </c>
      <c r="AK20" s="73">
        <v>0.4</v>
      </c>
      <c r="AL20" s="77">
        <f ca="1">+IFERROR(Tabla27[[#This Row],[FECHA OUT]]-TODAY(),0)</f>
        <v>11</v>
      </c>
    </row>
    <row r="21" spans="1:38" x14ac:dyDescent="0.35">
      <c r="H21" s="25"/>
      <c r="I21" s="25"/>
      <c r="Q21" s="8">
        <v>45965</v>
      </c>
      <c r="R21" s="2" t="s">
        <v>31</v>
      </c>
      <c r="S21" s="56" t="s">
        <v>80</v>
      </c>
      <c r="T21" s="56"/>
      <c r="U21" s="56"/>
      <c r="V21" s="31">
        <v>4595</v>
      </c>
      <c r="W21" s="39"/>
      <c r="X21" s="2" t="s">
        <v>79</v>
      </c>
      <c r="Z21" s="21" t="s">
        <v>73</v>
      </c>
      <c r="AA21" s="21"/>
      <c r="AB21" s="6"/>
      <c r="AC21" s="2"/>
      <c r="AD21" s="2"/>
      <c r="AE21" s="2"/>
      <c r="AF21" s="2"/>
      <c r="AG21" s="16"/>
      <c r="AH21" s="16">
        <f ca="1">SUBTOTAL(109,Tabla27[HOY])</f>
        <v>0</v>
      </c>
      <c r="AI21" s="16">
        <f>SUBTOTAL(109,Tabla27[FINAL])</f>
        <v>0</v>
      </c>
      <c r="AJ21" s="70">
        <f>SUBTOTAL(109,Tabla27[INT ACUM])</f>
        <v>0</v>
      </c>
      <c r="AK21" s="16"/>
      <c r="AL21" s="2"/>
    </row>
    <row r="22" spans="1:38" x14ac:dyDescent="0.35">
      <c r="D22"/>
      <c r="H22" s="25"/>
      <c r="I22" s="25"/>
      <c r="L22" s="2"/>
      <c r="M22" s="34"/>
      <c r="N22" s="46"/>
      <c r="O22" s="28"/>
      <c r="Q22" s="8">
        <v>45965</v>
      </c>
      <c r="R22" s="2" t="s">
        <v>31</v>
      </c>
      <c r="S22" s="56" t="s">
        <v>80</v>
      </c>
      <c r="T22" s="56"/>
      <c r="U22" s="56"/>
      <c r="V22" s="31">
        <v>70943.25</v>
      </c>
      <c r="W22" s="39"/>
      <c r="X22" s="2" t="s">
        <v>79</v>
      </c>
      <c r="AK22" s="2"/>
      <c r="AL22" s="26"/>
    </row>
    <row r="23" spans="1:38" x14ac:dyDescent="0.35">
      <c r="D23"/>
      <c r="H23" s="25"/>
      <c r="I23" s="25"/>
      <c r="L23" s="89"/>
      <c r="M23" s="89"/>
      <c r="N23" s="50"/>
      <c r="O23" s="51"/>
      <c r="Q23" s="8">
        <v>45965</v>
      </c>
      <c r="R23" s="2" t="s">
        <v>117</v>
      </c>
      <c r="S23" s="56"/>
      <c r="T23" s="56"/>
      <c r="U23" s="56"/>
      <c r="V23" s="31">
        <v>11000</v>
      </c>
      <c r="W23" s="39"/>
      <c r="X23" s="2" t="s">
        <v>20</v>
      </c>
      <c r="AK23" s="2"/>
      <c r="AL23" s="26"/>
    </row>
    <row r="24" spans="1:38" x14ac:dyDescent="0.35">
      <c r="D24"/>
      <c r="H24" s="25"/>
      <c r="I24" s="25"/>
      <c r="L24" s="2"/>
      <c r="M24" s="34"/>
      <c r="N24" s="46"/>
      <c r="O24" s="26"/>
      <c r="Q24" s="8">
        <v>45965</v>
      </c>
      <c r="R24" s="2" t="s">
        <v>117</v>
      </c>
      <c r="S24" s="56"/>
      <c r="T24" s="56"/>
      <c r="U24" s="56"/>
      <c r="V24" s="31">
        <v>30000</v>
      </c>
      <c r="W24" s="39"/>
      <c r="X24" s="2" t="s">
        <v>20</v>
      </c>
      <c r="AK24" s="2"/>
      <c r="AL24" s="26"/>
    </row>
    <row r="25" spans="1:38" x14ac:dyDescent="0.35">
      <c r="D25"/>
      <c r="H25" s="25"/>
      <c r="I25" s="25"/>
      <c r="O25" s="26"/>
      <c r="Q25" s="8">
        <v>45965</v>
      </c>
      <c r="R25" s="2" t="s">
        <v>117</v>
      </c>
      <c r="S25" s="56"/>
      <c r="T25" s="56"/>
      <c r="U25" s="56"/>
      <c r="V25" s="31">
        <v>30000</v>
      </c>
      <c r="W25" s="39"/>
      <c r="X25" s="2" t="s">
        <v>20</v>
      </c>
      <c r="AK25" s="2"/>
      <c r="AL25" s="26"/>
    </row>
    <row r="26" spans="1:38" x14ac:dyDescent="0.35">
      <c r="D26"/>
      <c r="H26" s="25"/>
      <c r="I26" s="25"/>
      <c r="O26" s="26"/>
      <c r="Q26" s="8">
        <v>45966</v>
      </c>
      <c r="R26" s="2" t="s">
        <v>68</v>
      </c>
      <c r="S26" s="56" t="s">
        <v>4</v>
      </c>
      <c r="T26" s="56"/>
      <c r="U26" s="56"/>
      <c r="V26" s="31">
        <v>28200</v>
      </c>
      <c r="W26" s="39"/>
      <c r="X26" s="2" t="s">
        <v>79</v>
      </c>
      <c r="AK26" s="2"/>
      <c r="AL26" s="26"/>
    </row>
    <row r="27" spans="1:38" x14ac:dyDescent="0.35">
      <c r="D27"/>
      <c r="H27" s="25"/>
      <c r="I27" s="25"/>
      <c r="Q27" s="8">
        <v>45966</v>
      </c>
      <c r="R27" s="2" t="s">
        <v>68</v>
      </c>
      <c r="S27" s="56" t="s">
        <v>4</v>
      </c>
      <c r="T27" s="56"/>
      <c r="U27" s="56"/>
      <c r="V27" s="31">
        <v>54800</v>
      </c>
      <c r="W27" s="39"/>
      <c r="X27" s="2" t="s">
        <v>79</v>
      </c>
      <c r="AK27" s="2"/>
      <c r="AL27" s="26"/>
    </row>
    <row r="28" spans="1:38" x14ac:dyDescent="0.35">
      <c r="D28"/>
      <c r="H28" s="34"/>
      <c r="I28" s="34"/>
      <c r="Q28" s="8">
        <v>45966</v>
      </c>
      <c r="R28" s="2" t="s">
        <v>68</v>
      </c>
      <c r="S28" s="56" t="s">
        <v>4</v>
      </c>
      <c r="T28" s="56"/>
      <c r="U28" s="56"/>
      <c r="V28" s="31">
        <v>54800</v>
      </c>
      <c r="W28" s="39"/>
      <c r="X28" s="2" t="s">
        <v>79</v>
      </c>
      <c r="AK28" s="2"/>
    </row>
    <row r="29" spans="1:38" x14ac:dyDescent="0.35">
      <c r="D29"/>
      <c r="H29" s="34"/>
      <c r="I29" s="34"/>
      <c r="Q29" s="8">
        <v>45966</v>
      </c>
      <c r="R29" s="2" t="s">
        <v>68</v>
      </c>
      <c r="S29" s="56" t="s">
        <v>4</v>
      </c>
      <c r="T29" s="56"/>
      <c r="U29" s="56"/>
      <c r="V29" s="31">
        <v>28200</v>
      </c>
      <c r="W29" s="39"/>
      <c r="X29" s="2" t="s">
        <v>79</v>
      </c>
      <c r="AK29" s="2"/>
    </row>
    <row r="30" spans="1:38" x14ac:dyDescent="0.35">
      <c r="D30"/>
      <c r="H30" s="34"/>
      <c r="I30" s="34"/>
      <c r="Q30" s="8">
        <v>45966</v>
      </c>
      <c r="R30" s="2" t="s">
        <v>68</v>
      </c>
      <c r="S30" s="56" t="s">
        <v>117</v>
      </c>
      <c r="T30" s="56"/>
      <c r="U30" s="56"/>
      <c r="V30" s="31">
        <v>5000</v>
      </c>
      <c r="W30" s="39"/>
      <c r="X30" s="2" t="s">
        <v>79</v>
      </c>
    </row>
    <row r="31" spans="1:38" x14ac:dyDescent="0.35">
      <c r="D31"/>
      <c r="Q31" s="8">
        <v>45966</v>
      </c>
      <c r="R31" s="2" t="s">
        <v>68</v>
      </c>
      <c r="S31" s="56" t="s">
        <v>117</v>
      </c>
      <c r="T31" s="56"/>
      <c r="U31" s="56"/>
      <c r="V31" s="31">
        <v>2138</v>
      </c>
      <c r="W31" s="39"/>
      <c r="X31" s="2" t="s">
        <v>79</v>
      </c>
    </row>
    <row r="32" spans="1:38" x14ac:dyDescent="0.35">
      <c r="D32"/>
      <c r="Q32" s="8">
        <v>45966</v>
      </c>
      <c r="R32" s="2" t="s">
        <v>68</v>
      </c>
      <c r="S32" s="56" t="s">
        <v>117</v>
      </c>
      <c r="T32" s="56"/>
      <c r="U32" s="56"/>
      <c r="V32" s="31">
        <v>2434</v>
      </c>
      <c r="W32" s="39"/>
      <c r="X32" s="2" t="s">
        <v>79</v>
      </c>
    </row>
    <row r="33" spans="1:24" x14ac:dyDescent="0.35">
      <c r="D33"/>
      <c r="Q33" s="8">
        <v>45966</v>
      </c>
      <c r="R33" s="2" t="s">
        <v>67</v>
      </c>
      <c r="S33" s="56" t="s">
        <v>4</v>
      </c>
      <c r="T33" s="56"/>
      <c r="U33" s="56"/>
      <c r="V33" s="31">
        <v>2000</v>
      </c>
      <c r="W33" s="39"/>
      <c r="X33" s="2" t="s">
        <v>79</v>
      </c>
    </row>
    <row r="34" spans="1:24" x14ac:dyDescent="0.35">
      <c r="D34"/>
      <c r="Q34" s="8">
        <v>45966</v>
      </c>
      <c r="R34" s="2" t="s">
        <v>31</v>
      </c>
      <c r="S34" s="56" t="s">
        <v>63</v>
      </c>
      <c r="T34" s="56"/>
      <c r="U34" s="56"/>
      <c r="V34" s="31">
        <v>6000</v>
      </c>
      <c r="W34" s="39"/>
      <c r="X34" s="2" t="s">
        <v>20</v>
      </c>
    </row>
    <row r="35" spans="1:24" x14ac:dyDescent="0.35">
      <c r="A35"/>
      <c r="B35"/>
      <c r="C35"/>
      <c r="Q35" s="8">
        <v>45966</v>
      </c>
      <c r="R35" s="2" t="s">
        <v>68</v>
      </c>
      <c r="S35" s="56" t="s">
        <v>117</v>
      </c>
      <c r="T35" s="56"/>
      <c r="U35" s="56"/>
      <c r="V35" s="31">
        <v>5100</v>
      </c>
      <c r="W35" s="39"/>
      <c r="X35" s="2" t="s">
        <v>20</v>
      </c>
    </row>
    <row r="36" spans="1:24" x14ac:dyDescent="0.35">
      <c r="A36"/>
      <c r="B36"/>
      <c r="C36"/>
      <c r="Q36" s="8">
        <v>45966</v>
      </c>
      <c r="R36" s="2" t="s">
        <v>117</v>
      </c>
      <c r="S36" s="56"/>
      <c r="T36" s="56"/>
      <c r="U36" s="56"/>
      <c r="V36" s="31">
        <v>1800</v>
      </c>
      <c r="W36" s="39"/>
      <c r="X36" s="2" t="s">
        <v>20</v>
      </c>
    </row>
    <row r="37" spans="1:24" x14ac:dyDescent="0.35">
      <c r="A37"/>
      <c r="B37"/>
      <c r="C37"/>
      <c r="Q37" s="8">
        <v>45966</v>
      </c>
      <c r="R37" s="2" t="s">
        <v>117</v>
      </c>
      <c r="S37" s="56"/>
      <c r="T37" s="56"/>
      <c r="U37" s="56"/>
      <c r="V37" s="31">
        <v>3312</v>
      </c>
      <c r="W37" s="39"/>
      <c r="X37" s="2" t="s">
        <v>20</v>
      </c>
    </row>
    <row r="38" spans="1:24" x14ac:dyDescent="0.35">
      <c r="A38"/>
      <c r="B38"/>
      <c r="C38"/>
      <c r="Q38" s="8">
        <v>45966</v>
      </c>
      <c r="R38" s="2" t="s">
        <v>71</v>
      </c>
      <c r="S38" s="56" t="s">
        <v>48</v>
      </c>
      <c r="T38" s="56"/>
      <c r="U38" s="56"/>
      <c r="V38" s="31"/>
      <c r="W38" s="39">
        <v>63.44</v>
      </c>
      <c r="X38" s="2" t="s">
        <v>20</v>
      </c>
    </row>
    <row r="39" spans="1:24" x14ac:dyDescent="0.35">
      <c r="A39"/>
      <c r="B39"/>
      <c r="C39"/>
      <c r="Q39" s="8">
        <v>45966</v>
      </c>
      <c r="R39" s="2" t="s">
        <v>31</v>
      </c>
      <c r="S39" s="56"/>
      <c r="T39" s="56"/>
      <c r="U39" s="56"/>
      <c r="V39" s="31">
        <v>10100</v>
      </c>
      <c r="W39" s="39"/>
      <c r="X39" s="2" t="s">
        <v>79</v>
      </c>
    </row>
    <row r="40" spans="1:24" x14ac:dyDescent="0.35">
      <c r="Q40" s="8">
        <v>45967</v>
      </c>
      <c r="R40" s="2" t="s">
        <v>71</v>
      </c>
      <c r="S40" s="56" t="s">
        <v>48</v>
      </c>
      <c r="T40" s="56"/>
      <c r="U40" s="56"/>
      <c r="V40" s="31"/>
      <c r="W40" s="39">
        <v>46.18</v>
      </c>
      <c r="X40" s="2" t="s">
        <v>20</v>
      </c>
    </row>
    <row r="41" spans="1:24" x14ac:dyDescent="0.35">
      <c r="Q41" s="8">
        <v>45967</v>
      </c>
      <c r="R41" s="2" t="s">
        <v>67</v>
      </c>
      <c r="S41" s="56" t="s">
        <v>4</v>
      </c>
      <c r="T41" s="56"/>
      <c r="U41" s="56"/>
      <c r="V41" s="31">
        <v>14700</v>
      </c>
      <c r="W41" s="39"/>
      <c r="X41" s="2" t="s">
        <v>79</v>
      </c>
    </row>
    <row r="42" spans="1:24" x14ac:dyDescent="0.35">
      <c r="Q42" s="8">
        <v>45967</v>
      </c>
      <c r="R42" s="2" t="s">
        <v>31</v>
      </c>
      <c r="S42" s="56"/>
      <c r="T42" s="56"/>
      <c r="U42" s="56"/>
      <c r="V42" s="31">
        <v>7500</v>
      </c>
      <c r="W42" s="39"/>
      <c r="X42" s="2" t="s">
        <v>79</v>
      </c>
    </row>
    <row r="43" spans="1:24" x14ac:dyDescent="0.35">
      <c r="Q43" s="8">
        <v>45967</v>
      </c>
      <c r="R43" s="2" t="s">
        <v>31</v>
      </c>
      <c r="S43" s="56"/>
      <c r="T43" s="56"/>
      <c r="U43" s="56"/>
      <c r="V43" s="31">
        <v>11078.9</v>
      </c>
      <c r="W43" s="39"/>
      <c r="X43" s="2" t="s">
        <v>79</v>
      </c>
    </row>
    <row r="44" spans="1:24" x14ac:dyDescent="0.35">
      <c r="Q44" s="8">
        <v>45967</v>
      </c>
      <c r="R44" s="2" t="s">
        <v>31</v>
      </c>
      <c r="S44" s="56" t="s">
        <v>63</v>
      </c>
      <c r="T44" s="56"/>
      <c r="U44" s="56"/>
      <c r="V44" s="31">
        <v>4700</v>
      </c>
      <c r="W44" s="39"/>
      <c r="X44" s="2" t="s">
        <v>79</v>
      </c>
    </row>
    <row r="45" spans="1:24" x14ac:dyDescent="0.35">
      <c r="Q45" s="8">
        <v>45967</v>
      </c>
      <c r="R45" s="2" t="s">
        <v>68</v>
      </c>
      <c r="S45" s="56" t="s">
        <v>117</v>
      </c>
      <c r="T45" s="56"/>
      <c r="U45" s="56"/>
      <c r="V45" s="31">
        <v>5000</v>
      </c>
      <c r="W45" s="39"/>
      <c r="X45" s="2" t="s">
        <v>79</v>
      </c>
    </row>
    <row r="46" spans="1:24" x14ac:dyDescent="0.35">
      <c r="Q46" s="8">
        <v>45967</v>
      </c>
      <c r="R46" s="2" t="s">
        <v>68</v>
      </c>
      <c r="S46" s="56" t="s">
        <v>117</v>
      </c>
      <c r="T46" s="56"/>
      <c r="U46" s="56"/>
      <c r="V46" s="31">
        <v>2243</v>
      </c>
      <c r="W46" s="39"/>
      <c r="X46" s="2" t="s">
        <v>79</v>
      </c>
    </row>
    <row r="47" spans="1:24" x14ac:dyDescent="0.35">
      <c r="Q47" s="8">
        <v>45967</v>
      </c>
      <c r="R47" s="2" t="s">
        <v>68</v>
      </c>
      <c r="S47" s="56" t="s">
        <v>117</v>
      </c>
      <c r="T47" s="56"/>
      <c r="U47" s="56"/>
      <c r="V47" s="31">
        <v>2329</v>
      </c>
      <c r="W47" s="39"/>
      <c r="X47" s="2" t="s">
        <v>79</v>
      </c>
    </row>
    <row r="48" spans="1:24" x14ac:dyDescent="0.35">
      <c r="A48" s="60" t="s">
        <v>87</v>
      </c>
      <c r="B48" t="s">
        <v>90</v>
      </c>
      <c r="C48" t="s">
        <v>89</v>
      </c>
      <c r="D48" s="67" t="s">
        <v>95</v>
      </c>
      <c r="Q48" s="8">
        <v>45967</v>
      </c>
      <c r="R48" s="2" t="s">
        <v>68</v>
      </c>
      <c r="S48" s="56" t="s">
        <v>117</v>
      </c>
      <c r="T48" s="56"/>
      <c r="U48" s="56"/>
      <c r="V48" s="31">
        <v>5000</v>
      </c>
      <c r="W48" s="39"/>
      <c r="X48" s="2" t="s">
        <v>79</v>
      </c>
    </row>
    <row r="49" spans="1:24" x14ac:dyDescent="0.35">
      <c r="A49" s="61" t="s">
        <v>62</v>
      </c>
      <c r="B49">
        <v>14372.77</v>
      </c>
      <c r="C49">
        <v>50000</v>
      </c>
      <c r="D49" s="58">
        <v>0.28745540000000003</v>
      </c>
      <c r="Q49" s="8">
        <v>45967</v>
      </c>
      <c r="R49" s="2" t="s">
        <v>31</v>
      </c>
      <c r="S49" s="56"/>
      <c r="T49" s="56"/>
      <c r="U49" s="56"/>
      <c r="V49" s="31">
        <v>2800</v>
      </c>
      <c r="W49" s="39"/>
      <c r="X49" s="2" t="s">
        <v>20</v>
      </c>
    </row>
    <row r="50" spans="1:24" x14ac:dyDescent="0.35">
      <c r="A50" s="61" t="s">
        <v>6</v>
      </c>
      <c r="B50">
        <v>40000</v>
      </c>
      <c r="C50">
        <v>60000</v>
      </c>
      <c r="D50" s="58">
        <v>1</v>
      </c>
      <c r="Q50" s="8">
        <v>45967</v>
      </c>
      <c r="R50" s="2" t="s">
        <v>31</v>
      </c>
      <c r="S50" s="56" t="s">
        <v>63</v>
      </c>
      <c r="T50" s="56"/>
      <c r="U50" s="56"/>
      <c r="V50" s="31">
        <v>5000</v>
      </c>
      <c r="W50" s="39"/>
      <c r="X50" s="2" t="s">
        <v>20</v>
      </c>
    </row>
    <row r="51" spans="1:24" x14ac:dyDescent="0.35">
      <c r="A51" s="61" t="s">
        <v>9</v>
      </c>
      <c r="B51">
        <v>0</v>
      </c>
      <c r="C51">
        <v>54000</v>
      </c>
      <c r="D51" s="58">
        <v>0</v>
      </c>
      <c r="Q51" s="8">
        <v>45968</v>
      </c>
      <c r="R51" s="2" t="s">
        <v>31</v>
      </c>
      <c r="S51" s="56" t="s">
        <v>63</v>
      </c>
      <c r="T51" s="56"/>
      <c r="U51" s="56"/>
      <c r="V51" s="31">
        <v>5600</v>
      </c>
      <c r="W51" s="39"/>
      <c r="X51" s="2" t="s">
        <v>79</v>
      </c>
    </row>
    <row r="52" spans="1:24" x14ac:dyDescent="0.35">
      <c r="A52" s="61" t="s">
        <v>31</v>
      </c>
      <c r="B52">
        <v>94552.67</v>
      </c>
      <c r="C52">
        <v>112000</v>
      </c>
      <c r="D52" s="58">
        <v>1.3855267</v>
      </c>
      <c r="K52" s="60" t="s">
        <v>87</v>
      </c>
      <c r="L52" t="s">
        <v>94</v>
      </c>
      <c r="M52" t="s">
        <v>91</v>
      </c>
      <c r="N52" t="s">
        <v>89</v>
      </c>
      <c r="Q52" s="8">
        <v>45968</v>
      </c>
      <c r="R52" s="2" t="s">
        <v>68</v>
      </c>
      <c r="S52" s="56" t="s">
        <v>4</v>
      </c>
      <c r="T52" s="56"/>
      <c r="U52" s="56"/>
      <c r="V52" s="31">
        <v>1580</v>
      </c>
      <c r="W52" s="39"/>
      <c r="X52" s="2" t="s">
        <v>79</v>
      </c>
    </row>
    <row r="53" spans="1:24" x14ac:dyDescent="0.35">
      <c r="A53" s="61" t="s">
        <v>76</v>
      </c>
      <c r="B53">
        <v>1800</v>
      </c>
      <c r="C53">
        <v>11300</v>
      </c>
      <c r="D53" s="58">
        <v>0.15929203539823009</v>
      </c>
      <c r="K53" s="61" t="s">
        <v>11</v>
      </c>
      <c r="L53" s="58">
        <v>1</v>
      </c>
      <c r="M53" s="59">
        <v>140000</v>
      </c>
      <c r="N53">
        <v>140000</v>
      </c>
      <c r="Q53" s="8">
        <v>45968</v>
      </c>
      <c r="R53" s="2" t="s">
        <v>68</v>
      </c>
      <c r="S53" s="56" t="s">
        <v>4</v>
      </c>
      <c r="T53" s="56"/>
      <c r="U53" s="56"/>
      <c r="V53" s="31">
        <v>5000</v>
      </c>
      <c r="W53" s="39"/>
      <c r="X53" s="2" t="s">
        <v>79</v>
      </c>
    </row>
    <row r="54" spans="1:24" x14ac:dyDescent="0.35">
      <c r="A54" s="61" t="s">
        <v>2</v>
      </c>
      <c r="B54">
        <v>10000</v>
      </c>
      <c r="C54">
        <v>15000</v>
      </c>
      <c r="D54" s="58">
        <v>2</v>
      </c>
      <c r="K54" s="61" t="s">
        <v>12</v>
      </c>
      <c r="L54" s="58">
        <v>0.50719999999999998</v>
      </c>
      <c r="M54" s="59">
        <v>76080</v>
      </c>
      <c r="N54">
        <v>120000</v>
      </c>
      <c r="Q54" s="8">
        <v>45968</v>
      </c>
      <c r="R54" s="2" t="s">
        <v>71</v>
      </c>
      <c r="S54" s="56" t="s">
        <v>48</v>
      </c>
      <c r="T54" s="56"/>
      <c r="U54" s="56"/>
      <c r="V54" s="31"/>
      <c r="W54" s="39">
        <v>1309.56</v>
      </c>
      <c r="X54" s="2" t="s">
        <v>79</v>
      </c>
    </row>
    <row r="55" spans="1:24" x14ac:dyDescent="0.35">
      <c r="A55" s="61" t="s">
        <v>3</v>
      </c>
      <c r="B55">
        <v>18527</v>
      </c>
      <c r="C55">
        <v>11250</v>
      </c>
      <c r="D55" s="58">
        <v>4.9405333333333328</v>
      </c>
      <c r="K55" s="61" t="s">
        <v>45</v>
      </c>
      <c r="L55" s="58">
        <v>0.25923499999999999</v>
      </c>
      <c r="M55" s="59">
        <v>12961.75</v>
      </c>
      <c r="N55">
        <v>50000</v>
      </c>
      <c r="Q55" s="8">
        <v>45968</v>
      </c>
      <c r="R55" s="2" t="s">
        <v>71</v>
      </c>
      <c r="S55" s="56" t="s">
        <v>48</v>
      </c>
      <c r="T55" s="56"/>
      <c r="U55" s="56"/>
      <c r="V55" s="31"/>
      <c r="W55" s="39">
        <v>37.9</v>
      </c>
      <c r="X55" s="2" t="s">
        <v>20</v>
      </c>
    </row>
    <row r="56" spans="1:24" x14ac:dyDescent="0.35">
      <c r="A56" s="61" t="s">
        <v>10</v>
      </c>
      <c r="B56">
        <v>16662.04</v>
      </c>
      <c r="C56">
        <v>16064.9</v>
      </c>
      <c r="D56" s="58">
        <v>5.4536341760702181</v>
      </c>
      <c r="K56" s="61" t="s">
        <v>46</v>
      </c>
      <c r="L56" s="58">
        <v>0</v>
      </c>
      <c r="M56" s="59">
        <v>0</v>
      </c>
      <c r="N56">
        <v>50000</v>
      </c>
      <c r="Q56" s="8">
        <v>45968</v>
      </c>
      <c r="R56" s="2" t="s">
        <v>68</v>
      </c>
      <c r="S56" s="56" t="s">
        <v>4</v>
      </c>
      <c r="T56" s="56"/>
      <c r="U56" s="56"/>
      <c r="V56" s="31">
        <v>5000</v>
      </c>
      <c r="W56" s="39"/>
      <c r="X56" s="2" t="s">
        <v>79</v>
      </c>
    </row>
    <row r="57" spans="1:24" x14ac:dyDescent="0.35">
      <c r="A57" s="61" t="s">
        <v>22</v>
      </c>
      <c r="B57">
        <v>0</v>
      </c>
      <c r="C57">
        <v>7567.3799999999992</v>
      </c>
      <c r="D57" s="58">
        <v>0</v>
      </c>
      <c r="K57" s="61" t="s">
        <v>44</v>
      </c>
      <c r="L57" s="58">
        <v>0</v>
      </c>
      <c r="M57" s="59">
        <v>0</v>
      </c>
      <c r="N57">
        <v>140000</v>
      </c>
      <c r="Q57" s="8">
        <v>45968</v>
      </c>
      <c r="R57" s="2" t="s">
        <v>68</v>
      </c>
      <c r="S57" s="56" t="s">
        <v>4</v>
      </c>
      <c r="T57" s="56"/>
      <c r="U57" s="56"/>
      <c r="V57" s="31">
        <v>5000</v>
      </c>
      <c r="W57" s="39"/>
      <c r="X57" s="2" t="s">
        <v>79</v>
      </c>
    </row>
    <row r="58" spans="1:24" x14ac:dyDescent="0.35">
      <c r="A58" s="61" t="s">
        <v>67</v>
      </c>
      <c r="B58">
        <v>830</v>
      </c>
      <c r="C58">
        <v>7032</v>
      </c>
      <c r="D58" s="58">
        <v>0.36086956521739133</v>
      </c>
      <c r="K58" s="61" t="s">
        <v>88</v>
      </c>
      <c r="L58" s="58">
        <v>0.42169277777777775</v>
      </c>
      <c r="M58" s="59">
        <v>229041.75</v>
      </c>
      <c r="N58">
        <v>500000</v>
      </c>
      <c r="Q58" s="8">
        <v>45968</v>
      </c>
      <c r="R58" s="2" t="s">
        <v>68</v>
      </c>
      <c r="S58" s="56" t="s">
        <v>4</v>
      </c>
      <c r="T58" s="56"/>
      <c r="U58" s="56"/>
      <c r="V58" s="31">
        <v>1580</v>
      </c>
      <c r="W58" s="39"/>
      <c r="X58" s="2" t="s">
        <v>79</v>
      </c>
    </row>
    <row r="59" spans="1:24" x14ac:dyDescent="0.35">
      <c r="A59" s="61" t="s">
        <v>68</v>
      </c>
      <c r="B59">
        <v>17600</v>
      </c>
      <c r="C59">
        <v>28600</v>
      </c>
      <c r="D59" s="58">
        <v>0.61538461538461542</v>
      </c>
      <c r="J59"/>
      <c r="K59"/>
      <c r="L59"/>
      <c r="Q59" s="8">
        <v>45968</v>
      </c>
      <c r="R59" s="2" t="s">
        <v>68</v>
      </c>
      <c r="S59" s="56" t="s">
        <v>4</v>
      </c>
      <c r="T59" s="56"/>
      <c r="U59" s="56"/>
      <c r="V59" s="31">
        <v>1580</v>
      </c>
      <c r="W59" s="39"/>
      <c r="X59" s="2" t="s">
        <v>79</v>
      </c>
    </row>
    <row r="60" spans="1:24" x14ac:dyDescent="0.35">
      <c r="A60" s="61" t="s">
        <v>88</v>
      </c>
      <c r="B60">
        <v>214344.48</v>
      </c>
      <c r="C60">
        <v>372814.28</v>
      </c>
      <c r="D60">
        <v>16.20269582540379</v>
      </c>
      <c r="Q60" s="8">
        <v>45968</v>
      </c>
      <c r="R60" s="2" t="s">
        <v>68</v>
      </c>
      <c r="S60" s="56" t="s">
        <v>4</v>
      </c>
      <c r="T60" s="56"/>
      <c r="U60" s="56"/>
      <c r="V60" s="31">
        <v>6003</v>
      </c>
      <c r="W60" s="39"/>
      <c r="X60" s="2" t="s">
        <v>79</v>
      </c>
    </row>
    <row r="61" spans="1:24" x14ac:dyDescent="0.35">
      <c r="Q61" s="8">
        <v>45968</v>
      </c>
      <c r="R61" s="2" t="s">
        <v>31</v>
      </c>
      <c r="S61" s="56" t="s">
        <v>63</v>
      </c>
      <c r="T61" s="56"/>
      <c r="U61" s="56"/>
      <c r="V61" s="31">
        <v>5600</v>
      </c>
      <c r="W61" s="39"/>
      <c r="X61" s="2" t="s">
        <v>79</v>
      </c>
    </row>
    <row r="62" spans="1:24" x14ac:dyDescent="0.35">
      <c r="Q62" s="8">
        <v>45969</v>
      </c>
      <c r="R62" s="2" t="s">
        <v>71</v>
      </c>
      <c r="S62" s="56" t="s">
        <v>106</v>
      </c>
      <c r="T62" s="56"/>
      <c r="U62" s="56"/>
      <c r="V62" s="31"/>
      <c r="W62" s="39">
        <v>61868.594502727305</v>
      </c>
      <c r="X62" s="2" t="s">
        <v>20</v>
      </c>
    </row>
    <row r="63" spans="1:24" x14ac:dyDescent="0.35">
      <c r="Q63" s="8">
        <v>45969</v>
      </c>
      <c r="R63" s="2" t="s">
        <v>31</v>
      </c>
      <c r="S63" s="56" t="s">
        <v>63</v>
      </c>
      <c r="T63" s="56"/>
      <c r="U63" s="56"/>
      <c r="V63" s="31">
        <v>6500</v>
      </c>
      <c r="W63" s="39"/>
      <c r="X63" s="2" t="s">
        <v>79</v>
      </c>
    </row>
    <row r="64" spans="1:24" x14ac:dyDescent="0.35">
      <c r="Q64" s="8">
        <v>45969</v>
      </c>
      <c r="R64" s="2" t="s">
        <v>31</v>
      </c>
      <c r="S64" s="56" t="s">
        <v>63</v>
      </c>
      <c r="T64" s="56"/>
      <c r="U64" s="56"/>
      <c r="V64" s="31">
        <v>7000</v>
      </c>
      <c r="W64" s="39"/>
      <c r="X64" s="2" t="s">
        <v>79</v>
      </c>
    </row>
    <row r="65" spans="17:24" x14ac:dyDescent="0.35">
      <c r="Q65" s="8">
        <v>45969</v>
      </c>
      <c r="R65" s="2" t="s">
        <v>68</v>
      </c>
      <c r="S65" s="56" t="s">
        <v>4</v>
      </c>
      <c r="T65" s="56"/>
      <c r="U65" s="56"/>
      <c r="V65" s="31">
        <v>4900</v>
      </c>
      <c r="W65" s="39"/>
      <c r="X65" s="2" t="s">
        <v>79</v>
      </c>
    </row>
    <row r="66" spans="17:24" x14ac:dyDescent="0.35">
      <c r="Q66" s="8">
        <v>45969</v>
      </c>
      <c r="R66" s="2" t="s">
        <v>68</v>
      </c>
      <c r="S66" s="56" t="s">
        <v>4</v>
      </c>
      <c r="T66" s="56"/>
      <c r="U66" s="56"/>
      <c r="V66" s="31">
        <v>5580</v>
      </c>
      <c r="W66" s="39"/>
      <c r="X66" s="2" t="s">
        <v>79</v>
      </c>
    </row>
    <row r="67" spans="17:24" x14ac:dyDescent="0.35">
      <c r="Q67" s="8">
        <v>45969</v>
      </c>
      <c r="R67" s="2" t="s">
        <v>68</v>
      </c>
      <c r="S67" s="56" t="s">
        <v>4</v>
      </c>
      <c r="T67" s="56"/>
      <c r="U67" s="56"/>
      <c r="V67" s="31">
        <v>1580</v>
      </c>
      <c r="W67" s="39"/>
      <c r="X67" s="2" t="s">
        <v>79</v>
      </c>
    </row>
    <row r="68" spans="17:24" x14ac:dyDescent="0.35">
      <c r="Q68" s="8">
        <v>45969</v>
      </c>
      <c r="R68" s="2" t="s">
        <v>68</v>
      </c>
      <c r="S68" s="56" t="s">
        <v>4</v>
      </c>
      <c r="T68" s="56"/>
      <c r="U68" s="56"/>
      <c r="V68" s="31">
        <v>1580</v>
      </c>
      <c r="W68" s="39"/>
      <c r="X68" s="2" t="s">
        <v>79</v>
      </c>
    </row>
    <row r="69" spans="17:24" x14ac:dyDescent="0.35">
      <c r="Q69" s="8">
        <v>45969</v>
      </c>
      <c r="R69" s="2" t="s">
        <v>68</v>
      </c>
      <c r="S69" s="56" t="s">
        <v>4</v>
      </c>
      <c r="T69" s="56"/>
      <c r="U69" s="56"/>
      <c r="V69" s="31">
        <v>5000</v>
      </c>
      <c r="W69" s="39"/>
      <c r="X69" s="2" t="s">
        <v>79</v>
      </c>
    </row>
    <row r="70" spans="17:24" x14ac:dyDescent="0.35">
      <c r="Q70" s="8">
        <v>45969</v>
      </c>
      <c r="R70" s="2" t="s">
        <v>31</v>
      </c>
      <c r="S70" s="56" t="s">
        <v>63</v>
      </c>
      <c r="T70" s="56"/>
      <c r="U70" s="56"/>
      <c r="V70" s="31">
        <v>5600</v>
      </c>
      <c r="W70" s="39"/>
      <c r="X70" s="2" t="s">
        <v>79</v>
      </c>
    </row>
    <row r="71" spans="17:24" x14ac:dyDescent="0.35">
      <c r="Q71" s="8">
        <v>45969</v>
      </c>
      <c r="R71" s="2" t="s">
        <v>71</v>
      </c>
      <c r="S71" s="56"/>
      <c r="T71" s="56"/>
      <c r="U71" s="56"/>
      <c r="V71" s="31"/>
      <c r="W71" s="39">
        <v>4355</v>
      </c>
      <c r="X71" s="2" t="s">
        <v>79</v>
      </c>
    </row>
    <row r="72" spans="17:24" x14ac:dyDescent="0.35">
      <c r="Q72" s="8">
        <v>45969</v>
      </c>
      <c r="R72" s="2" t="s">
        <v>31</v>
      </c>
      <c r="S72" s="56"/>
      <c r="T72" s="56"/>
      <c r="U72" s="56"/>
      <c r="V72" s="31">
        <v>5000</v>
      </c>
      <c r="W72" s="39"/>
      <c r="X72" s="2" t="s">
        <v>79</v>
      </c>
    </row>
    <row r="73" spans="17:24" x14ac:dyDescent="0.35">
      <c r="Q73" s="8">
        <v>45969</v>
      </c>
      <c r="R73" s="2" t="s">
        <v>31</v>
      </c>
      <c r="S73" s="56"/>
      <c r="T73" s="56"/>
      <c r="U73" s="56"/>
      <c r="V73" s="31">
        <v>4000</v>
      </c>
      <c r="W73" s="39"/>
      <c r="X73" s="2" t="s">
        <v>79</v>
      </c>
    </row>
    <row r="74" spans="17:24" x14ac:dyDescent="0.35">
      <c r="Q74" s="8">
        <v>45969</v>
      </c>
      <c r="R74" s="2" t="s">
        <v>31</v>
      </c>
      <c r="S74" s="56"/>
      <c r="T74" s="56"/>
      <c r="U74" s="56"/>
      <c r="V74" s="31">
        <v>3359</v>
      </c>
      <c r="W74" s="39"/>
      <c r="X74" s="2" t="s">
        <v>79</v>
      </c>
    </row>
    <row r="75" spans="17:24" x14ac:dyDescent="0.35">
      <c r="Q75" s="8">
        <v>45969</v>
      </c>
      <c r="R75" s="2" t="s">
        <v>31</v>
      </c>
      <c r="S75" s="56"/>
      <c r="T75" s="56"/>
      <c r="U75" s="56"/>
      <c r="V75" s="31">
        <v>6500</v>
      </c>
      <c r="W75" s="39"/>
      <c r="X75" s="2" t="s">
        <v>79</v>
      </c>
    </row>
    <row r="76" spans="17:24" x14ac:dyDescent="0.35">
      <c r="Q76" s="8">
        <v>45969</v>
      </c>
      <c r="R76" s="2" t="s">
        <v>68</v>
      </c>
      <c r="S76" s="56"/>
      <c r="T76" s="56"/>
      <c r="U76" s="56"/>
      <c r="V76" s="31">
        <v>4900</v>
      </c>
      <c r="W76" s="39"/>
      <c r="X76" s="2" t="s">
        <v>79</v>
      </c>
    </row>
    <row r="77" spans="17:24" x14ac:dyDescent="0.35">
      <c r="Q77" s="8">
        <v>45969</v>
      </c>
      <c r="R77" s="2" t="s">
        <v>31</v>
      </c>
      <c r="S77" s="56"/>
      <c r="T77" s="56"/>
      <c r="U77" s="56"/>
      <c r="V77" s="31">
        <v>7000</v>
      </c>
      <c r="W77" s="39"/>
      <c r="X77" s="2" t="s">
        <v>79</v>
      </c>
    </row>
    <row r="78" spans="17:24" x14ac:dyDescent="0.35">
      <c r="Q78" s="8">
        <v>45969</v>
      </c>
      <c r="R78" s="2" t="s">
        <v>68</v>
      </c>
      <c r="S78" s="56" t="s">
        <v>4</v>
      </c>
      <c r="T78" s="56"/>
      <c r="U78" s="56"/>
      <c r="V78" s="31">
        <v>1580</v>
      </c>
      <c r="W78" s="39"/>
      <c r="X78" s="2" t="s">
        <v>79</v>
      </c>
    </row>
    <row r="79" spans="17:24" x14ac:dyDescent="0.35">
      <c r="Q79" s="8">
        <v>45969</v>
      </c>
      <c r="R79" s="2" t="s">
        <v>68</v>
      </c>
      <c r="S79" s="56" t="s">
        <v>4</v>
      </c>
      <c r="T79" s="56"/>
      <c r="U79" s="56"/>
      <c r="V79" s="31">
        <v>5581</v>
      </c>
      <c r="W79" s="39"/>
      <c r="X79" s="2" t="s">
        <v>79</v>
      </c>
    </row>
    <row r="80" spans="17:24" x14ac:dyDescent="0.35">
      <c r="Q80" s="8">
        <v>45969</v>
      </c>
      <c r="R80" s="2" t="s">
        <v>31</v>
      </c>
      <c r="S80" s="56" t="s">
        <v>63</v>
      </c>
      <c r="T80" s="56"/>
      <c r="U80" s="56"/>
      <c r="V80" s="31">
        <v>5600</v>
      </c>
      <c r="W80" s="39"/>
      <c r="X80" s="2" t="s">
        <v>79</v>
      </c>
    </row>
    <row r="81" spans="17:24" x14ac:dyDescent="0.35">
      <c r="Q81" s="8">
        <v>45969</v>
      </c>
      <c r="R81" s="2" t="s">
        <v>68</v>
      </c>
      <c r="S81" s="56" t="s">
        <v>4</v>
      </c>
      <c r="T81" s="56"/>
      <c r="U81" s="56"/>
      <c r="V81" s="31">
        <v>1580</v>
      </c>
      <c r="W81" s="39"/>
      <c r="X81" s="2" t="s">
        <v>79</v>
      </c>
    </row>
    <row r="82" spans="17:24" x14ac:dyDescent="0.35">
      <c r="Q82" s="8">
        <v>45969</v>
      </c>
      <c r="R82" s="2" t="s">
        <v>68</v>
      </c>
      <c r="S82" s="56" t="s">
        <v>4</v>
      </c>
      <c r="T82" s="56"/>
      <c r="U82" s="56"/>
      <c r="V82" s="31">
        <v>5000</v>
      </c>
      <c r="W82" s="39"/>
      <c r="X82" s="2" t="s">
        <v>79</v>
      </c>
    </row>
    <row r="83" spans="17:24" x14ac:dyDescent="0.35">
      <c r="Q83" s="8">
        <v>45969</v>
      </c>
      <c r="R83" s="2" t="s">
        <v>22</v>
      </c>
      <c r="S83" s="56" t="s">
        <v>24</v>
      </c>
      <c r="T83" s="56"/>
      <c r="U83" s="56"/>
      <c r="V83" s="31">
        <v>7863.79</v>
      </c>
      <c r="W83" s="39"/>
      <c r="X83" s="2" t="s">
        <v>20</v>
      </c>
    </row>
    <row r="84" spans="17:24" x14ac:dyDescent="0.35">
      <c r="Q84" s="8">
        <v>45970</v>
      </c>
      <c r="R84" s="2" t="s">
        <v>76</v>
      </c>
      <c r="S84" s="56" t="s">
        <v>0</v>
      </c>
      <c r="T84" s="56"/>
      <c r="U84" s="56"/>
      <c r="V84" s="31">
        <v>55000</v>
      </c>
      <c r="W84" s="39"/>
      <c r="X84" s="2" t="s">
        <v>79</v>
      </c>
    </row>
    <row r="85" spans="17:24" x14ac:dyDescent="0.35">
      <c r="Q85" s="8">
        <v>45970</v>
      </c>
      <c r="R85" s="2" t="s">
        <v>31</v>
      </c>
      <c r="S85" s="56"/>
      <c r="T85" s="56"/>
      <c r="U85" s="56"/>
      <c r="V85" s="31">
        <v>5700</v>
      </c>
      <c r="W85" s="39"/>
      <c r="X85" s="2" t="s">
        <v>79</v>
      </c>
    </row>
    <row r="86" spans="17:24" x14ac:dyDescent="0.35">
      <c r="Q86" s="8">
        <v>45970</v>
      </c>
      <c r="R86" s="2" t="s">
        <v>31</v>
      </c>
      <c r="S86" s="56"/>
      <c r="T86" s="56"/>
      <c r="U86" s="56"/>
      <c r="V86" s="31">
        <v>10738.8</v>
      </c>
      <c r="W86" s="39"/>
      <c r="X86" s="2" t="s">
        <v>79</v>
      </c>
    </row>
    <row r="87" spans="17:24" x14ac:dyDescent="0.35">
      <c r="Q87" s="8">
        <v>45970</v>
      </c>
      <c r="R87" s="2" t="s">
        <v>31</v>
      </c>
      <c r="S87" s="56"/>
      <c r="T87" s="56"/>
      <c r="U87" s="56"/>
      <c r="V87" s="31">
        <v>3000</v>
      </c>
      <c r="W87" s="39"/>
      <c r="X87" s="2" t="s">
        <v>79</v>
      </c>
    </row>
    <row r="88" spans="17:24" x14ac:dyDescent="0.35">
      <c r="Q88" s="81">
        <v>45970</v>
      </c>
      <c r="R88" s="2" t="s">
        <v>71</v>
      </c>
      <c r="S88" s="56" t="s">
        <v>48</v>
      </c>
      <c r="T88" s="56"/>
      <c r="U88" s="56"/>
      <c r="V88" s="31"/>
      <c r="W88" s="39">
        <v>83.41</v>
      </c>
      <c r="X88" s="2" t="s">
        <v>20</v>
      </c>
    </row>
    <row r="89" spans="17:24" x14ac:dyDescent="0.35">
      <c r="Q89" s="8">
        <v>45971</v>
      </c>
      <c r="R89" s="2" t="s">
        <v>31</v>
      </c>
      <c r="S89" s="56" t="s">
        <v>82</v>
      </c>
      <c r="T89" s="56"/>
      <c r="U89" s="56"/>
      <c r="V89" s="31">
        <v>12400</v>
      </c>
      <c r="W89" s="39"/>
      <c r="X89" s="2" t="s">
        <v>79</v>
      </c>
    </row>
    <row r="90" spans="17:24" x14ac:dyDescent="0.35">
      <c r="Q90" s="8">
        <v>45971</v>
      </c>
      <c r="R90" s="2" t="s">
        <v>3</v>
      </c>
      <c r="S90" s="56" t="s">
        <v>72</v>
      </c>
      <c r="T90" s="56"/>
      <c r="U90" s="56"/>
      <c r="V90" s="31">
        <v>2000</v>
      </c>
      <c r="W90" s="39"/>
      <c r="X90" s="2" t="s">
        <v>79</v>
      </c>
    </row>
    <row r="91" spans="17:24" x14ac:dyDescent="0.35">
      <c r="Q91" s="8">
        <v>45971</v>
      </c>
      <c r="R91" s="2" t="s">
        <v>68</v>
      </c>
      <c r="S91" s="56" t="s">
        <v>4</v>
      </c>
      <c r="T91" s="56"/>
      <c r="U91" s="56"/>
      <c r="V91" s="31">
        <v>2862</v>
      </c>
      <c r="W91" s="39"/>
      <c r="X91" s="2" t="s">
        <v>79</v>
      </c>
    </row>
    <row r="92" spans="17:24" x14ac:dyDescent="0.35">
      <c r="Q92" s="8">
        <v>45971</v>
      </c>
      <c r="R92" s="2" t="s">
        <v>67</v>
      </c>
      <c r="S92" s="56" t="s">
        <v>4</v>
      </c>
      <c r="T92" s="56"/>
      <c r="U92" s="56"/>
      <c r="V92" s="31">
        <v>2500</v>
      </c>
      <c r="W92" s="39"/>
      <c r="X92" s="2" t="s">
        <v>79</v>
      </c>
    </row>
    <row r="93" spans="17:24" x14ac:dyDescent="0.35">
      <c r="Q93" s="8">
        <v>45971</v>
      </c>
      <c r="R93" s="2" t="s">
        <v>31</v>
      </c>
      <c r="S93" s="56"/>
      <c r="T93" s="56"/>
      <c r="U93" s="56"/>
      <c r="V93" s="31">
        <v>500</v>
      </c>
      <c r="W93" s="39"/>
      <c r="X93" s="2" t="s">
        <v>79</v>
      </c>
    </row>
    <row r="94" spans="17:24" x14ac:dyDescent="0.35">
      <c r="Q94" s="81">
        <v>45971</v>
      </c>
      <c r="R94" s="2" t="s">
        <v>31</v>
      </c>
      <c r="S94" s="56"/>
      <c r="T94" s="56"/>
      <c r="U94" s="56"/>
      <c r="V94" s="31">
        <v>3765</v>
      </c>
      <c r="W94" s="39"/>
      <c r="X94" s="2" t="s">
        <v>20</v>
      </c>
    </row>
    <row r="95" spans="17:24" x14ac:dyDescent="0.35">
      <c r="Q95" s="81">
        <v>45971</v>
      </c>
      <c r="R95" s="2" t="s">
        <v>71</v>
      </c>
      <c r="S95" s="56" t="s">
        <v>48</v>
      </c>
      <c r="T95" s="56"/>
      <c r="U95" s="56"/>
      <c r="V95" s="31"/>
      <c r="W95" s="39">
        <v>310.48</v>
      </c>
      <c r="X95" s="2" t="s">
        <v>20</v>
      </c>
    </row>
    <row r="96" spans="17:24" x14ac:dyDescent="0.35">
      <c r="Q96" s="81">
        <v>45971</v>
      </c>
      <c r="R96" s="2" t="s">
        <v>22</v>
      </c>
      <c r="S96" s="56" t="s">
        <v>104</v>
      </c>
      <c r="T96" s="56"/>
      <c r="U96" s="56"/>
      <c r="V96" s="31">
        <v>164971.32</v>
      </c>
      <c r="W96" s="39"/>
      <c r="X96" s="2" t="s">
        <v>20</v>
      </c>
    </row>
    <row r="97" spans="17:24" x14ac:dyDescent="0.35">
      <c r="Q97" s="81">
        <v>45971</v>
      </c>
      <c r="R97" s="2" t="s">
        <v>71</v>
      </c>
      <c r="S97" s="56" t="s">
        <v>48</v>
      </c>
      <c r="T97" s="56"/>
      <c r="U97" s="56"/>
      <c r="V97" s="31"/>
      <c r="W97" s="39">
        <v>8867.65</v>
      </c>
      <c r="X97" s="2" t="s">
        <v>20</v>
      </c>
    </row>
    <row r="98" spans="17:24" x14ac:dyDescent="0.35">
      <c r="Q98" s="81">
        <v>45971</v>
      </c>
      <c r="R98" s="2" t="s">
        <v>71</v>
      </c>
      <c r="S98" s="56" t="s">
        <v>106</v>
      </c>
      <c r="T98" s="56"/>
      <c r="U98" s="56"/>
      <c r="V98" s="31"/>
      <c r="W98" s="39">
        <v>400000</v>
      </c>
      <c r="X98" s="2" t="s">
        <v>20</v>
      </c>
    </row>
    <row r="99" spans="17:24" x14ac:dyDescent="0.35">
      <c r="Q99" s="81">
        <v>45971</v>
      </c>
      <c r="R99" s="2" t="s">
        <v>71</v>
      </c>
      <c r="S99" s="56" t="s">
        <v>48</v>
      </c>
      <c r="T99" s="56"/>
      <c r="U99" s="56"/>
      <c r="V99" s="31"/>
      <c r="W99" s="39">
        <v>83.49</v>
      </c>
      <c r="X99" s="2" t="s">
        <v>20</v>
      </c>
    </row>
    <row r="100" spans="17:24" x14ac:dyDescent="0.35">
      <c r="Q100" s="81">
        <v>45971</v>
      </c>
      <c r="R100" s="2" t="s">
        <v>10</v>
      </c>
      <c r="S100" s="84" t="s">
        <v>13</v>
      </c>
      <c r="T100" s="56"/>
      <c r="U100" s="56"/>
      <c r="V100" s="31">
        <v>30800</v>
      </c>
      <c r="W100" s="39"/>
      <c r="X100" s="2" t="s">
        <v>79</v>
      </c>
    </row>
    <row r="101" spans="17:24" x14ac:dyDescent="0.35">
      <c r="Q101" s="81">
        <v>45971</v>
      </c>
      <c r="R101" s="2" t="s">
        <v>10</v>
      </c>
      <c r="S101" s="84" t="s">
        <v>102</v>
      </c>
      <c r="T101" s="56"/>
      <c r="U101" s="56"/>
      <c r="V101" s="31">
        <v>18300</v>
      </c>
      <c r="W101" s="39"/>
      <c r="X101" s="2" t="s">
        <v>79</v>
      </c>
    </row>
    <row r="102" spans="17:24" x14ac:dyDescent="0.35">
      <c r="Q102" s="81">
        <v>45971</v>
      </c>
      <c r="R102" s="2" t="s">
        <v>10</v>
      </c>
      <c r="S102" s="84" t="s">
        <v>103</v>
      </c>
      <c r="T102" s="56"/>
      <c r="U102" s="56"/>
      <c r="V102" s="31">
        <v>6000</v>
      </c>
      <c r="W102" s="39"/>
      <c r="X102" s="2" t="s">
        <v>79</v>
      </c>
    </row>
    <row r="103" spans="17:24" x14ac:dyDescent="0.35">
      <c r="Q103" s="81">
        <v>45971</v>
      </c>
      <c r="R103" s="2" t="s">
        <v>9</v>
      </c>
      <c r="S103" s="84"/>
      <c r="T103" s="56"/>
      <c r="U103" s="56"/>
      <c r="V103" s="31">
        <v>438160</v>
      </c>
      <c r="W103" s="39"/>
      <c r="X103" s="2" t="s">
        <v>79</v>
      </c>
    </row>
    <row r="104" spans="17:24" x14ac:dyDescent="0.35">
      <c r="Q104" s="8">
        <v>45972</v>
      </c>
      <c r="R104" s="2" t="s">
        <v>117</v>
      </c>
      <c r="S104" s="56"/>
      <c r="T104" s="56"/>
      <c r="U104" s="56"/>
      <c r="V104" s="31">
        <v>2500</v>
      </c>
      <c r="W104" s="39"/>
      <c r="X104" s="2" t="s">
        <v>79</v>
      </c>
    </row>
    <row r="105" spans="17:24" x14ac:dyDescent="0.35">
      <c r="Q105" s="8">
        <v>45972</v>
      </c>
      <c r="R105" s="2" t="s">
        <v>67</v>
      </c>
      <c r="S105" s="56" t="s">
        <v>4</v>
      </c>
      <c r="T105" s="56"/>
      <c r="U105" s="56"/>
      <c r="V105" s="31">
        <v>11500</v>
      </c>
      <c r="W105" s="39"/>
      <c r="X105" s="2" t="s">
        <v>79</v>
      </c>
    </row>
    <row r="106" spans="17:24" x14ac:dyDescent="0.35">
      <c r="Q106" s="8">
        <v>45972</v>
      </c>
      <c r="R106" s="2" t="s">
        <v>32</v>
      </c>
      <c r="S106" s="56"/>
      <c r="T106" s="56"/>
      <c r="U106" s="56"/>
      <c r="V106" s="31"/>
      <c r="W106" s="39">
        <v>15000</v>
      </c>
      <c r="X106" s="2" t="s">
        <v>79</v>
      </c>
    </row>
    <row r="107" spans="17:24" x14ac:dyDescent="0.35">
      <c r="Q107" s="81">
        <v>45972</v>
      </c>
      <c r="R107" s="2" t="s">
        <v>31</v>
      </c>
      <c r="S107" s="56"/>
      <c r="T107" s="56"/>
      <c r="U107" s="56"/>
      <c r="V107" s="31">
        <v>5100</v>
      </c>
      <c r="W107" s="39"/>
      <c r="X107" s="2" t="s">
        <v>20</v>
      </c>
    </row>
    <row r="108" spans="17:24" x14ac:dyDescent="0.35">
      <c r="Q108" s="81">
        <v>45972</v>
      </c>
      <c r="R108" s="2" t="s">
        <v>31</v>
      </c>
      <c r="S108" s="56"/>
      <c r="T108" s="56"/>
      <c r="U108" s="56"/>
      <c r="V108" s="31">
        <v>3400</v>
      </c>
      <c r="W108" s="39"/>
      <c r="X108" s="2" t="s">
        <v>20</v>
      </c>
    </row>
    <row r="109" spans="17:24" x14ac:dyDescent="0.35">
      <c r="Q109" s="81">
        <v>45972</v>
      </c>
      <c r="R109" s="2" t="s">
        <v>31</v>
      </c>
      <c r="S109" s="56"/>
      <c r="T109" s="56"/>
      <c r="U109" s="56"/>
      <c r="V109" s="31">
        <v>27088</v>
      </c>
      <c r="W109" s="39"/>
      <c r="X109" s="2" t="s">
        <v>20</v>
      </c>
    </row>
    <row r="110" spans="17:24" x14ac:dyDescent="0.35">
      <c r="Q110" s="81">
        <v>45972</v>
      </c>
      <c r="R110" s="2" t="s">
        <v>31</v>
      </c>
      <c r="S110" s="56"/>
      <c r="T110" s="56"/>
      <c r="U110" s="56"/>
      <c r="V110" s="31">
        <v>3000</v>
      </c>
      <c r="W110" s="39"/>
      <c r="X110" s="2" t="s">
        <v>20</v>
      </c>
    </row>
    <row r="111" spans="17:24" x14ac:dyDescent="0.35">
      <c r="Q111" s="81">
        <v>45972</v>
      </c>
      <c r="R111" s="2" t="s">
        <v>31</v>
      </c>
      <c r="S111" s="56"/>
      <c r="T111" s="56"/>
      <c r="U111" s="56"/>
      <c r="V111" s="31">
        <v>5700</v>
      </c>
      <c r="W111" s="39"/>
      <c r="X111" s="2" t="s">
        <v>20</v>
      </c>
    </row>
    <row r="112" spans="17:24" x14ac:dyDescent="0.35">
      <c r="Q112" s="81">
        <v>45972</v>
      </c>
      <c r="R112" s="2" t="s">
        <v>32</v>
      </c>
      <c r="S112" s="56"/>
      <c r="T112" s="56"/>
      <c r="U112" s="56"/>
      <c r="V112" s="31">
        <v>15000</v>
      </c>
      <c r="W112" s="39"/>
      <c r="X112" s="2" t="s">
        <v>20</v>
      </c>
    </row>
    <row r="113" spans="17:24" x14ac:dyDescent="0.35">
      <c r="Q113" s="8">
        <v>45973</v>
      </c>
      <c r="R113" s="2" t="s">
        <v>68</v>
      </c>
      <c r="S113" s="56" t="s">
        <v>4</v>
      </c>
      <c r="T113" s="56"/>
      <c r="U113" s="56"/>
      <c r="V113" s="31">
        <f>1082.1+451.01</f>
        <v>1533.11</v>
      </c>
      <c r="W113" s="39"/>
      <c r="X113" s="2" t="s">
        <v>79</v>
      </c>
    </row>
    <row r="114" spans="17:24" x14ac:dyDescent="0.35">
      <c r="Q114" s="81">
        <v>45973</v>
      </c>
      <c r="R114" s="2" t="s">
        <v>3</v>
      </c>
      <c r="S114" s="56" t="s">
        <v>72</v>
      </c>
      <c r="T114" s="56"/>
      <c r="U114" s="56"/>
      <c r="V114" s="31">
        <v>17438.72</v>
      </c>
      <c r="W114" s="39"/>
      <c r="X114" s="2" t="s">
        <v>20</v>
      </c>
    </row>
    <row r="115" spans="17:24" x14ac:dyDescent="0.35">
      <c r="Q115" s="81">
        <v>45973</v>
      </c>
      <c r="R115" s="2" t="s">
        <v>31</v>
      </c>
      <c r="S115" s="56"/>
      <c r="T115" s="56"/>
      <c r="U115" s="56"/>
      <c r="V115" s="31">
        <v>10000</v>
      </c>
      <c r="W115" s="39"/>
      <c r="X115" s="2" t="s">
        <v>20</v>
      </c>
    </row>
    <row r="116" spans="17:24" x14ac:dyDescent="0.35">
      <c r="Q116" s="81">
        <v>45973</v>
      </c>
      <c r="R116" s="2" t="s">
        <v>68</v>
      </c>
      <c r="S116" s="56" t="s">
        <v>51</v>
      </c>
      <c r="T116" s="56"/>
      <c r="U116" s="56"/>
      <c r="V116" s="31">
        <v>12000</v>
      </c>
      <c r="W116" s="39"/>
      <c r="X116" s="2" t="s">
        <v>20</v>
      </c>
    </row>
    <row r="117" spans="17:24" x14ac:dyDescent="0.35">
      <c r="Q117" s="81">
        <v>45973</v>
      </c>
      <c r="R117" s="2" t="s">
        <v>31</v>
      </c>
      <c r="S117" s="56" t="s">
        <v>63</v>
      </c>
      <c r="T117" s="56"/>
      <c r="U117" s="56"/>
      <c r="V117" s="31">
        <v>3300</v>
      </c>
      <c r="W117" s="39"/>
      <c r="X117" s="2" t="s">
        <v>20</v>
      </c>
    </row>
    <row r="118" spans="17:24" x14ac:dyDescent="0.35">
      <c r="Q118" s="81">
        <v>45973</v>
      </c>
      <c r="R118" s="2" t="s">
        <v>31</v>
      </c>
      <c r="S118" s="56"/>
      <c r="T118" s="56"/>
      <c r="U118" s="56"/>
      <c r="V118" s="31">
        <v>4000</v>
      </c>
      <c r="W118" s="39"/>
      <c r="X118" s="2" t="s">
        <v>20</v>
      </c>
    </row>
    <row r="119" spans="17:24" x14ac:dyDescent="0.35">
      <c r="Q119" s="81">
        <v>45973</v>
      </c>
      <c r="R119" s="2" t="s">
        <v>31</v>
      </c>
      <c r="S119" s="56"/>
      <c r="T119" s="56"/>
      <c r="U119" s="56"/>
      <c r="V119" s="31">
        <v>3800</v>
      </c>
      <c r="W119" s="39"/>
      <c r="X119" s="2" t="s">
        <v>20</v>
      </c>
    </row>
    <row r="120" spans="17:24" x14ac:dyDescent="0.35">
      <c r="Q120" s="81">
        <v>45973</v>
      </c>
      <c r="R120" s="2" t="s">
        <v>31</v>
      </c>
      <c r="S120" s="56"/>
      <c r="T120" s="56"/>
      <c r="U120" s="56"/>
      <c r="V120" s="31">
        <v>4800</v>
      </c>
      <c r="W120" s="39"/>
      <c r="X120" s="2" t="s">
        <v>20</v>
      </c>
    </row>
    <row r="121" spans="17:24" x14ac:dyDescent="0.35">
      <c r="Q121" s="81">
        <v>45973</v>
      </c>
      <c r="R121" s="2" t="s">
        <v>71</v>
      </c>
      <c r="S121" s="56" t="s">
        <v>48</v>
      </c>
      <c r="T121" s="56"/>
      <c r="U121" s="56"/>
      <c r="V121" s="31"/>
      <c r="W121" s="39">
        <v>252.03</v>
      </c>
      <c r="X121" s="2" t="s">
        <v>20</v>
      </c>
    </row>
    <row r="122" spans="17:24" x14ac:dyDescent="0.35">
      <c r="Q122" s="81">
        <v>45974</v>
      </c>
      <c r="R122" s="2" t="s">
        <v>71</v>
      </c>
      <c r="S122" s="56" t="s">
        <v>48</v>
      </c>
      <c r="T122" s="56"/>
      <c r="U122" s="56"/>
      <c r="V122" s="31"/>
      <c r="W122" s="39">
        <v>466.99</v>
      </c>
      <c r="X122" s="2" t="s">
        <v>20</v>
      </c>
    </row>
    <row r="123" spans="17:24" x14ac:dyDescent="0.35">
      <c r="Q123" s="81">
        <v>45974</v>
      </c>
      <c r="R123" s="2" t="s">
        <v>71</v>
      </c>
      <c r="S123" s="56" t="s">
        <v>48</v>
      </c>
      <c r="T123" s="56"/>
      <c r="U123" s="56"/>
      <c r="V123" s="31"/>
      <c r="W123" s="39">
        <v>3619.75</v>
      </c>
      <c r="X123" s="2" t="s">
        <v>20</v>
      </c>
    </row>
    <row r="124" spans="17:24" x14ac:dyDescent="0.35">
      <c r="Q124" s="81">
        <v>45974</v>
      </c>
      <c r="R124" s="2" t="s">
        <v>71</v>
      </c>
      <c r="S124" s="56" t="s">
        <v>106</v>
      </c>
      <c r="T124" s="56"/>
      <c r="U124" s="56"/>
      <c r="V124" s="31"/>
      <c r="W124" s="39">
        <v>108000</v>
      </c>
      <c r="X124" s="2" t="s">
        <v>20</v>
      </c>
    </row>
    <row r="125" spans="17:24" x14ac:dyDescent="0.35">
      <c r="Q125" s="81">
        <v>45974</v>
      </c>
      <c r="R125" s="2" t="s">
        <v>31</v>
      </c>
      <c r="S125" s="56"/>
      <c r="T125" s="56"/>
      <c r="U125" s="56"/>
      <c r="V125" s="31">
        <v>10000</v>
      </c>
      <c r="W125" s="39"/>
      <c r="X125" s="2" t="s">
        <v>20</v>
      </c>
    </row>
    <row r="126" spans="17:24" x14ac:dyDescent="0.35">
      <c r="Q126" s="81">
        <v>45974</v>
      </c>
      <c r="R126" s="2" t="s">
        <v>31</v>
      </c>
      <c r="S126" s="56" t="s">
        <v>63</v>
      </c>
      <c r="T126" s="56"/>
      <c r="U126" s="56"/>
      <c r="V126" s="31">
        <v>2000</v>
      </c>
      <c r="W126" s="39"/>
      <c r="X126" s="2" t="s">
        <v>20</v>
      </c>
    </row>
    <row r="127" spans="17:24" x14ac:dyDescent="0.35">
      <c r="Q127" s="81">
        <v>45974</v>
      </c>
      <c r="R127" s="2" t="s">
        <v>71</v>
      </c>
      <c r="S127" s="56" t="s">
        <v>48</v>
      </c>
      <c r="T127" s="56"/>
      <c r="U127" s="56"/>
      <c r="V127" s="31"/>
      <c r="W127" s="39">
        <v>6032.94</v>
      </c>
      <c r="X127" s="2" t="s">
        <v>20</v>
      </c>
    </row>
    <row r="128" spans="17:24" x14ac:dyDescent="0.35">
      <c r="Q128" s="81">
        <v>45974</v>
      </c>
      <c r="R128" s="2" t="s">
        <v>71</v>
      </c>
      <c r="S128" s="56" t="s">
        <v>106</v>
      </c>
      <c r="T128" s="56"/>
      <c r="U128" s="56"/>
      <c r="V128" s="31"/>
      <c r="W128" s="39">
        <v>180000</v>
      </c>
      <c r="X128" s="2" t="s">
        <v>20</v>
      </c>
    </row>
    <row r="129" spans="17:24" x14ac:dyDescent="0.35">
      <c r="Q129" s="81">
        <v>45974</v>
      </c>
      <c r="R129" s="2" t="s">
        <v>71</v>
      </c>
      <c r="S129" s="56" t="s">
        <v>48</v>
      </c>
      <c r="T129" s="56"/>
      <c r="U129" s="56"/>
      <c r="V129" s="31"/>
      <c r="W129" s="39">
        <v>200.72</v>
      </c>
      <c r="X129" s="2" t="s">
        <v>20</v>
      </c>
    </row>
    <row r="130" spans="17:24" x14ac:dyDescent="0.35">
      <c r="Q130" s="8">
        <v>45975</v>
      </c>
      <c r="R130" s="2" t="s">
        <v>31</v>
      </c>
      <c r="S130" s="56" t="s">
        <v>63</v>
      </c>
      <c r="T130" s="56"/>
      <c r="U130" s="56"/>
      <c r="V130" s="31">
        <v>23400</v>
      </c>
      <c r="W130" s="39"/>
      <c r="X130" s="2" t="s">
        <v>79</v>
      </c>
    </row>
    <row r="131" spans="17:24" x14ac:dyDescent="0.35">
      <c r="Q131" s="8">
        <v>45975</v>
      </c>
      <c r="R131" s="2" t="s">
        <v>32</v>
      </c>
      <c r="S131" s="56"/>
      <c r="T131" s="56"/>
      <c r="U131" s="56"/>
      <c r="V131" s="31"/>
      <c r="W131" s="39">
        <v>30000</v>
      </c>
      <c r="X131" s="2" t="s">
        <v>79</v>
      </c>
    </row>
    <row r="132" spans="17:24" x14ac:dyDescent="0.35">
      <c r="Q132" s="8">
        <v>45975</v>
      </c>
      <c r="R132" s="2" t="s">
        <v>71</v>
      </c>
      <c r="S132" s="56"/>
      <c r="T132" s="56"/>
      <c r="U132" s="56"/>
      <c r="V132" s="31"/>
      <c r="W132" s="39">
        <v>632.20000000000005</v>
      </c>
      <c r="X132" s="2" t="s">
        <v>79</v>
      </c>
    </row>
    <row r="133" spans="17:24" x14ac:dyDescent="0.35">
      <c r="Q133" s="8">
        <v>45975</v>
      </c>
      <c r="R133" s="2" t="s">
        <v>31</v>
      </c>
      <c r="S133" s="56"/>
      <c r="T133" s="56"/>
      <c r="U133" s="56"/>
      <c r="V133" s="31">
        <v>20000</v>
      </c>
      <c r="W133" s="39"/>
      <c r="X133" s="2" t="s">
        <v>20</v>
      </c>
    </row>
    <row r="134" spans="17:24" x14ac:dyDescent="0.35">
      <c r="Q134" s="8">
        <v>45975</v>
      </c>
      <c r="R134" s="2" t="s">
        <v>31</v>
      </c>
      <c r="S134" s="56" t="s">
        <v>63</v>
      </c>
      <c r="T134" s="56"/>
      <c r="U134" s="56"/>
      <c r="V134" s="31">
        <v>20500</v>
      </c>
      <c r="W134" s="39"/>
      <c r="X134" s="2" t="s">
        <v>20</v>
      </c>
    </row>
    <row r="135" spans="17:24" x14ac:dyDescent="0.35">
      <c r="Q135" s="8">
        <v>45975</v>
      </c>
      <c r="R135" s="2" t="s">
        <v>32</v>
      </c>
      <c r="S135" s="56"/>
      <c r="T135" s="56"/>
      <c r="U135" s="56"/>
      <c r="V135" s="31"/>
      <c r="W135" s="39">
        <v>30000</v>
      </c>
      <c r="X135" s="2" t="s">
        <v>20</v>
      </c>
    </row>
    <row r="136" spans="17:24" x14ac:dyDescent="0.35">
      <c r="Q136" s="81">
        <v>45975</v>
      </c>
      <c r="R136" s="2" t="s">
        <v>31</v>
      </c>
      <c r="S136" s="56" t="s">
        <v>63</v>
      </c>
      <c r="T136" s="56"/>
      <c r="U136" s="56"/>
      <c r="V136" s="31">
        <v>22122</v>
      </c>
      <c r="W136" s="39"/>
      <c r="X136" s="2" t="s">
        <v>20</v>
      </c>
    </row>
    <row r="137" spans="17:24" x14ac:dyDescent="0.35">
      <c r="Q137" s="8">
        <v>45976</v>
      </c>
      <c r="R137" s="2" t="s">
        <v>68</v>
      </c>
      <c r="S137" s="56" t="s">
        <v>4</v>
      </c>
      <c r="T137" s="56"/>
      <c r="U137" s="56"/>
      <c r="V137" s="31">
        <f>1082.1*2</f>
        <v>2164.1999999999998</v>
      </c>
      <c r="W137" s="39"/>
      <c r="X137" s="2" t="s">
        <v>79</v>
      </c>
    </row>
    <row r="138" spans="17:24" x14ac:dyDescent="0.35">
      <c r="Q138" s="8">
        <v>45976</v>
      </c>
      <c r="R138" s="2" t="s">
        <v>32</v>
      </c>
      <c r="S138" s="56"/>
      <c r="T138" s="56"/>
      <c r="U138" s="56"/>
      <c r="V138" s="31"/>
      <c r="W138" s="39">
        <v>7944</v>
      </c>
      <c r="X138" s="2" t="s">
        <v>79</v>
      </c>
    </row>
    <row r="139" spans="17:24" x14ac:dyDescent="0.35">
      <c r="Q139" s="8">
        <v>45976</v>
      </c>
      <c r="R139" s="2" t="s">
        <v>68</v>
      </c>
      <c r="S139" s="56" t="s">
        <v>4</v>
      </c>
      <c r="T139" s="56"/>
      <c r="U139" s="56"/>
      <c r="V139" s="31">
        <f>1157*2</f>
        <v>2314</v>
      </c>
      <c r="W139" s="39"/>
      <c r="X139" s="2" t="s">
        <v>79</v>
      </c>
    </row>
    <row r="140" spans="17:24" x14ac:dyDescent="0.35">
      <c r="Q140" s="8">
        <v>45976</v>
      </c>
      <c r="R140" s="2" t="s">
        <v>68</v>
      </c>
      <c r="S140" s="56" t="s">
        <v>4</v>
      </c>
      <c r="T140" s="56"/>
      <c r="U140" s="56"/>
      <c r="V140" s="31">
        <v>3890</v>
      </c>
      <c r="W140" s="39"/>
      <c r="X140" s="2" t="s">
        <v>79</v>
      </c>
    </row>
    <row r="141" spans="17:24" x14ac:dyDescent="0.35">
      <c r="Q141" s="8">
        <v>45976</v>
      </c>
      <c r="R141" s="2" t="s">
        <v>68</v>
      </c>
      <c r="S141" s="56" t="s">
        <v>4</v>
      </c>
      <c r="T141" s="56"/>
      <c r="U141" s="56"/>
      <c r="V141" s="31">
        <f>541.13*2</f>
        <v>1082.26</v>
      </c>
      <c r="W141" s="39"/>
      <c r="X141" s="2" t="s">
        <v>79</v>
      </c>
    </row>
    <row r="142" spans="17:24" x14ac:dyDescent="0.35">
      <c r="Q142" s="8">
        <v>45976</v>
      </c>
      <c r="R142" s="2" t="s">
        <v>68</v>
      </c>
      <c r="S142" s="56" t="s">
        <v>4</v>
      </c>
      <c r="T142" s="56"/>
      <c r="U142" s="56"/>
      <c r="V142" s="31">
        <f>502.43*2</f>
        <v>1004.86</v>
      </c>
      <c r="W142" s="39"/>
      <c r="X142" s="2" t="s">
        <v>79</v>
      </c>
    </row>
    <row r="143" spans="17:24" x14ac:dyDescent="0.35">
      <c r="Q143" s="8">
        <v>45976</v>
      </c>
      <c r="R143" s="2" t="s">
        <v>68</v>
      </c>
      <c r="S143" s="56" t="s">
        <v>4</v>
      </c>
      <c r="T143" s="56"/>
      <c r="U143" s="56"/>
      <c r="V143" s="31">
        <f>1157*2</f>
        <v>2314</v>
      </c>
      <c r="W143" s="39"/>
      <c r="X143" s="2" t="s">
        <v>79</v>
      </c>
    </row>
    <row r="144" spans="17:24" x14ac:dyDescent="0.35">
      <c r="Q144" s="8">
        <v>45976</v>
      </c>
      <c r="R144" s="2" t="s">
        <v>31</v>
      </c>
      <c r="S144" s="56" t="s">
        <v>63</v>
      </c>
      <c r="T144" s="56"/>
      <c r="U144" s="56"/>
      <c r="V144" s="31">
        <f>20685+650</f>
        <v>21335</v>
      </c>
      <c r="W144" s="39"/>
      <c r="X144" s="2" t="s">
        <v>79</v>
      </c>
    </row>
    <row r="145" spans="17:24" x14ac:dyDescent="0.35">
      <c r="Q145" s="8">
        <v>45976</v>
      </c>
      <c r="R145" s="2" t="s">
        <v>32</v>
      </c>
      <c r="S145" s="56"/>
      <c r="T145" s="56"/>
      <c r="U145" s="56"/>
      <c r="V145" s="31"/>
      <c r="W145" s="39">
        <v>20000</v>
      </c>
      <c r="X145" s="2" t="s">
        <v>79</v>
      </c>
    </row>
    <row r="146" spans="17:24" x14ac:dyDescent="0.35">
      <c r="Q146" s="8">
        <v>45976</v>
      </c>
      <c r="R146" s="2" t="s">
        <v>31</v>
      </c>
      <c r="S146" s="56"/>
      <c r="T146" s="56"/>
      <c r="U146" s="56"/>
      <c r="V146" s="31">
        <v>11505</v>
      </c>
      <c r="W146" s="39"/>
      <c r="X146" s="2" t="s">
        <v>20</v>
      </c>
    </row>
    <row r="147" spans="17:24" x14ac:dyDescent="0.35">
      <c r="Q147" s="8">
        <v>45976</v>
      </c>
      <c r="R147" s="2" t="s">
        <v>32</v>
      </c>
      <c r="S147" s="56"/>
      <c r="T147" s="56"/>
      <c r="U147" s="56"/>
      <c r="V147" s="31">
        <v>7944</v>
      </c>
      <c r="W147" s="39"/>
      <c r="X147" s="2" t="s">
        <v>20</v>
      </c>
    </row>
    <row r="148" spans="17:24" x14ac:dyDescent="0.35">
      <c r="Q148" s="8">
        <v>45976</v>
      </c>
      <c r="R148" s="2" t="s">
        <v>31</v>
      </c>
      <c r="S148" s="56"/>
      <c r="T148" s="56"/>
      <c r="U148" s="56"/>
      <c r="V148" s="31">
        <v>13000</v>
      </c>
      <c r="W148" s="39"/>
      <c r="X148" s="2" t="s">
        <v>20</v>
      </c>
    </row>
    <row r="149" spans="17:24" x14ac:dyDescent="0.35">
      <c r="Q149" s="8">
        <v>45976</v>
      </c>
      <c r="R149" s="2" t="s">
        <v>31</v>
      </c>
      <c r="S149" s="56" t="s">
        <v>63</v>
      </c>
      <c r="T149" s="56"/>
      <c r="U149" s="56"/>
      <c r="V149" s="31">
        <v>8000</v>
      </c>
      <c r="W149" s="39"/>
      <c r="X149" s="2" t="s">
        <v>20</v>
      </c>
    </row>
    <row r="150" spans="17:24" x14ac:dyDescent="0.35">
      <c r="Q150" s="8">
        <v>45976</v>
      </c>
      <c r="R150" s="2" t="s">
        <v>31</v>
      </c>
      <c r="S150" s="56" t="s">
        <v>63</v>
      </c>
      <c r="T150" s="56"/>
      <c r="U150" s="56"/>
      <c r="V150" s="31">
        <v>35000</v>
      </c>
      <c r="W150" s="39"/>
      <c r="X150" s="2" t="s">
        <v>20</v>
      </c>
    </row>
    <row r="151" spans="17:24" x14ac:dyDescent="0.35">
      <c r="Q151" s="8">
        <v>45976</v>
      </c>
      <c r="R151" s="2" t="s">
        <v>31</v>
      </c>
      <c r="S151" s="56" t="s">
        <v>63</v>
      </c>
      <c r="T151" s="56"/>
      <c r="U151" s="56"/>
      <c r="V151" s="31">
        <v>7000</v>
      </c>
      <c r="W151" s="39"/>
      <c r="X151" s="2" t="s">
        <v>20</v>
      </c>
    </row>
    <row r="152" spans="17:24" x14ac:dyDescent="0.35">
      <c r="Q152" s="8">
        <v>45976</v>
      </c>
      <c r="R152" s="2" t="s">
        <v>31</v>
      </c>
      <c r="S152" s="56" t="s">
        <v>63</v>
      </c>
      <c r="T152" s="56"/>
      <c r="U152" s="56"/>
      <c r="V152" s="31">
        <v>22100</v>
      </c>
      <c r="W152" s="39"/>
      <c r="X152" s="2" t="s">
        <v>20</v>
      </c>
    </row>
    <row r="153" spans="17:24" x14ac:dyDescent="0.35">
      <c r="Q153" s="8">
        <v>45976</v>
      </c>
      <c r="R153" s="2" t="s">
        <v>31</v>
      </c>
      <c r="S153" s="56" t="s">
        <v>63</v>
      </c>
      <c r="T153" s="56"/>
      <c r="U153" s="56"/>
      <c r="V153" s="31">
        <v>500</v>
      </c>
      <c r="W153" s="39"/>
      <c r="X153" s="2" t="s">
        <v>20</v>
      </c>
    </row>
    <row r="154" spans="17:24" x14ac:dyDescent="0.35">
      <c r="Q154" s="8">
        <v>45976</v>
      </c>
      <c r="R154" s="2" t="s">
        <v>68</v>
      </c>
      <c r="S154" s="56" t="s">
        <v>4</v>
      </c>
      <c r="T154" s="56"/>
      <c r="U154" s="56"/>
      <c r="V154" s="31">
        <v>4000</v>
      </c>
      <c r="W154" s="39"/>
      <c r="X154" s="2" t="s">
        <v>20</v>
      </c>
    </row>
    <row r="155" spans="17:24" x14ac:dyDescent="0.35">
      <c r="Q155" s="8">
        <v>45976</v>
      </c>
      <c r="R155" s="2" t="s">
        <v>68</v>
      </c>
      <c r="S155" s="56" t="s">
        <v>4</v>
      </c>
      <c r="T155" s="56"/>
      <c r="U155" s="56"/>
      <c r="V155" s="31">
        <v>1500</v>
      </c>
      <c r="W155" s="39"/>
      <c r="X155" s="2" t="s">
        <v>20</v>
      </c>
    </row>
    <row r="156" spans="17:24" x14ac:dyDescent="0.35">
      <c r="Q156" s="8">
        <v>45976</v>
      </c>
      <c r="R156" s="2" t="s">
        <v>68</v>
      </c>
      <c r="S156" s="56" t="s">
        <v>4</v>
      </c>
      <c r="T156" s="56"/>
      <c r="U156" s="56"/>
      <c r="V156" s="31">
        <v>40000</v>
      </c>
      <c r="W156" s="39"/>
      <c r="X156" s="2" t="s">
        <v>20</v>
      </c>
    </row>
    <row r="157" spans="17:24" x14ac:dyDescent="0.35">
      <c r="Q157" s="8">
        <v>45976</v>
      </c>
      <c r="R157" s="2" t="s">
        <v>31</v>
      </c>
      <c r="S157" s="56" t="s">
        <v>63</v>
      </c>
      <c r="T157" s="56"/>
      <c r="U157" s="56"/>
      <c r="V157" s="31">
        <v>8200</v>
      </c>
      <c r="W157" s="39"/>
      <c r="X157" s="2" t="s">
        <v>20</v>
      </c>
    </row>
    <row r="158" spans="17:24" x14ac:dyDescent="0.35">
      <c r="Q158" s="8">
        <v>45976</v>
      </c>
      <c r="R158" s="2" t="s">
        <v>3</v>
      </c>
      <c r="S158" s="56" t="s">
        <v>72</v>
      </c>
      <c r="T158" s="56"/>
      <c r="U158" s="56"/>
      <c r="V158" s="31">
        <v>20798.5</v>
      </c>
      <c r="W158" s="39"/>
      <c r="X158" s="2" t="s">
        <v>20</v>
      </c>
    </row>
    <row r="159" spans="17:24" x14ac:dyDescent="0.35">
      <c r="Q159" s="8">
        <v>45976</v>
      </c>
      <c r="R159" s="2" t="s">
        <v>32</v>
      </c>
      <c r="S159" s="56"/>
      <c r="T159" s="56"/>
      <c r="U159" s="56"/>
      <c r="V159" s="31">
        <v>20000</v>
      </c>
      <c r="W159" s="39"/>
      <c r="X159" s="2" t="s">
        <v>20</v>
      </c>
    </row>
    <row r="160" spans="17:24" x14ac:dyDescent="0.35">
      <c r="Q160" s="8">
        <v>45976</v>
      </c>
      <c r="R160" s="2" t="s">
        <v>71</v>
      </c>
      <c r="S160" s="56" t="s">
        <v>48</v>
      </c>
      <c r="T160" s="56"/>
      <c r="U160" s="56"/>
      <c r="V160" s="31"/>
      <c r="W160" s="39">
        <v>367.18</v>
      </c>
      <c r="X160" s="2" t="s">
        <v>20</v>
      </c>
    </row>
    <row r="161" spans="17:24" x14ac:dyDescent="0.35">
      <c r="Q161" s="8">
        <v>45977</v>
      </c>
      <c r="R161" s="2" t="s">
        <v>68</v>
      </c>
      <c r="S161" s="56" t="s">
        <v>4</v>
      </c>
      <c r="T161" s="56"/>
      <c r="U161" s="56"/>
      <c r="V161" s="31">
        <f>1082.1*3</f>
        <v>3246.2999999999997</v>
      </c>
      <c r="W161" s="39"/>
      <c r="X161" s="2" t="s">
        <v>79</v>
      </c>
    </row>
    <row r="162" spans="17:24" x14ac:dyDescent="0.35">
      <c r="Q162" s="8">
        <v>45977</v>
      </c>
      <c r="R162" s="2" t="s">
        <v>31</v>
      </c>
      <c r="S162" s="56" t="s">
        <v>63</v>
      </c>
      <c r="T162" s="56"/>
      <c r="U162" s="56"/>
      <c r="V162" s="31">
        <v>16500</v>
      </c>
      <c r="W162" s="39"/>
      <c r="X162" s="2" t="s">
        <v>20</v>
      </c>
    </row>
    <row r="163" spans="17:24" x14ac:dyDescent="0.35">
      <c r="Q163" s="8">
        <v>45977</v>
      </c>
      <c r="R163" s="2" t="s">
        <v>31</v>
      </c>
      <c r="S163" s="56"/>
      <c r="T163" s="56"/>
      <c r="U163" s="56"/>
      <c r="V163" s="31">
        <v>10000</v>
      </c>
      <c r="W163" s="39"/>
      <c r="X163" s="2" t="s">
        <v>20</v>
      </c>
    </row>
    <row r="164" spans="17:24" x14ac:dyDescent="0.35">
      <c r="Q164" s="8">
        <v>45977</v>
      </c>
      <c r="R164" s="2" t="s">
        <v>31</v>
      </c>
      <c r="S164" s="56" t="s">
        <v>63</v>
      </c>
      <c r="T164" s="56"/>
      <c r="U164" s="56"/>
      <c r="V164" s="31">
        <v>13600</v>
      </c>
      <c r="W164" s="39"/>
      <c r="X164" s="2" t="s">
        <v>20</v>
      </c>
    </row>
    <row r="165" spans="17:24" x14ac:dyDescent="0.35">
      <c r="Q165" s="8">
        <v>45977</v>
      </c>
      <c r="R165" s="2" t="s">
        <v>71</v>
      </c>
      <c r="S165" s="56" t="s">
        <v>48</v>
      </c>
      <c r="T165" s="56"/>
      <c r="U165" s="56"/>
      <c r="V165" s="31"/>
      <c r="W165" s="39">
        <v>175.58</v>
      </c>
      <c r="X165" s="2" t="s">
        <v>20</v>
      </c>
    </row>
    <row r="166" spans="17:24" x14ac:dyDescent="0.35">
      <c r="Q166" s="8">
        <v>45978</v>
      </c>
      <c r="R166" s="2" t="s">
        <v>68</v>
      </c>
      <c r="S166" s="56" t="s">
        <v>4</v>
      </c>
      <c r="T166" s="56"/>
      <c r="U166" s="56"/>
      <c r="V166" s="31">
        <v>4800</v>
      </c>
      <c r="W166" s="39"/>
      <c r="X166" s="2" t="s">
        <v>79</v>
      </c>
    </row>
    <row r="167" spans="17:24" x14ac:dyDescent="0.35">
      <c r="Q167" s="8">
        <v>45978</v>
      </c>
      <c r="R167" s="2" t="s">
        <v>32</v>
      </c>
      <c r="S167" s="56"/>
      <c r="T167" s="56"/>
      <c r="U167" s="56"/>
      <c r="V167" s="31"/>
      <c r="W167" s="39">
        <v>30000</v>
      </c>
      <c r="X167" s="2" t="s">
        <v>79</v>
      </c>
    </row>
    <row r="168" spans="17:24" x14ac:dyDescent="0.35">
      <c r="Q168" s="8">
        <v>45978</v>
      </c>
      <c r="R168" s="2" t="s">
        <v>22</v>
      </c>
      <c r="S168" s="56" t="s">
        <v>21</v>
      </c>
      <c r="T168" s="56"/>
      <c r="U168" s="56"/>
      <c r="V168" s="31">
        <v>6174.7</v>
      </c>
      <c r="W168" s="39"/>
      <c r="X168" s="2" t="s">
        <v>79</v>
      </c>
    </row>
    <row r="169" spans="17:24" x14ac:dyDescent="0.35">
      <c r="Q169" s="8">
        <v>45978</v>
      </c>
      <c r="R169" s="2" t="s">
        <v>31</v>
      </c>
      <c r="S169" s="56"/>
      <c r="T169" s="56"/>
      <c r="U169" s="56"/>
      <c r="V169" s="31">
        <v>3246</v>
      </c>
      <c r="W169" s="39"/>
      <c r="X169" s="2" t="s">
        <v>79</v>
      </c>
    </row>
    <row r="170" spans="17:24" x14ac:dyDescent="0.35">
      <c r="Q170" s="8">
        <v>45978</v>
      </c>
      <c r="R170" s="2" t="s">
        <v>10</v>
      </c>
      <c r="S170" s="56" t="s">
        <v>159</v>
      </c>
      <c r="T170" s="56"/>
      <c r="U170" s="56"/>
      <c r="V170" s="31">
        <v>35000</v>
      </c>
      <c r="W170" s="39"/>
      <c r="X170" s="2" t="s">
        <v>20</v>
      </c>
    </row>
    <row r="171" spans="17:24" x14ac:dyDescent="0.35">
      <c r="Q171" s="8">
        <v>45978</v>
      </c>
      <c r="R171" s="2" t="s">
        <v>32</v>
      </c>
      <c r="S171" s="56"/>
      <c r="T171" s="56"/>
      <c r="U171" s="56"/>
      <c r="V171" s="31">
        <v>30000</v>
      </c>
      <c r="W171" s="39"/>
      <c r="X171" s="2" t="s">
        <v>20</v>
      </c>
    </row>
    <row r="172" spans="17:24" x14ac:dyDescent="0.35">
      <c r="Q172" s="8">
        <v>45978</v>
      </c>
      <c r="R172" s="2" t="s">
        <v>31</v>
      </c>
      <c r="S172" s="56"/>
      <c r="T172" s="56"/>
      <c r="U172" s="56"/>
      <c r="V172" s="31">
        <v>1100</v>
      </c>
      <c r="W172" s="39"/>
      <c r="X172" s="2" t="s">
        <v>20</v>
      </c>
    </row>
    <row r="173" spans="17:24" x14ac:dyDescent="0.35">
      <c r="Q173" s="8">
        <v>45978</v>
      </c>
      <c r="R173" s="2" t="s">
        <v>31</v>
      </c>
      <c r="S173" s="56" t="s">
        <v>82</v>
      </c>
      <c r="T173" s="56"/>
      <c r="U173" s="56"/>
      <c r="V173" s="31">
        <v>9833.5</v>
      </c>
      <c r="W173" s="39"/>
      <c r="X173" s="2" t="s">
        <v>20</v>
      </c>
    </row>
    <row r="174" spans="17:24" x14ac:dyDescent="0.35">
      <c r="Q174" s="8">
        <v>45978</v>
      </c>
      <c r="R174" s="2" t="s">
        <v>31</v>
      </c>
      <c r="S174" s="56" t="s">
        <v>80</v>
      </c>
      <c r="T174" s="56"/>
      <c r="U174" s="56"/>
      <c r="V174" s="31">
        <v>3305</v>
      </c>
      <c r="W174" s="39"/>
      <c r="X174" s="2" t="s">
        <v>20</v>
      </c>
    </row>
    <row r="175" spans="17:24" x14ac:dyDescent="0.35">
      <c r="Q175" s="8">
        <v>45978</v>
      </c>
      <c r="R175" s="2" t="s">
        <v>31</v>
      </c>
      <c r="S175" s="56"/>
      <c r="T175" s="56"/>
      <c r="U175" s="56"/>
      <c r="V175" s="31">
        <v>3500</v>
      </c>
      <c r="W175" s="39"/>
      <c r="X175" s="2" t="s">
        <v>20</v>
      </c>
    </row>
    <row r="176" spans="17:24" x14ac:dyDescent="0.35">
      <c r="Q176" s="8">
        <v>45978</v>
      </c>
      <c r="R176" s="2" t="s">
        <v>71</v>
      </c>
      <c r="S176" s="56" t="s">
        <v>48</v>
      </c>
      <c r="T176" s="56"/>
      <c r="U176" s="56"/>
      <c r="V176" s="31"/>
      <c r="W176" s="39">
        <v>129.08000000000001</v>
      </c>
      <c r="X176" s="2" t="s">
        <v>20</v>
      </c>
    </row>
    <row r="177" spans="17:24" x14ac:dyDescent="0.35">
      <c r="Q177" s="8">
        <v>45979</v>
      </c>
      <c r="R177" s="2" t="s">
        <v>76</v>
      </c>
      <c r="S177" s="56" t="s">
        <v>158</v>
      </c>
      <c r="T177" s="56"/>
      <c r="U177" s="56"/>
      <c r="V177" s="31">
        <v>28000</v>
      </c>
      <c r="W177" s="39"/>
      <c r="X177" s="2" t="s">
        <v>20</v>
      </c>
    </row>
    <row r="178" spans="17:24" x14ac:dyDescent="0.35">
      <c r="Q178" s="8">
        <v>45979</v>
      </c>
      <c r="R178" s="2" t="s">
        <v>71</v>
      </c>
      <c r="S178" s="56" t="s">
        <v>48</v>
      </c>
      <c r="T178" s="56"/>
      <c r="U178" s="56"/>
      <c r="V178" s="31"/>
      <c r="W178" s="39">
        <v>52.13</v>
      </c>
      <c r="X178" s="2" t="s">
        <v>20</v>
      </c>
    </row>
    <row r="179" spans="17:24" x14ac:dyDescent="0.35">
      <c r="Q179" s="81">
        <v>45979</v>
      </c>
      <c r="R179" s="2" t="s">
        <v>68</v>
      </c>
      <c r="S179" s="56" t="s">
        <v>161</v>
      </c>
      <c r="T179" s="56"/>
      <c r="U179" s="56"/>
      <c r="V179" s="31">
        <v>20000</v>
      </c>
      <c r="W179" s="39"/>
      <c r="X179" s="2" t="s">
        <v>20</v>
      </c>
    </row>
    <row r="180" spans="17:24" x14ac:dyDescent="0.35">
      <c r="Q180" s="81">
        <v>45979</v>
      </c>
      <c r="R180" s="2" t="s">
        <v>68</v>
      </c>
      <c r="S180" s="56" t="s">
        <v>4</v>
      </c>
      <c r="T180" s="56"/>
      <c r="U180" s="56"/>
      <c r="V180" s="31">
        <v>5000</v>
      </c>
      <c r="W180" s="39"/>
      <c r="X180" s="2" t="s">
        <v>79</v>
      </c>
    </row>
    <row r="181" spans="17:24" x14ac:dyDescent="0.35">
      <c r="Q181" s="81">
        <v>45979</v>
      </c>
      <c r="R181" s="2" t="s">
        <v>68</v>
      </c>
      <c r="S181" s="56" t="s">
        <v>4</v>
      </c>
      <c r="T181" s="56"/>
      <c r="U181" s="56"/>
      <c r="V181" s="31">
        <v>5000</v>
      </c>
      <c r="W181" s="39"/>
      <c r="X181" s="2" t="s">
        <v>79</v>
      </c>
    </row>
    <row r="182" spans="17:24" x14ac:dyDescent="0.35">
      <c r="Q182" s="81">
        <v>45979</v>
      </c>
      <c r="R182" s="2" t="s">
        <v>68</v>
      </c>
      <c r="S182" s="56" t="s">
        <v>4</v>
      </c>
      <c r="T182" s="56"/>
      <c r="U182" s="56"/>
      <c r="V182" s="31">
        <v>1720</v>
      </c>
      <c r="W182" s="39"/>
      <c r="X182" s="2" t="s">
        <v>79</v>
      </c>
    </row>
    <row r="183" spans="17:24" x14ac:dyDescent="0.35">
      <c r="Q183" s="81">
        <v>45979</v>
      </c>
      <c r="R183" s="2" t="s">
        <v>68</v>
      </c>
      <c r="S183" s="56" t="s">
        <v>4</v>
      </c>
      <c r="T183" s="56"/>
      <c r="U183" s="56"/>
      <c r="V183" s="31">
        <v>2500</v>
      </c>
      <c r="W183" s="39"/>
      <c r="X183" s="2" t="s">
        <v>79</v>
      </c>
    </row>
    <row r="184" spans="17:24" x14ac:dyDescent="0.35">
      <c r="Q184" s="81">
        <v>45979</v>
      </c>
      <c r="R184" s="2" t="s">
        <v>71</v>
      </c>
      <c r="S184" s="56" t="s">
        <v>48</v>
      </c>
      <c r="T184" s="56"/>
      <c r="U184" s="56"/>
      <c r="V184" s="31"/>
      <c r="W184" s="39">
        <v>349.25</v>
      </c>
      <c r="X184" s="2" t="s">
        <v>20</v>
      </c>
    </row>
    <row r="185" spans="17:24" x14ac:dyDescent="0.35">
      <c r="Q185" s="81">
        <v>45979</v>
      </c>
      <c r="R185" s="2" t="s">
        <v>31</v>
      </c>
      <c r="S185" s="56" t="s">
        <v>83</v>
      </c>
      <c r="T185" s="56"/>
      <c r="U185" s="56"/>
      <c r="V185" s="31">
        <v>1800</v>
      </c>
      <c r="W185" s="39"/>
      <c r="X185" s="2" t="s">
        <v>20</v>
      </c>
    </row>
    <row r="186" spans="17:24" x14ac:dyDescent="0.35">
      <c r="Q186" s="81">
        <v>45979</v>
      </c>
      <c r="R186" s="2" t="s">
        <v>31</v>
      </c>
      <c r="S186" s="56"/>
      <c r="T186" s="56"/>
      <c r="U186" s="56"/>
      <c r="V186" s="31">
        <v>5300</v>
      </c>
      <c r="W186" s="39"/>
      <c r="X186" s="2" t="s">
        <v>20</v>
      </c>
    </row>
    <row r="187" spans="17:24" x14ac:dyDescent="0.35">
      <c r="Q187" s="81">
        <v>45979</v>
      </c>
      <c r="R187" s="2" t="s">
        <v>31</v>
      </c>
      <c r="S187" s="56" t="s">
        <v>63</v>
      </c>
      <c r="T187" s="56"/>
      <c r="U187" s="56"/>
      <c r="V187" s="31">
        <v>1180</v>
      </c>
      <c r="W187" s="39"/>
      <c r="X187" s="2" t="s">
        <v>20</v>
      </c>
    </row>
    <row r="188" spans="17:24" x14ac:dyDescent="0.35">
      <c r="Q188" s="81">
        <v>45979</v>
      </c>
      <c r="R188" s="2" t="s">
        <v>71</v>
      </c>
      <c r="S188" s="56" t="s">
        <v>106</v>
      </c>
      <c r="T188" s="56"/>
      <c r="U188" s="56"/>
      <c r="V188" s="31"/>
      <c r="W188" s="39">
        <v>6025.29</v>
      </c>
      <c r="X188" s="2" t="s">
        <v>20</v>
      </c>
    </row>
    <row r="189" spans="17:24" x14ac:dyDescent="0.35">
      <c r="Q189" s="81">
        <v>45979</v>
      </c>
      <c r="R189" s="2" t="s">
        <v>71</v>
      </c>
      <c r="S189" s="56" t="s">
        <v>106</v>
      </c>
      <c r="T189" s="56"/>
      <c r="U189" s="56"/>
      <c r="V189" s="31"/>
      <c r="W189" s="39">
        <v>400000</v>
      </c>
      <c r="X189" s="2" t="s">
        <v>20</v>
      </c>
    </row>
    <row r="190" spans="17:24" x14ac:dyDescent="0.35">
      <c r="Q190" s="81">
        <v>45979</v>
      </c>
      <c r="R190" s="2" t="s">
        <v>31</v>
      </c>
      <c r="S190" s="56" t="s">
        <v>63</v>
      </c>
      <c r="T190" s="56"/>
      <c r="U190" s="56"/>
      <c r="V190" s="31">
        <v>4700</v>
      </c>
      <c r="W190" s="39"/>
      <c r="X190" s="2" t="s">
        <v>20</v>
      </c>
    </row>
    <row r="191" spans="17:24" x14ac:dyDescent="0.35">
      <c r="Q191" s="81">
        <v>45979</v>
      </c>
      <c r="R191" s="2" t="s">
        <v>68</v>
      </c>
      <c r="S191" s="56" t="s">
        <v>4</v>
      </c>
      <c r="T191" s="56"/>
      <c r="U191" s="56"/>
      <c r="V191" s="31">
        <v>1300</v>
      </c>
      <c r="W191" s="39"/>
      <c r="X191" s="2" t="s">
        <v>20</v>
      </c>
    </row>
    <row r="192" spans="17:24" x14ac:dyDescent="0.35">
      <c r="Q192" s="81">
        <v>45980</v>
      </c>
      <c r="R192" s="2" t="s">
        <v>68</v>
      </c>
      <c r="S192" s="56"/>
      <c r="T192" s="56"/>
      <c r="U192" s="56"/>
      <c r="V192" s="31"/>
      <c r="W192" s="39">
        <v>90.2</v>
      </c>
      <c r="X192" s="2" t="s">
        <v>79</v>
      </c>
    </row>
    <row r="193" spans="17:24" x14ac:dyDescent="0.35">
      <c r="Q193" s="81">
        <v>45980</v>
      </c>
      <c r="R193" s="2" t="s">
        <v>68</v>
      </c>
      <c r="S193" s="56"/>
      <c r="T193" s="56"/>
      <c r="U193" s="56"/>
      <c r="V193" s="31"/>
      <c r="W193" s="39">
        <v>216.42</v>
      </c>
      <c r="X193" s="2" t="s">
        <v>79</v>
      </c>
    </row>
    <row r="194" spans="17:24" x14ac:dyDescent="0.35">
      <c r="Q194" s="81">
        <v>45980</v>
      </c>
      <c r="R194" s="2" t="s">
        <v>68</v>
      </c>
      <c r="S194" s="56" t="s">
        <v>117</v>
      </c>
      <c r="T194" s="56"/>
      <c r="U194" s="56"/>
      <c r="V194" s="31">
        <v>5000</v>
      </c>
      <c r="W194" s="39"/>
      <c r="X194" s="2" t="s">
        <v>79</v>
      </c>
    </row>
    <row r="195" spans="17:24" x14ac:dyDescent="0.35">
      <c r="Q195" s="81">
        <v>45980</v>
      </c>
      <c r="R195" s="2" t="s">
        <v>68</v>
      </c>
      <c r="S195" s="56" t="s">
        <v>117</v>
      </c>
      <c r="T195" s="56"/>
      <c r="U195" s="56"/>
      <c r="V195" s="31">
        <v>5000</v>
      </c>
      <c r="W195" s="39"/>
      <c r="X195" s="2" t="s">
        <v>79</v>
      </c>
    </row>
    <row r="196" spans="17:24" x14ac:dyDescent="0.35">
      <c r="Q196" s="81">
        <v>45980</v>
      </c>
      <c r="R196" s="2" t="s">
        <v>10</v>
      </c>
      <c r="S196" s="56" t="s">
        <v>15</v>
      </c>
      <c r="T196" s="56"/>
      <c r="U196" s="56"/>
      <c r="V196" s="31">
        <v>59775.86</v>
      </c>
      <c r="W196" s="39"/>
      <c r="X196" s="2" t="s">
        <v>79</v>
      </c>
    </row>
    <row r="197" spans="17:24" x14ac:dyDescent="0.35">
      <c r="Q197" s="81">
        <v>45980</v>
      </c>
      <c r="R197" s="2" t="s">
        <v>32</v>
      </c>
      <c r="S197" s="56"/>
      <c r="T197" s="56"/>
      <c r="U197" s="56"/>
      <c r="V197" s="31"/>
      <c r="W197" s="39">
        <v>60000</v>
      </c>
      <c r="X197" s="2" t="s">
        <v>79</v>
      </c>
    </row>
    <row r="198" spans="17:24" x14ac:dyDescent="0.35">
      <c r="Q198" s="81">
        <v>45980</v>
      </c>
      <c r="R198" s="2" t="s">
        <v>22</v>
      </c>
      <c r="S198" s="56" t="s">
        <v>23</v>
      </c>
      <c r="T198" s="56"/>
      <c r="U198" s="56"/>
      <c r="V198" s="31">
        <v>8990</v>
      </c>
      <c r="W198" s="39"/>
      <c r="X198" s="2" t="s">
        <v>79</v>
      </c>
    </row>
    <row r="199" spans="17:24" x14ac:dyDescent="0.35">
      <c r="Q199" s="81">
        <v>45980</v>
      </c>
      <c r="R199" s="2" t="s">
        <v>31</v>
      </c>
      <c r="S199" s="56"/>
      <c r="T199" s="56"/>
      <c r="U199" s="56"/>
      <c r="V199" s="31">
        <v>14818</v>
      </c>
      <c r="W199" s="39"/>
      <c r="X199" s="2" t="s">
        <v>20</v>
      </c>
    </row>
    <row r="200" spans="17:24" x14ac:dyDescent="0.35">
      <c r="Q200" s="81">
        <v>45980</v>
      </c>
      <c r="R200" s="2" t="s">
        <v>31</v>
      </c>
      <c r="S200" s="56"/>
      <c r="T200" s="56"/>
      <c r="U200" s="56"/>
      <c r="V200" s="31">
        <v>5095.6499999999996</v>
      </c>
      <c r="W200" s="39"/>
      <c r="X200" s="2" t="s">
        <v>20</v>
      </c>
    </row>
    <row r="201" spans="17:24" x14ac:dyDescent="0.35">
      <c r="Q201" s="81">
        <v>45980</v>
      </c>
      <c r="R201" s="2" t="s">
        <v>71</v>
      </c>
      <c r="S201" s="56" t="s">
        <v>106</v>
      </c>
      <c r="T201" s="56"/>
      <c r="U201" s="56"/>
      <c r="V201" s="31"/>
      <c r="W201" s="39">
        <v>3949.09</v>
      </c>
      <c r="X201" s="2" t="s">
        <v>20</v>
      </c>
    </row>
    <row r="202" spans="17:24" x14ac:dyDescent="0.35">
      <c r="Q202" s="81">
        <v>45980</v>
      </c>
      <c r="R202" s="2" t="s">
        <v>71</v>
      </c>
      <c r="S202" s="56" t="s">
        <v>106</v>
      </c>
      <c r="T202" s="56"/>
      <c r="U202" s="56"/>
      <c r="V202" s="31"/>
      <c r="W202" s="39">
        <v>112505</v>
      </c>
      <c r="X202" s="2" t="s">
        <v>20</v>
      </c>
    </row>
    <row r="203" spans="17:24" x14ac:dyDescent="0.35">
      <c r="Q203" s="81">
        <v>45980</v>
      </c>
      <c r="R203" s="2" t="s">
        <v>31</v>
      </c>
      <c r="S203" s="56"/>
      <c r="T203" s="56"/>
      <c r="U203" s="56"/>
      <c r="V203" s="31">
        <v>4700</v>
      </c>
      <c r="W203" s="39"/>
      <c r="X203" s="2" t="s">
        <v>20</v>
      </c>
    </row>
    <row r="204" spans="17:24" x14ac:dyDescent="0.35">
      <c r="Q204" s="81">
        <v>45980</v>
      </c>
      <c r="R204" s="2" t="s">
        <v>32</v>
      </c>
      <c r="S204" s="56"/>
      <c r="T204" s="56"/>
      <c r="U204" s="56"/>
      <c r="V204" s="31">
        <v>60000</v>
      </c>
      <c r="W204" s="39"/>
      <c r="X204" s="2" t="s">
        <v>20</v>
      </c>
    </row>
    <row r="205" spans="17:24" x14ac:dyDescent="0.35">
      <c r="Q205" s="81">
        <v>45981</v>
      </c>
      <c r="R205" s="2" t="s">
        <v>71</v>
      </c>
      <c r="S205" s="56" t="s">
        <v>48</v>
      </c>
      <c r="T205" s="56"/>
      <c r="U205" s="56"/>
      <c r="V205" s="31"/>
      <c r="W205" s="39">
        <v>377.47</v>
      </c>
      <c r="X205" s="2" t="s">
        <v>20</v>
      </c>
    </row>
    <row r="206" spans="17:24" x14ac:dyDescent="0.35">
      <c r="Q206" s="81">
        <v>45981</v>
      </c>
      <c r="R206" s="2" t="s">
        <v>6</v>
      </c>
      <c r="S206" s="84" t="s">
        <v>8</v>
      </c>
      <c r="T206" s="56"/>
      <c r="U206" s="56"/>
      <c r="V206" s="31">
        <v>150000</v>
      </c>
      <c r="W206" s="39"/>
      <c r="X206" s="2" t="s">
        <v>20</v>
      </c>
    </row>
    <row r="207" spans="17:24" x14ac:dyDescent="0.35">
      <c r="Q207" s="81">
        <v>45981</v>
      </c>
      <c r="R207" s="2" t="s">
        <v>68</v>
      </c>
      <c r="S207" s="56" t="s">
        <v>117</v>
      </c>
      <c r="T207" s="56"/>
      <c r="U207" s="56"/>
      <c r="V207" s="31">
        <v>10000</v>
      </c>
      <c r="W207" s="39"/>
      <c r="X207" s="2" t="s">
        <v>79</v>
      </c>
    </row>
    <row r="208" spans="17:24" x14ac:dyDescent="0.35">
      <c r="Q208" s="81">
        <v>45981</v>
      </c>
      <c r="R208" s="2" t="s">
        <v>32</v>
      </c>
      <c r="S208" s="56"/>
      <c r="T208" s="56"/>
      <c r="U208" s="56"/>
      <c r="V208" s="31"/>
      <c r="W208" s="39">
        <v>10000</v>
      </c>
      <c r="X208" s="2" t="s">
        <v>79</v>
      </c>
    </row>
    <row r="209" spans="17:24" x14ac:dyDescent="0.35">
      <c r="Q209" s="81">
        <v>45981</v>
      </c>
      <c r="R209" s="2" t="s">
        <v>71</v>
      </c>
      <c r="S209" s="56" t="s">
        <v>48</v>
      </c>
      <c r="T209" s="56"/>
      <c r="U209" s="56"/>
      <c r="V209" s="31"/>
      <c r="W209" s="39">
        <v>2.0099999999999998</v>
      </c>
      <c r="X209" s="2" t="s">
        <v>79</v>
      </c>
    </row>
    <row r="210" spans="17:24" x14ac:dyDescent="0.35">
      <c r="Q210" s="81">
        <v>45981</v>
      </c>
      <c r="R210" s="2" t="s">
        <v>76</v>
      </c>
      <c r="S210" s="56" t="s">
        <v>158</v>
      </c>
      <c r="T210" s="56"/>
      <c r="U210" s="56"/>
      <c r="V210" s="31">
        <v>28000</v>
      </c>
      <c r="W210" s="39"/>
      <c r="X210" s="2" t="s">
        <v>20</v>
      </c>
    </row>
    <row r="211" spans="17:24" x14ac:dyDescent="0.35">
      <c r="Q211" s="81">
        <v>45981</v>
      </c>
      <c r="R211" s="2" t="s">
        <v>31</v>
      </c>
      <c r="S211" s="56" t="s">
        <v>83</v>
      </c>
      <c r="T211" s="56"/>
      <c r="U211" s="56"/>
      <c r="V211" s="31">
        <v>4400</v>
      </c>
      <c r="W211" s="39"/>
      <c r="X211" s="2" t="s">
        <v>20</v>
      </c>
    </row>
    <row r="212" spans="17:24" x14ac:dyDescent="0.35">
      <c r="Q212" s="81">
        <v>45981</v>
      </c>
      <c r="R212" s="2" t="s">
        <v>31</v>
      </c>
      <c r="S212" s="56" t="s">
        <v>82</v>
      </c>
      <c r="T212" s="56"/>
      <c r="U212" s="56"/>
      <c r="V212" s="31">
        <v>4300</v>
      </c>
      <c r="W212" s="39"/>
      <c r="X212" s="2" t="s">
        <v>20</v>
      </c>
    </row>
    <row r="213" spans="17:24" x14ac:dyDescent="0.35">
      <c r="Q213" s="81">
        <v>45981</v>
      </c>
      <c r="R213" s="2" t="s">
        <v>31</v>
      </c>
      <c r="S213" s="56" t="s">
        <v>80</v>
      </c>
      <c r="T213" s="56"/>
      <c r="U213" s="56"/>
      <c r="V213" s="31">
        <v>4742</v>
      </c>
      <c r="W213" s="39"/>
      <c r="X213" s="2" t="s">
        <v>20</v>
      </c>
    </row>
    <row r="214" spans="17:24" x14ac:dyDescent="0.35">
      <c r="Q214" s="81">
        <v>45981</v>
      </c>
      <c r="R214" s="2" t="s">
        <v>10</v>
      </c>
      <c r="S214" s="56" t="s">
        <v>159</v>
      </c>
      <c r="T214" s="56"/>
      <c r="U214" s="56"/>
      <c r="V214" s="31">
        <v>9500</v>
      </c>
      <c r="W214" s="39"/>
      <c r="X214" s="2" t="s">
        <v>20</v>
      </c>
    </row>
    <row r="215" spans="17:24" x14ac:dyDescent="0.35">
      <c r="Q215" s="81">
        <v>45981</v>
      </c>
      <c r="R215" s="2" t="s">
        <v>31</v>
      </c>
      <c r="S215" s="56"/>
      <c r="T215" s="56"/>
      <c r="U215" s="56"/>
      <c r="V215" s="31">
        <v>3300</v>
      </c>
      <c r="W215" s="39"/>
      <c r="X215" s="2" t="s">
        <v>20</v>
      </c>
    </row>
    <row r="216" spans="17:24" x14ac:dyDescent="0.35">
      <c r="Q216" s="81">
        <v>45981</v>
      </c>
      <c r="R216" s="2" t="s">
        <v>31</v>
      </c>
      <c r="S216" s="56"/>
      <c r="T216" s="56"/>
      <c r="U216" s="56"/>
      <c r="V216" s="31">
        <v>5900</v>
      </c>
      <c r="W216" s="39"/>
      <c r="X216" s="2" t="s">
        <v>20</v>
      </c>
    </row>
    <row r="217" spans="17:24" x14ac:dyDescent="0.35">
      <c r="Q217" s="81">
        <v>45981</v>
      </c>
      <c r="R217" s="2" t="s">
        <v>32</v>
      </c>
      <c r="S217" s="56"/>
      <c r="T217" s="56"/>
      <c r="U217" s="56"/>
      <c r="V217" s="31">
        <v>10000</v>
      </c>
      <c r="W217" s="39"/>
      <c r="X217" s="2" t="s">
        <v>20</v>
      </c>
    </row>
    <row r="218" spans="17:24" x14ac:dyDescent="0.35">
      <c r="Q218" s="81">
        <v>45982</v>
      </c>
      <c r="R218" s="2" t="s">
        <v>68</v>
      </c>
      <c r="S218" s="56" t="s">
        <v>117</v>
      </c>
      <c r="T218" s="56"/>
      <c r="U218" s="56"/>
      <c r="V218" s="31">
        <v>5000</v>
      </c>
      <c r="W218" s="39"/>
      <c r="X218" s="2" t="s">
        <v>79</v>
      </c>
    </row>
    <row r="219" spans="17:24" x14ac:dyDescent="0.35">
      <c r="Q219" s="81">
        <v>45982</v>
      </c>
      <c r="R219" s="2" t="s">
        <v>32</v>
      </c>
      <c r="S219" s="56"/>
      <c r="T219" s="56"/>
      <c r="U219" s="56"/>
      <c r="V219" s="31"/>
      <c r="W219" s="39">
        <v>5000</v>
      </c>
      <c r="X219" s="2" t="s">
        <v>79</v>
      </c>
    </row>
    <row r="220" spans="17:24" x14ac:dyDescent="0.35">
      <c r="Q220" s="81">
        <v>45982</v>
      </c>
      <c r="R220" s="2" t="s">
        <v>68</v>
      </c>
      <c r="S220" s="56" t="s">
        <v>117</v>
      </c>
      <c r="T220" s="56"/>
      <c r="U220" s="56"/>
      <c r="V220" s="31">
        <v>2749</v>
      </c>
      <c r="W220" s="39"/>
      <c r="X220" s="2" t="s">
        <v>79</v>
      </c>
    </row>
    <row r="221" spans="17:24" x14ac:dyDescent="0.35">
      <c r="Q221" s="81">
        <v>45982</v>
      </c>
      <c r="R221" s="2" t="s">
        <v>68</v>
      </c>
      <c r="S221" s="56" t="s">
        <v>117</v>
      </c>
      <c r="T221" s="56"/>
      <c r="U221" s="56"/>
      <c r="V221" s="31">
        <v>5000</v>
      </c>
      <c r="W221" s="39"/>
      <c r="X221" s="2" t="s">
        <v>79</v>
      </c>
    </row>
    <row r="222" spans="17:24" x14ac:dyDescent="0.35">
      <c r="Q222" s="81">
        <v>45982</v>
      </c>
      <c r="R222" s="2" t="s">
        <v>32</v>
      </c>
      <c r="S222" s="56"/>
      <c r="T222" s="56"/>
      <c r="U222" s="56"/>
      <c r="V222" s="31"/>
      <c r="W222" s="39">
        <v>1000</v>
      </c>
      <c r="X222" s="2" t="s">
        <v>79</v>
      </c>
    </row>
    <row r="223" spans="17:24" x14ac:dyDescent="0.35">
      <c r="Q223" s="81">
        <v>45982</v>
      </c>
      <c r="R223" s="2" t="s">
        <v>71</v>
      </c>
      <c r="S223" s="56" t="s">
        <v>48</v>
      </c>
      <c r="T223" s="56"/>
      <c r="U223" s="56"/>
      <c r="V223" s="31"/>
      <c r="W223" s="39">
        <f>100+100+108+216.42+216.42</f>
        <v>740.83999999999992</v>
      </c>
      <c r="X223" s="2" t="s">
        <v>79</v>
      </c>
    </row>
    <row r="224" spans="17:24" x14ac:dyDescent="0.35">
      <c r="Q224" s="81">
        <v>45982</v>
      </c>
      <c r="R224" s="2" t="s">
        <v>68</v>
      </c>
      <c r="S224" s="56" t="s">
        <v>51</v>
      </c>
      <c r="T224" s="56"/>
      <c r="U224" s="56"/>
      <c r="V224" s="31">
        <v>2800</v>
      </c>
      <c r="W224" s="39"/>
      <c r="X224" s="2" t="s">
        <v>79</v>
      </c>
    </row>
    <row r="225" spans="17:24" x14ac:dyDescent="0.35">
      <c r="Q225" s="81">
        <v>45982</v>
      </c>
      <c r="R225" s="2" t="s">
        <v>71</v>
      </c>
      <c r="S225" s="56" t="s">
        <v>48</v>
      </c>
      <c r="T225" s="56"/>
      <c r="U225" s="56"/>
      <c r="V225" s="31"/>
      <c r="W225" s="39">
        <v>108.23</v>
      </c>
      <c r="X225" s="2" t="s">
        <v>79</v>
      </c>
    </row>
    <row r="226" spans="17:24" x14ac:dyDescent="0.35">
      <c r="Q226" s="81">
        <v>45982</v>
      </c>
      <c r="R226" s="2" t="s">
        <v>71</v>
      </c>
      <c r="S226" s="56" t="s">
        <v>100</v>
      </c>
      <c r="T226" s="56"/>
      <c r="U226" s="56"/>
      <c r="V226" s="31"/>
      <c r="W226" s="39">
        <v>500000</v>
      </c>
      <c r="X226" s="2" t="s">
        <v>30</v>
      </c>
    </row>
    <row r="227" spans="17:24" x14ac:dyDescent="0.35">
      <c r="Q227" s="81">
        <v>45982</v>
      </c>
      <c r="R227" s="2" t="s">
        <v>31</v>
      </c>
      <c r="S227" s="56"/>
      <c r="T227" s="56"/>
      <c r="U227" s="56"/>
      <c r="V227" s="31">
        <v>3900</v>
      </c>
      <c r="W227" s="39"/>
      <c r="X227" s="2" t="s">
        <v>20</v>
      </c>
    </row>
    <row r="228" spans="17:24" x14ac:dyDescent="0.35">
      <c r="Q228" s="81">
        <v>45982</v>
      </c>
      <c r="R228" s="2" t="s">
        <v>32</v>
      </c>
      <c r="S228" s="56"/>
      <c r="T228" s="56"/>
      <c r="U228" s="56"/>
      <c r="V228" s="31">
        <v>5000</v>
      </c>
      <c r="W228" s="39"/>
      <c r="X228" s="2" t="s">
        <v>20</v>
      </c>
    </row>
    <row r="229" spans="17:24" x14ac:dyDescent="0.35">
      <c r="Q229" s="81">
        <v>45982</v>
      </c>
      <c r="R229" s="2" t="s">
        <v>31</v>
      </c>
      <c r="S229" s="56"/>
      <c r="T229" s="56"/>
      <c r="U229" s="56"/>
      <c r="V229" s="31">
        <v>15000</v>
      </c>
      <c r="W229" s="39"/>
      <c r="X229" s="2" t="s">
        <v>20</v>
      </c>
    </row>
    <row r="230" spans="17:24" x14ac:dyDescent="0.35">
      <c r="Q230" s="81">
        <v>45982</v>
      </c>
      <c r="R230" s="2" t="s">
        <v>32</v>
      </c>
      <c r="S230" s="56"/>
      <c r="T230" s="56"/>
      <c r="U230" s="56"/>
      <c r="V230" s="31">
        <v>10000</v>
      </c>
      <c r="W230" s="39"/>
      <c r="X230" s="2" t="s">
        <v>20</v>
      </c>
    </row>
    <row r="231" spans="17:24" x14ac:dyDescent="0.35">
      <c r="Q231" s="81">
        <v>45982</v>
      </c>
      <c r="R231" s="2" t="s">
        <v>31</v>
      </c>
      <c r="S231" s="56"/>
      <c r="T231" s="56"/>
      <c r="U231" s="56"/>
      <c r="V231" s="31">
        <v>3312</v>
      </c>
      <c r="W231" s="39"/>
      <c r="X231" s="2" t="s">
        <v>20</v>
      </c>
    </row>
    <row r="232" spans="17:24" x14ac:dyDescent="0.35">
      <c r="Q232" s="81">
        <v>45982</v>
      </c>
      <c r="R232" s="2" t="s">
        <v>71</v>
      </c>
      <c r="S232" s="56" t="s">
        <v>48</v>
      </c>
      <c r="T232" s="56"/>
      <c r="U232" s="56"/>
      <c r="V232" s="31"/>
      <c r="W232" s="39">
        <v>184.8</v>
      </c>
      <c r="X232" s="2" t="s">
        <v>20</v>
      </c>
    </row>
    <row r="233" spans="17:24" x14ac:dyDescent="0.35">
      <c r="Q233" s="81">
        <v>45983</v>
      </c>
      <c r="R233" s="2" t="s">
        <v>31</v>
      </c>
      <c r="S233" s="56" t="s">
        <v>83</v>
      </c>
      <c r="T233" s="56"/>
      <c r="U233" s="56"/>
      <c r="V233" s="31">
        <v>2221</v>
      </c>
      <c r="W233" s="39"/>
      <c r="X233" s="2" t="s">
        <v>20</v>
      </c>
    </row>
    <row r="234" spans="17:24" x14ac:dyDescent="0.35">
      <c r="Q234" s="81">
        <v>45983</v>
      </c>
      <c r="R234" s="2" t="s">
        <v>3</v>
      </c>
      <c r="S234" s="56" t="s">
        <v>72</v>
      </c>
      <c r="T234" s="56"/>
      <c r="U234" s="56"/>
      <c r="V234" s="31">
        <v>16300</v>
      </c>
      <c r="W234" s="39"/>
      <c r="X234" s="2" t="s">
        <v>20</v>
      </c>
    </row>
    <row r="235" spans="17:24" x14ac:dyDescent="0.35">
      <c r="Q235" s="81">
        <v>45983</v>
      </c>
      <c r="R235" s="2" t="s">
        <v>31</v>
      </c>
      <c r="S235" s="56" t="s">
        <v>80</v>
      </c>
      <c r="T235" s="56"/>
      <c r="U235" s="56"/>
      <c r="V235" s="31">
        <v>3780</v>
      </c>
      <c r="W235" s="39"/>
      <c r="X235" s="2" t="s">
        <v>20</v>
      </c>
    </row>
    <row r="236" spans="17:24" x14ac:dyDescent="0.35">
      <c r="Q236" s="81">
        <v>45983</v>
      </c>
      <c r="R236" s="2" t="s">
        <v>31</v>
      </c>
      <c r="S236" s="56"/>
      <c r="T236" s="56"/>
      <c r="U236" s="56"/>
      <c r="V236" s="31">
        <v>3400</v>
      </c>
      <c r="W236" s="39"/>
      <c r="X236" s="2" t="s">
        <v>20</v>
      </c>
    </row>
    <row r="237" spans="17:24" x14ac:dyDescent="0.35">
      <c r="Q237" s="81">
        <v>45983</v>
      </c>
      <c r="R237" s="2" t="s">
        <v>31</v>
      </c>
      <c r="S237" s="56"/>
      <c r="T237" s="56"/>
      <c r="U237" s="56"/>
      <c r="V237" s="31">
        <v>11993</v>
      </c>
      <c r="W237" s="39"/>
      <c r="X237" s="2" t="s">
        <v>20</v>
      </c>
    </row>
    <row r="238" spans="17:24" x14ac:dyDescent="0.35">
      <c r="Q238" s="81">
        <v>45983</v>
      </c>
      <c r="R238" s="2" t="s">
        <v>71</v>
      </c>
      <c r="S238" s="56" t="s">
        <v>48</v>
      </c>
      <c r="T238" s="56"/>
      <c r="U238" s="56"/>
      <c r="V238" s="31"/>
      <c r="W238" s="39">
        <v>152.33000000000001</v>
      </c>
      <c r="X238" s="2" t="s">
        <v>20</v>
      </c>
    </row>
    <row r="239" spans="17:24" x14ac:dyDescent="0.35">
      <c r="Q239" s="81">
        <v>45984</v>
      </c>
      <c r="R239" s="2" t="s">
        <v>22</v>
      </c>
      <c r="S239" s="56" t="s">
        <v>25</v>
      </c>
      <c r="T239" s="56"/>
      <c r="U239" s="56"/>
      <c r="V239" s="31">
        <v>3615.99</v>
      </c>
      <c r="W239" s="39"/>
      <c r="X239" s="2" t="s">
        <v>79</v>
      </c>
    </row>
    <row r="240" spans="17:24" x14ac:dyDescent="0.35">
      <c r="Q240" s="81">
        <v>45984</v>
      </c>
      <c r="R240" s="2" t="s">
        <v>31</v>
      </c>
      <c r="S240" s="56" t="s">
        <v>80</v>
      </c>
      <c r="T240" s="56"/>
      <c r="U240" s="56"/>
      <c r="V240" s="31">
        <v>10277</v>
      </c>
      <c r="W240" s="39"/>
      <c r="X240" s="2" t="s">
        <v>20</v>
      </c>
    </row>
    <row r="241" spans="17:24" x14ac:dyDescent="0.35">
      <c r="Q241" s="81">
        <v>45984</v>
      </c>
      <c r="R241" s="2" t="s">
        <v>71</v>
      </c>
      <c r="S241" s="56" t="s">
        <v>48</v>
      </c>
      <c r="T241" s="56"/>
      <c r="U241" s="56"/>
      <c r="V241" s="31"/>
      <c r="W241" s="39">
        <v>119.42</v>
      </c>
      <c r="X241" s="2" t="s">
        <v>20</v>
      </c>
    </row>
    <row r="242" spans="17:24" x14ac:dyDescent="0.35">
      <c r="Q242" s="81">
        <v>45985</v>
      </c>
      <c r="R242" s="2" t="s">
        <v>31</v>
      </c>
      <c r="S242" s="56" t="s">
        <v>80</v>
      </c>
      <c r="T242" s="56"/>
      <c r="U242" s="56"/>
      <c r="V242" s="31">
        <v>17078.5</v>
      </c>
      <c r="W242" s="39"/>
      <c r="X242" s="2" t="s">
        <v>20</v>
      </c>
    </row>
    <row r="243" spans="17:24" x14ac:dyDescent="0.35">
      <c r="Q243" s="81">
        <v>45985</v>
      </c>
      <c r="R243" s="2" t="s">
        <v>76</v>
      </c>
      <c r="S243" s="56" t="s">
        <v>158</v>
      </c>
      <c r="T243" s="56"/>
      <c r="U243" s="56"/>
      <c r="V243" s="31">
        <v>28000</v>
      </c>
      <c r="W243" s="39"/>
      <c r="X243" s="2" t="s">
        <v>20</v>
      </c>
    </row>
    <row r="244" spans="17:24" x14ac:dyDescent="0.35">
      <c r="Q244" s="81">
        <v>45985</v>
      </c>
      <c r="R244" s="2" t="s">
        <v>71</v>
      </c>
      <c r="S244" s="56" t="s">
        <v>48</v>
      </c>
      <c r="T244" s="56"/>
      <c r="U244" s="56"/>
      <c r="V244" s="31"/>
      <c r="W244" s="39">
        <v>110.52</v>
      </c>
      <c r="X244" s="2" t="s">
        <v>20</v>
      </c>
    </row>
    <row r="245" spans="17:24" x14ac:dyDescent="0.35">
      <c r="Q245" s="81">
        <v>45986</v>
      </c>
      <c r="R245" s="2" t="s">
        <v>22</v>
      </c>
      <c r="S245" s="56" t="s">
        <v>25</v>
      </c>
      <c r="T245" s="56"/>
      <c r="U245" s="56"/>
      <c r="V245" s="31">
        <v>1400</v>
      </c>
      <c r="W245" s="39"/>
      <c r="X245" s="2" t="s">
        <v>79</v>
      </c>
    </row>
    <row r="246" spans="17:24" x14ac:dyDescent="0.35">
      <c r="Q246" s="81">
        <v>45986</v>
      </c>
      <c r="R246" s="2" t="s">
        <v>22</v>
      </c>
      <c r="S246" s="56" t="s">
        <v>25</v>
      </c>
      <c r="T246" s="56"/>
      <c r="U246" s="56"/>
      <c r="V246" s="31">
        <v>10.72</v>
      </c>
      <c r="W246" s="39"/>
      <c r="X246" s="2" t="s">
        <v>79</v>
      </c>
    </row>
    <row r="247" spans="17:24" x14ac:dyDescent="0.35">
      <c r="Q247" s="81">
        <v>45986</v>
      </c>
      <c r="R247" s="2" t="s">
        <v>10</v>
      </c>
      <c r="S247" s="56" t="s">
        <v>16</v>
      </c>
      <c r="T247" s="56"/>
      <c r="U247" s="56"/>
      <c r="V247" s="31">
        <v>24451.21</v>
      </c>
      <c r="W247" s="39"/>
      <c r="X247" s="2" t="s">
        <v>79</v>
      </c>
    </row>
    <row r="248" spans="17:24" x14ac:dyDescent="0.35">
      <c r="Q248" s="81">
        <v>45986</v>
      </c>
      <c r="R248" s="2" t="s">
        <v>32</v>
      </c>
      <c r="S248" s="56"/>
      <c r="T248" s="56"/>
      <c r="U248" s="56"/>
      <c r="V248" s="31"/>
      <c r="W248" s="39">
        <v>30000</v>
      </c>
      <c r="X248" s="2" t="s">
        <v>79</v>
      </c>
    </row>
    <row r="249" spans="17:24" x14ac:dyDescent="0.35">
      <c r="Q249" s="81">
        <v>45986</v>
      </c>
      <c r="R249" s="2" t="s">
        <v>10</v>
      </c>
      <c r="S249" s="56" t="s">
        <v>47</v>
      </c>
      <c r="T249" s="56"/>
      <c r="U249" s="56"/>
      <c r="V249" s="31">
        <v>27738.2</v>
      </c>
      <c r="W249" s="39"/>
      <c r="X249" s="2" t="s">
        <v>79</v>
      </c>
    </row>
    <row r="250" spans="17:24" x14ac:dyDescent="0.35">
      <c r="Q250" s="81">
        <v>45986</v>
      </c>
      <c r="R250" s="2" t="s">
        <v>22</v>
      </c>
      <c r="S250" s="56" t="s">
        <v>25</v>
      </c>
      <c r="T250" s="56"/>
      <c r="U250" s="56"/>
      <c r="V250" s="31">
        <v>10541.72</v>
      </c>
      <c r="W250" s="39"/>
      <c r="X250" s="2" t="s">
        <v>79</v>
      </c>
    </row>
    <row r="251" spans="17:24" x14ac:dyDescent="0.35">
      <c r="Q251" s="81">
        <v>45986</v>
      </c>
      <c r="R251" s="2" t="s">
        <v>32</v>
      </c>
      <c r="S251" s="56"/>
      <c r="T251" s="56"/>
      <c r="U251" s="56"/>
      <c r="V251" s="31"/>
      <c r="W251" s="39">
        <v>50000</v>
      </c>
      <c r="X251" s="2" t="s">
        <v>79</v>
      </c>
    </row>
    <row r="252" spans="17:24" x14ac:dyDescent="0.35">
      <c r="Q252" s="81">
        <v>45986</v>
      </c>
      <c r="R252" s="2" t="s">
        <v>71</v>
      </c>
      <c r="S252" s="56" t="s">
        <v>48</v>
      </c>
      <c r="T252" s="56"/>
      <c r="U252" s="56"/>
      <c r="V252" s="31"/>
      <c r="W252" s="39">
        <v>10.72</v>
      </c>
      <c r="X252" s="2" t="s">
        <v>79</v>
      </c>
    </row>
    <row r="253" spans="17:24" x14ac:dyDescent="0.35">
      <c r="Q253" s="81">
        <v>45986</v>
      </c>
      <c r="R253" s="2" t="s">
        <v>32</v>
      </c>
      <c r="S253" s="56"/>
      <c r="T253" s="56"/>
      <c r="U253" s="56"/>
      <c r="V253" s="31">
        <v>30000</v>
      </c>
      <c r="W253" s="39"/>
      <c r="X253" s="2" t="s">
        <v>20</v>
      </c>
    </row>
    <row r="254" spans="17:24" x14ac:dyDescent="0.35">
      <c r="Q254" s="81">
        <v>45986</v>
      </c>
      <c r="R254" s="2" t="s">
        <v>32</v>
      </c>
      <c r="S254" s="56"/>
      <c r="T254" s="56"/>
      <c r="U254" s="56"/>
      <c r="V254" s="31">
        <v>50000</v>
      </c>
      <c r="W254" s="39"/>
      <c r="X254" s="2" t="s">
        <v>20</v>
      </c>
    </row>
    <row r="255" spans="17:24" x14ac:dyDescent="0.35">
      <c r="Q255" s="81">
        <v>45986</v>
      </c>
      <c r="R255" s="2" t="s">
        <v>71</v>
      </c>
      <c r="S255" s="56" t="s">
        <v>48</v>
      </c>
      <c r="T255" s="56"/>
      <c r="U255" s="56"/>
      <c r="V255" s="31"/>
      <c r="W255" s="39">
        <v>71.09</v>
      </c>
      <c r="X255" s="2" t="s">
        <v>20</v>
      </c>
    </row>
    <row r="256" spans="17:24" x14ac:dyDescent="0.35">
      <c r="Q256" s="81">
        <v>45988</v>
      </c>
      <c r="R256" s="2" t="s">
        <v>68</v>
      </c>
      <c r="S256" s="56" t="s">
        <v>51</v>
      </c>
      <c r="T256" s="56"/>
      <c r="U256" s="56"/>
      <c r="V256" s="31">
        <v>4000</v>
      </c>
      <c r="W256" s="39"/>
      <c r="X256" s="2" t="s">
        <v>30</v>
      </c>
    </row>
    <row r="257" spans="17:24" x14ac:dyDescent="0.35">
      <c r="Q257" s="81">
        <v>45987</v>
      </c>
      <c r="R257" s="2" t="s">
        <v>68</v>
      </c>
      <c r="S257" s="56" t="s">
        <v>117</v>
      </c>
      <c r="T257" s="56"/>
      <c r="U257" s="56"/>
      <c r="V257" s="31">
        <v>10000</v>
      </c>
      <c r="W257" s="39"/>
      <c r="X257" s="2" t="s">
        <v>30</v>
      </c>
    </row>
    <row r="258" spans="17:24" x14ac:dyDescent="0.35">
      <c r="Q258" s="81">
        <v>45987</v>
      </c>
      <c r="R258" s="2" t="s">
        <v>31</v>
      </c>
      <c r="S258" s="56" t="s">
        <v>63</v>
      </c>
      <c r="T258" s="56"/>
      <c r="U258" s="56"/>
      <c r="V258" s="31">
        <v>2500</v>
      </c>
      <c r="W258" s="39"/>
      <c r="X258" s="2" t="s">
        <v>30</v>
      </c>
    </row>
    <row r="259" spans="17:24" x14ac:dyDescent="0.35">
      <c r="Q259" s="81">
        <v>45988</v>
      </c>
      <c r="R259" s="2" t="s">
        <v>71</v>
      </c>
      <c r="S259" s="56" t="s">
        <v>48</v>
      </c>
      <c r="T259" s="56"/>
      <c r="U259" s="56"/>
      <c r="V259" s="31"/>
      <c r="W259" s="39">
        <v>11.89</v>
      </c>
      <c r="X259" s="2" t="s">
        <v>79</v>
      </c>
    </row>
    <row r="260" spans="17:24" x14ac:dyDescent="0.35">
      <c r="Q260" s="81">
        <v>45987</v>
      </c>
      <c r="R260" s="2" t="s">
        <v>31</v>
      </c>
      <c r="S260" s="56" t="s">
        <v>83</v>
      </c>
      <c r="T260" s="56"/>
      <c r="U260" s="56"/>
      <c r="V260" s="31">
        <v>7200</v>
      </c>
      <c r="W260" s="39"/>
      <c r="X260" s="2" t="s">
        <v>79</v>
      </c>
    </row>
    <row r="261" spans="17:24" x14ac:dyDescent="0.35">
      <c r="Q261" s="81">
        <v>45987</v>
      </c>
      <c r="R261" s="2" t="s">
        <v>31</v>
      </c>
      <c r="S261" s="56" t="s">
        <v>80</v>
      </c>
      <c r="T261" s="56"/>
      <c r="U261" s="56"/>
      <c r="V261" s="31">
        <v>9600</v>
      </c>
      <c r="W261" s="39"/>
      <c r="X261" s="2" t="s">
        <v>79</v>
      </c>
    </row>
    <row r="262" spans="17:24" x14ac:dyDescent="0.35">
      <c r="Q262" s="81">
        <v>45987</v>
      </c>
      <c r="R262" s="2" t="s">
        <v>31</v>
      </c>
      <c r="S262" s="56" t="s">
        <v>63</v>
      </c>
      <c r="T262" s="56"/>
      <c r="U262" s="56"/>
      <c r="V262" s="31">
        <v>6500</v>
      </c>
      <c r="W262" s="39"/>
      <c r="X262" s="2" t="s">
        <v>79</v>
      </c>
    </row>
    <row r="263" spans="17:24" x14ac:dyDescent="0.35">
      <c r="Q263" s="81">
        <v>45987</v>
      </c>
      <c r="R263" s="2" t="s">
        <v>68</v>
      </c>
      <c r="S263" s="56" t="s">
        <v>117</v>
      </c>
      <c r="T263" s="56"/>
      <c r="U263" s="56"/>
      <c r="V263" s="31">
        <v>2434</v>
      </c>
      <c r="W263" s="39"/>
      <c r="X263" s="2" t="s">
        <v>79</v>
      </c>
    </row>
    <row r="264" spans="17:24" x14ac:dyDescent="0.35">
      <c r="Q264" s="81">
        <v>45987</v>
      </c>
      <c r="R264" s="2" t="s">
        <v>71</v>
      </c>
      <c r="S264" s="56" t="s">
        <v>100</v>
      </c>
      <c r="T264" s="56"/>
      <c r="U264" s="56"/>
      <c r="V264" s="31"/>
      <c r="W264" s="39">
        <v>500000</v>
      </c>
      <c r="X264" s="2" t="s">
        <v>79</v>
      </c>
    </row>
    <row r="265" spans="17:24" x14ac:dyDescent="0.35">
      <c r="Q265" s="81">
        <v>45987</v>
      </c>
      <c r="R265" s="2" t="s">
        <v>68</v>
      </c>
      <c r="S265" s="56" t="s">
        <v>164</v>
      </c>
      <c r="T265" s="56"/>
      <c r="U265" s="56"/>
      <c r="V265" s="31"/>
      <c r="W265" s="39">
        <v>216.42</v>
      </c>
      <c r="X265" s="2" t="s">
        <v>79</v>
      </c>
    </row>
    <row r="266" spans="17:24" x14ac:dyDescent="0.35">
      <c r="Q266" s="81">
        <v>45987</v>
      </c>
      <c r="R266" s="2" t="s">
        <v>68</v>
      </c>
      <c r="S266" s="56" t="s">
        <v>164</v>
      </c>
      <c r="T266" s="56"/>
      <c r="U266" s="56"/>
      <c r="V266" s="31"/>
      <c r="W266" s="39">
        <v>216.42</v>
      </c>
      <c r="X266" s="2" t="s">
        <v>79</v>
      </c>
    </row>
    <row r="267" spans="17:24" x14ac:dyDescent="0.35">
      <c r="Q267" s="81">
        <v>45987</v>
      </c>
      <c r="R267" s="2" t="s">
        <v>68</v>
      </c>
      <c r="S267" s="56" t="s">
        <v>164</v>
      </c>
      <c r="T267" s="56"/>
      <c r="U267" s="56"/>
      <c r="V267" s="31"/>
      <c r="W267" s="39">
        <v>231.4</v>
      </c>
      <c r="X267" s="2" t="s">
        <v>79</v>
      </c>
    </row>
    <row r="268" spans="17:24" x14ac:dyDescent="0.35">
      <c r="Q268" s="81">
        <v>45987</v>
      </c>
      <c r="R268" s="2" t="s">
        <v>68</v>
      </c>
      <c r="S268" s="56" t="s">
        <v>164</v>
      </c>
      <c r="T268" s="56"/>
      <c r="U268" s="56"/>
      <c r="V268" s="31"/>
      <c r="W268" s="39">
        <v>344</v>
      </c>
      <c r="X268" s="2" t="s">
        <v>79</v>
      </c>
    </row>
    <row r="269" spans="17:24" x14ac:dyDescent="0.35">
      <c r="Q269" s="81">
        <v>45987</v>
      </c>
      <c r="R269" s="2" t="s">
        <v>68</v>
      </c>
      <c r="S269" s="56" t="s">
        <v>164</v>
      </c>
      <c r="T269" s="56"/>
      <c r="U269" s="56"/>
      <c r="V269" s="31"/>
      <c r="W269" s="39">
        <v>231</v>
      </c>
      <c r="X269" s="2" t="s">
        <v>79</v>
      </c>
    </row>
    <row r="270" spans="17:24" x14ac:dyDescent="0.35">
      <c r="Q270" s="81">
        <v>45987</v>
      </c>
      <c r="R270" s="2" t="s">
        <v>68</v>
      </c>
      <c r="S270" s="56" t="s">
        <v>164</v>
      </c>
      <c r="T270" s="56"/>
      <c r="U270" s="56"/>
      <c r="V270" s="31"/>
      <c r="W270" s="39">
        <v>10.94</v>
      </c>
      <c r="X270" s="2" t="s">
        <v>79</v>
      </c>
    </row>
    <row r="271" spans="17:24" x14ac:dyDescent="0.35">
      <c r="Q271" s="81">
        <v>45987</v>
      </c>
      <c r="R271" s="2" t="s">
        <v>68</v>
      </c>
      <c r="S271" s="56" t="s">
        <v>164</v>
      </c>
      <c r="T271" s="56"/>
      <c r="U271" s="56"/>
      <c r="V271" s="31"/>
      <c r="W271" s="39">
        <v>231.4</v>
      </c>
      <c r="X271" s="2" t="s">
        <v>79</v>
      </c>
    </row>
    <row r="272" spans="17:24" x14ac:dyDescent="0.35">
      <c r="Q272" s="81">
        <v>45986</v>
      </c>
      <c r="R272" s="2" t="s">
        <v>68</v>
      </c>
      <c r="S272" s="56" t="s">
        <v>164</v>
      </c>
      <c r="T272" s="56"/>
      <c r="U272" s="56"/>
      <c r="V272" s="31"/>
      <c r="W272" s="39">
        <v>216.42</v>
      </c>
      <c r="X272" s="2" t="s">
        <v>79</v>
      </c>
    </row>
    <row r="273" spans="17:24" x14ac:dyDescent="0.35">
      <c r="Q273" s="81">
        <v>45986</v>
      </c>
      <c r="R273" s="2" t="s">
        <v>68</v>
      </c>
      <c r="S273" s="56" t="s">
        <v>164</v>
      </c>
      <c r="T273" s="56"/>
      <c r="U273" s="56"/>
      <c r="V273" s="31"/>
      <c r="W273" s="39">
        <v>231.4</v>
      </c>
      <c r="X273" s="2" t="s">
        <v>79</v>
      </c>
    </row>
    <row r="274" spans="17:24" x14ac:dyDescent="0.35">
      <c r="Q274" s="81">
        <v>45988</v>
      </c>
      <c r="R274" s="2" t="s">
        <v>71</v>
      </c>
      <c r="S274" s="56" t="s">
        <v>48</v>
      </c>
      <c r="T274" s="56"/>
      <c r="U274" s="56"/>
      <c r="V274" s="31"/>
      <c r="W274" s="39">
        <v>0.92</v>
      </c>
      <c r="X274" s="2" t="s">
        <v>20</v>
      </c>
    </row>
    <row r="275" spans="17:24" x14ac:dyDescent="0.35">
      <c r="Q275" s="81">
        <v>45987</v>
      </c>
      <c r="R275" s="2" t="s">
        <v>71</v>
      </c>
      <c r="S275" s="56" t="s">
        <v>48</v>
      </c>
      <c r="T275" s="56"/>
      <c r="U275" s="56"/>
      <c r="V275" s="31"/>
      <c r="W275" s="39">
        <v>0.92</v>
      </c>
      <c r="X275" s="2" t="s">
        <v>20</v>
      </c>
    </row>
    <row r="276" spans="17:24" x14ac:dyDescent="0.35">
      <c r="Q276" s="81">
        <v>45986</v>
      </c>
      <c r="R276" s="2" t="s">
        <v>31</v>
      </c>
      <c r="S276" s="56" t="s">
        <v>83</v>
      </c>
      <c r="T276" s="56"/>
      <c r="U276" s="56"/>
      <c r="V276" s="31">
        <v>1000</v>
      </c>
      <c r="W276" s="39"/>
      <c r="X276" s="2" t="s">
        <v>30</v>
      </c>
    </row>
    <row r="277" spans="17:24" x14ac:dyDescent="0.35">
      <c r="Q277" s="81">
        <v>45986</v>
      </c>
      <c r="R277" s="2" t="s">
        <v>31</v>
      </c>
      <c r="S277" s="56" t="s">
        <v>80</v>
      </c>
      <c r="T277" s="56"/>
      <c r="U277" s="56"/>
      <c r="V277" s="31">
        <v>10000</v>
      </c>
      <c r="W277" s="39"/>
      <c r="X277" s="2" t="s">
        <v>30</v>
      </c>
    </row>
    <row r="278" spans="17:24" x14ac:dyDescent="0.35">
      <c r="Q278" s="81">
        <v>45987</v>
      </c>
      <c r="R278" s="2" t="s">
        <v>76</v>
      </c>
      <c r="S278" s="56" t="s">
        <v>165</v>
      </c>
      <c r="T278" s="56"/>
      <c r="U278" s="56"/>
      <c r="V278" s="31">
        <v>130000</v>
      </c>
      <c r="W278" s="39"/>
      <c r="X278" s="2" t="s">
        <v>30</v>
      </c>
    </row>
  </sheetData>
  <mergeCells count="3">
    <mergeCell ref="L23:M23"/>
    <mergeCell ref="AB1:AF1"/>
    <mergeCell ref="AK1:AL1"/>
  </mergeCells>
  <phoneticPr fontId="9" type="noConversion"/>
  <conditionalFormatting sqref="H3:I27 G2:G19">
    <cfRule type="iconSet" priority="14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O8:O19 O22 O2:O5">
    <cfRule type="iconSet" priority="12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C7:AC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{F9C03DCB-B4A0-43A1-836E-D7F5C082282C}</x14:id>
        </ext>
      </extLst>
    </cfRule>
  </conditionalFormatting>
  <conditionalFormatting sqref="AF64:AF6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{89071343-1B6A-464B-8055-B083D7FA1F5E}</x14:id>
        </ext>
      </extLst>
    </cfRule>
  </conditionalFormatting>
  <conditionalFormatting sqref="AF66:AF67 AN28:AN30 AE68">
    <cfRule type="iconSet" priority="11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71:AF72">
    <cfRule type="iconSet" priority="1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63:AH6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{AE273B4D-D4DB-44D1-A285-3E0DAD1B65CB}</x14:id>
        </ext>
      </extLst>
    </cfRule>
  </conditionalFormatting>
  <conditionalFormatting sqref="AF57:AI60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{AC97A588-17A5-44E9-B42F-A84ED4BF0549}</x14:id>
        </ext>
      </extLst>
    </cfRule>
  </conditionalFormatting>
  <conditionalFormatting sqref="AG7:AG8"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{199733C6-6A7D-40BE-8362-72EC4DA21943}</x14:id>
        </ext>
      </extLst>
    </cfRule>
  </conditionalFormatting>
  <conditionalFormatting sqref="AG9 AN13:AN22">
    <cfRule type="iconSet" priority="4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10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66:AG67 AF68">
    <cfRule type="iconSet" priority="12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64:AH6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{EECB6B16-71CA-42BC-9556-81D1C16B694A}</x14:id>
        </ext>
      </extLst>
    </cfRule>
  </conditionalFormatting>
  <conditionalFormatting sqref="AG65:AH6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{E1998A0E-2B49-44E3-90FC-95AFDD1A2D27}</x14:id>
        </ext>
      </extLst>
    </cfRule>
  </conditionalFormatting>
  <conditionalFormatting sqref="AH9">
    <cfRule type="iconSet" priority="4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I63:AI6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{E94A47CA-1BB2-458D-8422-58D71E6577C7}</x14:id>
        </ext>
      </extLst>
    </cfRule>
  </conditionalFormatting>
  <conditionalFormatting sqref="AI10:AK10">
    <cfRule type="iconSet" priority="2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L8:AL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{03304910-C666-4620-87C1-9E66A2552799}</x14:id>
        </ext>
      </extLst>
    </cfRule>
  </conditionalFormatting>
  <conditionalFormatting sqref="AL1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{F1739818-D8CD-4D58-90AF-7D96FF8A0096}</x14:id>
        </ext>
      </extLst>
    </cfRule>
  </conditionalFormatting>
  <conditionalFormatting sqref="AL21:AL2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{97FD835B-23C3-452A-B8E9-55770C104674}</x14:id>
        </ext>
      </extLst>
    </cfRule>
  </conditionalFormatting>
  <conditionalFormatting sqref="AL33:AL3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{B7EB58A9-37C9-4B86-ADD9-F55ACD1EDCAD}</x14:id>
        </ext>
      </extLst>
    </cfRule>
  </conditionalFormatting>
  <conditionalFormatting sqref="AM8:AM10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{231989FB-13E8-405F-A2F3-839564E8EAAB}</x14:id>
        </ext>
      </extLst>
    </cfRule>
  </conditionalFormatting>
  <conditionalFormatting sqref="AM13:AM2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{56BDDB41-C8BF-4B71-AEFB-3CC8E4A0F847}</x14:id>
        </ext>
      </extLst>
    </cfRule>
  </conditionalFormatting>
  <conditionalFormatting sqref="AM28:AM30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{87E081CF-9D68-4E4B-B8B1-243B9C4FDB62}</x14:id>
        </ext>
      </extLst>
    </cfRule>
  </conditionalFormatting>
  <dataValidations count="3">
    <dataValidation type="list" allowBlank="1" showInputMessage="1" showErrorMessage="1" sqref="C2:C19 R2:R278" xr:uid="{A1B7C6B6-8B0A-4279-A3CC-634BDE4A3E5F}">
      <formula1>INDIRECT("RUBROS[RUBROS]")</formula1>
    </dataValidation>
    <dataValidation type="list" allowBlank="1" showInputMessage="1" showErrorMessage="1" sqref="D2:D19 S2:S278" xr:uid="{455FE8C7-C63D-474F-9BEE-3D75027E96CE}">
      <formula1>INDIRECT(C2)</formula1>
    </dataValidation>
    <dataValidation type="list" allowBlank="1" showInputMessage="1" showErrorMessage="1" sqref="X2:X278" xr:uid="{5C8915CB-40B6-4FC8-A03F-A1505E11B354}">
      <formula1>INDIRECT("CAJAS[CAJAS]")</formula1>
    </dataValidation>
  </dataValidations>
  <pageMargins left="0.7" right="0.7" top="0.75" bottom="0.75" header="0.3" footer="0.3"/>
  <pageSetup paperSize="9" orientation="portrait" r:id="rId3"/>
  <ignoredErrors>
    <ignoredError sqref="N2:N5" calculatedColumn="1"/>
  </ignoredErrors>
  <tableParts count="4"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2" id="{0775BAE2-41C5-4AE9-A4C3-61066128149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O23</xm:sqref>
        </x14:conditionalFormatting>
        <x14:conditionalFormatting xmlns:xm="http://schemas.microsoft.com/office/excel/2006/main">
          <x14:cfRule type="dataBar" id="{F9C03DCB-B4A0-43A1-836E-D7F5C0822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AC7:AC8</xm:sqref>
        </x14:conditionalFormatting>
        <x14:conditionalFormatting xmlns:xm="http://schemas.microsoft.com/office/excel/2006/main">
          <x14:cfRule type="dataBar" id="{89071343-1B6A-464B-8055-B083D7FA1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AF64:AF65</xm:sqref>
        </x14:conditionalFormatting>
        <x14:conditionalFormatting xmlns:xm="http://schemas.microsoft.com/office/excel/2006/main">
          <x14:cfRule type="dataBar" id="{AE273B4D-D4DB-44D1-A285-3E0DAD1B6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AF63:AH63</xm:sqref>
        </x14:conditionalFormatting>
        <x14:conditionalFormatting xmlns:xm="http://schemas.microsoft.com/office/excel/2006/main">
          <x14:cfRule type="dataBar" id="{AC97A588-17A5-44E9-B42F-A84ED4BF05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AF57:AI60</xm:sqref>
        </x14:conditionalFormatting>
        <x14:conditionalFormatting xmlns:xm="http://schemas.microsoft.com/office/excel/2006/main">
          <x14:cfRule type="dataBar" id="{199733C6-6A7D-40BE-8362-72EC4DA219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  <x14:conditionalFormatting xmlns:xm="http://schemas.microsoft.com/office/excel/2006/main">
          <x14:cfRule type="dataBar" id="{EECB6B16-71CA-42BC-9556-81D1C16B69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AG64:AH64</xm:sqref>
        </x14:conditionalFormatting>
        <x14:conditionalFormatting xmlns:xm="http://schemas.microsoft.com/office/excel/2006/main">
          <x14:cfRule type="dataBar" id="{E1998A0E-2B49-44E3-90FC-95AFDD1A2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AG65:AH65</xm:sqref>
        </x14:conditionalFormatting>
        <x14:conditionalFormatting xmlns:xm="http://schemas.microsoft.com/office/excel/2006/main">
          <x14:cfRule type="dataBar" id="{E94A47CA-1BB2-458D-8422-58D71E6577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AI63:AI65</xm:sqref>
        </x14:conditionalFormatting>
        <x14:conditionalFormatting xmlns:xm="http://schemas.microsoft.com/office/excel/2006/main">
          <x14:cfRule type="dataBar" id="{03304910-C666-4620-87C1-9E66A2552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1739818-D8CD-4D58-90AF-7D96FF8A00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AL10</xm:sqref>
        </x14:conditionalFormatting>
        <x14:conditionalFormatting xmlns:xm="http://schemas.microsoft.com/office/excel/2006/main">
          <x14:cfRule type="dataBar" id="{97FD835B-23C3-452A-B8E9-55770C1046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AL21:AL27</xm:sqref>
        </x14:conditionalFormatting>
        <x14:conditionalFormatting xmlns:xm="http://schemas.microsoft.com/office/excel/2006/main">
          <x14:cfRule type="dataBar" id="{B7EB58A9-37C9-4B86-ADD9-F55ACD1ED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AL33:AL35</xm:sqref>
        </x14:conditionalFormatting>
        <x14:conditionalFormatting xmlns:xm="http://schemas.microsoft.com/office/excel/2006/main">
          <x14:cfRule type="dataBar" id="{231989FB-13E8-405F-A2F3-839564E8EAA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AM8:AM10</xm:sqref>
        </x14:conditionalFormatting>
        <x14:conditionalFormatting xmlns:xm="http://schemas.microsoft.com/office/excel/2006/main">
          <x14:cfRule type="dataBar" id="{56BDDB41-C8BF-4B71-AEFB-3CC8E4A0F8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AM13:AM22</xm:sqref>
        </x14:conditionalFormatting>
        <x14:conditionalFormatting xmlns:xm="http://schemas.microsoft.com/office/excel/2006/main">
          <x14:cfRule type="dataBar" id="{87E081CF-9D68-4E4B-B8B1-243B9C4FDB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AM28:AM30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2A28-DABB-4377-B529-29BE221F09FC}">
  <dimension ref="A1:AM142"/>
  <sheetViews>
    <sheetView showGridLines="0" topLeftCell="D1" zoomScaleNormal="100" workbookViewId="0">
      <selection activeCell="I4" sqref="I4"/>
    </sheetView>
  </sheetViews>
  <sheetFormatPr baseColWidth="10" defaultColWidth="11.453125" defaultRowHeight="14.5" x14ac:dyDescent="0.35"/>
  <cols>
    <col min="1" max="1" width="17.54296875" style="7" bestFit="1" customWidth="1"/>
    <col min="2" max="2" width="17" style="7" bestFit="1" customWidth="1"/>
    <col min="3" max="3" width="22" style="7" bestFit="1" customWidth="1"/>
    <col min="4" max="4" width="12" style="7" bestFit="1" customWidth="1"/>
    <col min="5" max="5" width="15.7265625" style="32" customWidth="1"/>
    <col min="6" max="6" width="15.7265625" style="33" customWidth="1"/>
    <col min="7" max="7" width="7.1796875" style="32" customWidth="1"/>
    <col min="8" max="9" width="3.7265625" style="32" customWidth="1"/>
    <col min="10" max="10" width="10.81640625" style="55" bestFit="1" customWidth="1"/>
    <col min="11" max="11" width="17.54296875" style="32" bestFit="1" customWidth="1"/>
    <col min="12" max="12" width="14.453125" style="7" bestFit="1" customWidth="1"/>
    <col min="13" max="13" width="18" style="32" bestFit="1" customWidth="1"/>
    <col min="14" max="14" width="22" style="33" bestFit="1" customWidth="1"/>
    <col min="15" max="15" width="22" style="32" bestFit="1" customWidth="1"/>
    <col min="16" max="16" width="3.7265625" style="7" customWidth="1"/>
    <col min="17" max="17" width="8.453125" style="7" customWidth="1"/>
    <col min="18" max="18" width="15" style="7" bestFit="1" customWidth="1"/>
    <col min="19" max="19" width="15" style="44" customWidth="1"/>
    <col min="20" max="21" width="15" style="44" hidden="1" customWidth="1"/>
    <col min="22" max="23" width="13.1796875" style="26" bestFit="1" customWidth="1"/>
    <col min="24" max="24" width="13" style="2" bestFit="1" customWidth="1"/>
    <col min="25" max="25" width="3.453125" style="2" customWidth="1"/>
    <col min="26" max="26" width="5.08984375" style="7" customWidth="1"/>
    <col min="27" max="27" width="8.6328125" style="2" bestFit="1" customWidth="1"/>
    <col min="28" max="28" width="13.1796875" style="7" customWidth="1"/>
    <col min="29" max="29" width="22" style="7" customWidth="1"/>
    <col min="30" max="30" width="13.7265625" style="7" customWidth="1"/>
    <col min="31" max="31" width="15.26953125" style="7" bestFit="1" customWidth="1"/>
    <col min="32" max="32" width="19.81640625" style="7" customWidth="1"/>
    <col min="33" max="33" width="17.81640625" style="7" customWidth="1"/>
    <col min="34" max="34" width="15.26953125" style="7" customWidth="1"/>
    <col min="35" max="35" width="15.08984375" style="7" customWidth="1"/>
    <col min="36" max="36" width="13.54296875" style="7" bestFit="1" customWidth="1"/>
    <col min="37" max="37" width="11.453125" style="7"/>
    <col min="38" max="38" width="17.54296875" style="7" bestFit="1" customWidth="1"/>
    <col min="39" max="39" width="13" style="7" bestFit="1" customWidth="1"/>
    <col min="40" max="40" width="13.453125" style="7" bestFit="1" customWidth="1"/>
    <col min="41" max="42" width="12" style="7" bestFit="1" customWidth="1"/>
    <col min="43" max="44" width="11" style="7" bestFit="1" customWidth="1"/>
    <col min="45" max="45" width="8.453125" style="7" bestFit="1" customWidth="1"/>
    <col min="46" max="46" width="13" style="7" bestFit="1" customWidth="1"/>
    <col min="47" max="16384" width="11.453125" style="7"/>
  </cols>
  <sheetData>
    <row r="1" spans="1:39" s="1" customFormat="1" x14ac:dyDescent="0.35">
      <c r="A1" s="64" t="s">
        <v>75</v>
      </c>
      <c r="B1" s="64" t="s">
        <v>74</v>
      </c>
      <c r="C1" s="65" t="s">
        <v>18</v>
      </c>
      <c r="D1" s="66" t="s">
        <v>38</v>
      </c>
      <c r="E1" s="65" t="s">
        <v>17</v>
      </c>
      <c r="F1" s="65" t="s">
        <v>36</v>
      </c>
      <c r="G1" s="65" t="s">
        <v>35</v>
      </c>
      <c r="H1" s="4"/>
      <c r="I1" s="4"/>
      <c r="J1" s="53" t="s">
        <v>75</v>
      </c>
      <c r="K1" s="6" t="s">
        <v>85</v>
      </c>
      <c r="L1" s="6" t="s">
        <v>19</v>
      </c>
      <c r="M1" s="6" t="s">
        <v>17</v>
      </c>
      <c r="N1" s="6" t="s">
        <v>37</v>
      </c>
      <c r="O1" s="6" t="s">
        <v>35</v>
      </c>
      <c r="Q1" s="24" t="s">
        <v>115</v>
      </c>
      <c r="R1" s="6" t="s">
        <v>18</v>
      </c>
      <c r="S1" s="30" t="s">
        <v>38</v>
      </c>
      <c r="T1" s="30" t="s">
        <v>65</v>
      </c>
      <c r="U1" s="30" t="s">
        <v>70</v>
      </c>
      <c r="V1" s="35" t="s">
        <v>27</v>
      </c>
      <c r="W1" s="36" t="s">
        <v>26</v>
      </c>
      <c r="X1" s="6" t="s">
        <v>34</v>
      </c>
      <c r="Y1" s="2"/>
      <c r="AA1" s="2"/>
      <c r="AB1" s="87">
        <f>SUM(AB3:AE3)+AC7+AG3</f>
        <v>0</v>
      </c>
      <c r="AC1" s="87"/>
      <c r="AD1" s="87"/>
      <c r="AE1" s="87"/>
      <c r="AF1" s="87"/>
      <c r="AG1" s="37"/>
      <c r="AL1" s="88">
        <f>+AK3-AL3</f>
        <v>0</v>
      </c>
      <c r="AM1" s="88"/>
    </row>
    <row r="2" spans="1:39" s="5" customFormat="1" x14ac:dyDescent="0.35">
      <c r="A2" s="79">
        <f t="shared" ref="A2:A20" si="0">IF(WEEKDAY(DATE($J$9,$K$9,B2),2)=7, DATE($J$9,$K$9,B2)-2, DATE($J$9,$K$9,B2))</f>
        <v>45992</v>
      </c>
      <c r="B2" s="7">
        <v>1</v>
      </c>
      <c r="C2" s="2" t="s">
        <v>68</v>
      </c>
      <c r="D2" s="2" t="s">
        <v>4</v>
      </c>
      <c r="E2" s="26">
        <f>+Hoja1!C1</f>
        <v>355320</v>
      </c>
      <c r="F2" s="46">
        <f t="shared" ref="F2:F12" si="1">+SUMIFS(V:V,R:R,C2,S:S,D2)</f>
        <v>0</v>
      </c>
      <c r="G2" s="28">
        <f t="shared" ref="G2:G20" si="2">+IFERROR(F2/E2,0)</f>
        <v>0</v>
      </c>
      <c r="H2" s="6"/>
      <c r="I2" s="6"/>
      <c r="J2" s="54">
        <f>IF(WEEKDAY(DATE($J$9,$K$9,K2),2)=7, DATE($J$9,$K$9,K2)-2, DATE($J$9,$K$9,K2))</f>
        <v>45994</v>
      </c>
      <c r="K2" s="2">
        <v>3</v>
      </c>
      <c r="L2" s="2" t="s">
        <v>98</v>
      </c>
      <c r="M2" s="26">
        <v>1418000</v>
      </c>
      <c r="N2" s="27">
        <f>+SUMIFS(W:W,S:S,L2)</f>
        <v>0</v>
      </c>
      <c r="O2" s="28">
        <f>+IFERROR(N2/M2,0)</f>
        <v>0</v>
      </c>
      <c r="P2" s="6"/>
      <c r="Q2" s="8"/>
      <c r="R2" s="2"/>
      <c r="S2" s="38"/>
      <c r="T2" s="38"/>
      <c r="U2" s="38"/>
      <c r="V2" s="31"/>
      <c r="W2" s="39"/>
      <c r="X2" s="2"/>
      <c r="Y2" s="6"/>
      <c r="AB2" s="6" t="s">
        <v>20</v>
      </c>
      <c r="AC2" s="6" t="s">
        <v>79</v>
      </c>
      <c r="AD2" s="71" t="s">
        <v>112</v>
      </c>
      <c r="AE2" s="40" t="s">
        <v>30</v>
      </c>
      <c r="AF2" s="40" t="s">
        <v>106</v>
      </c>
      <c r="AG2" s="40" t="s">
        <v>61</v>
      </c>
      <c r="AH2" s="6" t="s">
        <v>64</v>
      </c>
      <c r="AJ2" s="40" t="s">
        <v>33</v>
      </c>
      <c r="AK2" s="41" t="s">
        <v>27</v>
      </c>
      <c r="AL2" s="36" t="s">
        <v>26</v>
      </c>
    </row>
    <row r="3" spans="1:39" x14ac:dyDescent="0.35">
      <c r="A3" s="79">
        <f t="shared" si="0"/>
        <v>45994</v>
      </c>
      <c r="B3" s="7">
        <v>3</v>
      </c>
      <c r="C3" s="2" t="s">
        <v>22</v>
      </c>
      <c r="D3" s="2" t="s">
        <v>113</v>
      </c>
      <c r="E3" s="26">
        <v>38613.97</v>
      </c>
      <c r="F3" s="46">
        <f t="shared" si="1"/>
        <v>0</v>
      </c>
      <c r="G3" s="28">
        <f t="shared" si="2"/>
        <v>0</v>
      </c>
      <c r="H3" s="25"/>
      <c r="I3" s="25"/>
      <c r="J3" s="54">
        <f>IF(WEEKDAY(DATE($J$9,$K$9,K3),2)=7, DATE($J$9,$K$9,K3)-2, DATE($J$9,$K$9,K3))</f>
        <v>46002</v>
      </c>
      <c r="K3" s="2">
        <v>11</v>
      </c>
      <c r="L3" s="2" t="s">
        <v>100</v>
      </c>
      <c r="M3" s="26">
        <v>1000000</v>
      </c>
      <c r="N3" s="27">
        <f>+SUMIFS(W:W,S:S,L3)</f>
        <v>0</v>
      </c>
      <c r="O3" s="28">
        <f t="shared" ref="O3:O6" si="3">+IFERROR(N3/M3,0)</f>
        <v>0</v>
      </c>
      <c r="Q3" s="8"/>
      <c r="R3" s="2"/>
      <c r="S3" s="56"/>
      <c r="T3" s="56"/>
      <c r="U3" s="56"/>
      <c r="V3" s="31"/>
      <c r="W3" s="39"/>
      <c r="AA3" s="2" t="s">
        <v>92</v>
      </c>
      <c r="AB3" s="3">
        <f>SUM(AB4:AB6)</f>
        <v>0</v>
      </c>
      <c r="AC3" s="3">
        <f>SUM(AC4:AC6)</f>
        <v>0</v>
      </c>
      <c r="AD3" s="3">
        <f>SUM(AD4:AD6)+SUM(AG72,AG73)-SUM(AD4:AD6)</f>
        <v>0</v>
      </c>
      <c r="AE3" s="3">
        <f>SUM(AE4:AE6)</f>
        <v>0</v>
      </c>
      <c r="AF3" s="3">
        <f ca="1">+Tabla2721[[#Totals],[HOY]]</f>
        <v>0</v>
      </c>
      <c r="AG3" s="3">
        <f>SUM(AG4:AG6)</f>
        <v>0</v>
      </c>
      <c r="AH3" s="3">
        <f>SUM(AH4:AH6)</f>
        <v>0</v>
      </c>
      <c r="AJ3" s="40" t="s">
        <v>32</v>
      </c>
      <c r="AK3" s="42">
        <f>+SUMIFS($V:$V,$R:$R,$AJ$3)</f>
        <v>0</v>
      </c>
      <c r="AL3" s="43">
        <f>+SUMIFS($W:$W,$R:$R,$AJ$3)</f>
        <v>0</v>
      </c>
    </row>
    <row r="4" spans="1:39" x14ac:dyDescent="0.35">
      <c r="A4" s="79">
        <f t="shared" si="0"/>
        <v>45996</v>
      </c>
      <c r="B4" s="7">
        <v>7</v>
      </c>
      <c r="C4" s="2" t="s">
        <v>10</v>
      </c>
      <c r="D4" s="2" t="s">
        <v>15</v>
      </c>
      <c r="E4" s="26">
        <v>58557</v>
      </c>
      <c r="F4" s="46">
        <f t="shared" si="1"/>
        <v>0</v>
      </c>
      <c r="G4" s="28">
        <f t="shared" si="2"/>
        <v>0</v>
      </c>
      <c r="H4" s="25"/>
      <c r="I4" s="25"/>
      <c r="J4" s="54">
        <f>IF(WEEKDAY(DATE($J$9,$K$9,K4),2)=7, DATE($J$9,$K$9,K4)-2, DATE($J$9,$K$9,K4))</f>
        <v>46006</v>
      </c>
      <c r="K4" s="2">
        <v>15</v>
      </c>
      <c r="L4" s="2" t="s">
        <v>129</v>
      </c>
      <c r="M4" s="26">
        <v>120000</v>
      </c>
      <c r="N4" s="27">
        <f>+SUMIFS(W:W,S:S,L4)</f>
        <v>0</v>
      </c>
      <c r="O4" s="28">
        <f t="shared" si="3"/>
        <v>0</v>
      </c>
      <c r="Q4" s="8"/>
      <c r="R4" s="2"/>
      <c r="S4" s="56"/>
      <c r="T4" s="56"/>
      <c r="U4" s="56"/>
      <c r="V4" s="31"/>
      <c r="W4" s="39"/>
      <c r="AA4" s="2" t="s">
        <v>93</v>
      </c>
      <c r="AB4" s="34"/>
      <c r="AC4" s="34"/>
      <c r="AD4" s="34"/>
      <c r="AE4" s="34"/>
      <c r="AF4" s="34"/>
      <c r="AG4" s="34"/>
      <c r="AH4" s="34"/>
    </row>
    <row r="5" spans="1:39" x14ac:dyDescent="0.35">
      <c r="A5" s="79">
        <f t="shared" si="0"/>
        <v>45996</v>
      </c>
      <c r="B5" s="7">
        <v>7</v>
      </c>
      <c r="C5" s="2" t="s">
        <v>22</v>
      </c>
      <c r="D5" s="2" t="s">
        <v>28</v>
      </c>
      <c r="E5" s="26">
        <v>6094.86</v>
      </c>
      <c r="F5" s="46">
        <f t="shared" si="1"/>
        <v>0</v>
      </c>
      <c r="G5" s="28">
        <f t="shared" si="2"/>
        <v>0</v>
      </c>
      <c r="H5" s="25"/>
      <c r="I5" s="25"/>
      <c r="J5" s="82">
        <v>45994</v>
      </c>
      <c r="K5" s="2">
        <v>3</v>
      </c>
      <c r="L5" s="2" t="s">
        <v>153</v>
      </c>
      <c r="M5" s="26">
        <v>1670000</v>
      </c>
      <c r="N5" s="27">
        <f>+SUMIFS(W:W,S:S,L5,Q:Q,PRESUPUESTO.INGRESO31[[#This Row],[FECHA]])</f>
        <v>0</v>
      </c>
      <c r="O5" s="28">
        <f>+IFERROR(N5/M5,0)</f>
        <v>0</v>
      </c>
      <c r="Q5" s="8"/>
      <c r="R5" s="2"/>
      <c r="S5" s="56"/>
      <c r="T5" s="56"/>
      <c r="U5" s="56"/>
      <c r="V5" s="31"/>
      <c r="W5" s="39"/>
      <c r="AA5" s="9" t="s">
        <v>26</v>
      </c>
      <c r="AB5" s="10">
        <f t="shared" ref="AB5:AH5" si="4">+SUMIFS($W:$W,$X:$X,AB2)</f>
        <v>0</v>
      </c>
      <c r="AC5" s="10">
        <f t="shared" si="4"/>
        <v>0</v>
      </c>
      <c r="AD5" s="10">
        <f t="shared" si="4"/>
        <v>0</v>
      </c>
      <c r="AE5" s="10">
        <f t="shared" si="4"/>
        <v>0</v>
      </c>
      <c r="AF5" s="10">
        <f t="shared" si="4"/>
        <v>0</v>
      </c>
      <c r="AG5" s="10">
        <f t="shared" si="4"/>
        <v>0</v>
      </c>
      <c r="AH5" s="10">
        <f t="shared" si="4"/>
        <v>0</v>
      </c>
    </row>
    <row r="6" spans="1:39" x14ac:dyDescent="0.35">
      <c r="A6" s="79">
        <f t="shared" si="0"/>
        <v>45997</v>
      </c>
      <c r="B6" s="7">
        <v>6</v>
      </c>
      <c r="C6" s="2" t="s">
        <v>67</v>
      </c>
      <c r="D6" s="2" t="s">
        <v>4</v>
      </c>
      <c r="E6" s="26">
        <v>11000</v>
      </c>
      <c r="F6" s="46">
        <f t="shared" si="1"/>
        <v>0</v>
      </c>
      <c r="G6" s="28">
        <f t="shared" si="2"/>
        <v>0</v>
      </c>
      <c r="H6" s="25"/>
      <c r="I6" s="25"/>
      <c r="J6" s="54">
        <f>IF(WEEKDAY(DATE($J$9,$K$9,K6),2)=7, DATE($J$9,$K$9,K6)-2, DATE($J$9,$K$9,K6))</f>
        <v>46001</v>
      </c>
      <c r="K6" s="2">
        <v>10</v>
      </c>
      <c r="L6" s="2" t="s">
        <v>162</v>
      </c>
      <c r="M6" s="26">
        <v>500000</v>
      </c>
      <c r="N6" s="27">
        <f>+SUMIFS(W:W,S:S,L6,Q:Q,PRESUPUESTO.INGRESO31[[#This Row],[FECHA]])</f>
        <v>0</v>
      </c>
      <c r="O6" s="28">
        <f t="shared" si="3"/>
        <v>0</v>
      </c>
      <c r="Q6" s="8"/>
      <c r="R6" s="2"/>
      <c r="S6" s="56"/>
      <c r="T6" s="56"/>
      <c r="U6" s="56"/>
      <c r="V6" s="31"/>
      <c r="W6" s="39"/>
      <c r="AA6" s="11" t="s">
        <v>27</v>
      </c>
      <c r="AB6" s="12">
        <f t="shared" ref="AB6:AH6" si="5">+SUMIFS($V:$V,$X:$X,AB2)*-1</f>
        <v>0</v>
      </c>
      <c r="AC6" s="12">
        <f t="shared" si="5"/>
        <v>0</v>
      </c>
      <c r="AD6" s="12">
        <f t="shared" si="5"/>
        <v>0</v>
      </c>
      <c r="AE6" s="12">
        <f t="shared" si="5"/>
        <v>0</v>
      </c>
      <c r="AF6" s="12">
        <f t="shared" si="5"/>
        <v>0</v>
      </c>
      <c r="AG6" s="12">
        <f t="shared" si="5"/>
        <v>0</v>
      </c>
      <c r="AH6" s="12">
        <f t="shared" si="5"/>
        <v>0</v>
      </c>
    </row>
    <row r="7" spans="1:39" x14ac:dyDescent="0.35">
      <c r="A7" s="79">
        <f t="shared" si="0"/>
        <v>45999</v>
      </c>
      <c r="B7" s="7">
        <v>8</v>
      </c>
      <c r="C7" s="2" t="s">
        <v>22</v>
      </c>
      <c r="D7" s="2" t="s">
        <v>24</v>
      </c>
      <c r="E7" s="26">
        <v>7836.79</v>
      </c>
      <c r="F7" s="46">
        <f t="shared" si="1"/>
        <v>0</v>
      </c>
      <c r="G7" s="28">
        <f t="shared" si="2"/>
        <v>0</v>
      </c>
      <c r="H7" s="25"/>
      <c r="I7" s="25"/>
      <c r="J7" s="54">
        <f>IF(WEEKDAY(DATE($J$9,$K$9,K7),2)=7, DATE($J$9,$K$9,K7)-2, DATE($J$9,$K$9,K7))</f>
        <v>46001</v>
      </c>
      <c r="K7" s="2">
        <v>10</v>
      </c>
      <c r="L7" s="2" t="s">
        <v>163</v>
      </c>
      <c r="M7" s="26">
        <v>300000</v>
      </c>
      <c r="N7" s="27">
        <f>+SUMIFS(W:W,S:S,L7,Q:Q,PRESUPUESTO.INGRESO31[[#This Row],[FECHA]])</f>
        <v>0</v>
      </c>
      <c r="O7" s="28">
        <f>+IFERROR(N7/M7,0)</f>
        <v>0</v>
      </c>
      <c r="Q7" s="8"/>
      <c r="R7" s="2"/>
      <c r="S7" s="56"/>
      <c r="T7" s="56"/>
      <c r="U7" s="56"/>
      <c r="V7" s="31"/>
      <c r="W7" s="39"/>
      <c r="AC7" s="16"/>
      <c r="AD7" s="14"/>
      <c r="AF7" s="14"/>
      <c r="AG7" s="26"/>
    </row>
    <row r="8" spans="1:39" x14ac:dyDescent="0.35">
      <c r="A8" s="79">
        <f t="shared" si="0"/>
        <v>46001</v>
      </c>
      <c r="B8" s="7">
        <v>10</v>
      </c>
      <c r="C8" s="2" t="s">
        <v>76</v>
      </c>
      <c r="D8" s="2" t="s">
        <v>0</v>
      </c>
      <c r="E8" s="26">
        <v>50000</v>
      </c>
      <c r="F8" s="46">
        <f t="shared" si="1"/>
        <v>0</v>
      </c>
      <c r="G8" s="28">
        <f t="shared" si="2"/>
        <v>0</v>
      </c>
      <c r="H8" s="25"/>
      <c r="I8" s="25"/>
      <c r="J8" s="54" t="s">
        <v>73</v>
      </c>
      <c r="K8" s="2"/>
      <c r="L8" s="2"/>
      <c r="M8" s="16">
        <f>SUBTOTAL(109,PRESUPUESTO.INGRESO31[PRESUPUESTO])</f>
        <v>5008000</v>
      </c>
      <c r="N8" s="29">
        <f>SUBTOTAL(109,PRESUPUESTO.INGRESO31[COBRADO])</f>
        <v>0</v>
      </c>
      <c r="O8" s="22">
        <f>+IFERROR(PRESUPUESTO.INGRESO31[[#Totals],[COBRADO]]/PRESUPUESTO.INGRESO31[[#Totals],[PRESUPUESTO]],0)</f>
        <v>0</v>
      </c>
      <c r="Q8" s="8"/>
      <c r="R8" s="2"/>
      <c r="S8" s="56"/>
      <c r="T8" s="56"/>
      <c r="U8" s="56"/>
      <c r="V8" s="31"/>
      <c r="W8" s="39"/>
      <c r="AB8" s="14"/>
      <c r="AC8" s="16"/>
      <c r="AD8" s="14"/>
      <c r="AE8" s="14"/>
      <c r="AF8" s="57"/>
      <c r="AG8" s="26"/>
      <c r="AK8" s="2"/>
      <c r="AL8" s="26"/>
    </row>
    <row r="9" spans="1:39" x14ac:dyDescent="0.35">
      <c r="A9" s="79">
        <f t="shared" si="0"/>
        <v>46001</v>
      </c>
      <c r="B9" s="7">
        <v>10</v>
      </c>
      <c r="C9" s="2" t="s">
        <v>10</v>
      </c>
      <c r="D9" s="2" t="s">
        <v>13</v>
      </c>
      <c r="E9" s="26">
        <v>30800</v>
      </c>
      <c r="F9" s="46">
        <f t="shared" si="1"/>
        <v>0</v>
      </c>
      <c r="G9" s="28">
        <f t="shared" si="2"/>
        <v>0</v>
      </c>
      <c r="H9" s="25"/>
      <c r="I9" s="25"/>
      <c r="J9" s="80">
        <v>2025</v>
      </c>
      <c r="K9" s="52">
        <v>12</v>
      </c>
      <c r="Q9" s="8"/>
      <c r="R9" s="2"/>
      <c r="S9" s="56"/>
      <c r="T9" s="56"/>
      <c r="U9" s="56"/>
      <c r="V9" s="31"/>
      <c r="W9" s="39"/>
      <c r="Z9" s="18" t="s">
        <v>56</v>
      </c>
      <c r="AA9" s="18" t="s">
        <v>111</v>
      </c>
      <c r="AB9" s="18" t="s">
        <v>105</v>
      </c>
      <c r="AC9" s="18" t="s">
        <v>106</v>
      </c>
      <c r="AD9" s="18" t="s">
        <v>52</v>
      </c>
      <c r="AE9" s="18" t="s">
        <v>53</v>
      </c>
      <c r="AF9" s="19" t="s">
        <v>54</v>
      </c>
      <c r="AG9" s="47" t="s">
        <v>125</v>
      </c>
      <c r="AH9" s="68" t="s">
        <v>57</v>
      </c>
      <c r="AI9" s="47" t="s">
        <v>55</v>
      </c>
      <c r="AJ9" s="47" t="s">
        <v>110</v>
      </c>
      <c r="AK9" s="47" t="s">
        <v>35</v>
      </c>
      <c r="AL9" s="75" t="s">
        <v>122</v>
      </c>
    </row>
    <row r="10" spans="1:39" x14ac:dyDescent="0.35">
      <c r="A10" s="79">
        <f t="shared" si="0"/>
        <v>46001</v>
      </c>
      <c r="B10" s="7">
        <v>10</v>
      </c>
      <c r="C10" s="2" t="s">
        <v>10</v>
      </c>
      <c r="D10" s="2" t="s">
        <v>102</v>
      </c>
      <c r="E10" s="26">
        <v>18300</v>
      </c>
      <c r="F10" s="46">
        <f t="shared" si="1"/>
        <v>0</v>
      </c>
      <c r="G10" s="28">
        <f t="shared" si="2"/>
        <v>0</v>
      </c>
      <c r="H10" s="25"/>
      <c r="I10" s="25"/>
      <c r="L10" s="2"/>
      <c r="M10" s="34"/>
      <c r="N10" s="46"/>
      <c r="O10" s="28"/>
      <c r="Q10" s="8"/>
      <c r="R10" s="2"/>
      <c r="S10" s="56"/>
      <c r="T10" s="56"/>
      <c r="U10" s="56"/>
      <c r="V10" s="31"/>
      <c r="W10" s="39"/>
      <c r="Z10" s="21">
        <v>0</v>
      </c>
      <c r="AA10" s="21">
        <v>1</v>
      </c>
      <c r="AB10" s="6" t="s">
        <v>20</v>
      </c>
      <c r="AC10" s="2" t="s">
        <v>126</v>
      </c>
      <c r="AD10" s="17">
        <v>45971</v>
      </c>
      <c r="AE10" s="17">
        <v>46000</v>
      </c>
      <c r="AF10" s="48">
        <f t="shared" ref="AF10:AF23" si="6">+AE10-AD10</f>
        <v>29</v>
      </c>
      <c r="AG10" s="26">
        <v>149833.32999999999</v>
      </c>
      <c r="AH10" s="13">
        <f ca="1">+IFERROR(AG10*(1+AK10/365)^(TODAY()-Tabla2714[[#This Row],[FECHA IN]])*Tabla2721[[#This Row],[0/1]],0)</f>
        <v>0</v>
      </c>
      <c r="AI10" s="26">
        <f t="shared" ref="AI10:AI23" si="7">+(AG10+(AJ10*AA10))*Z10</f>
        <v>0</v>
      </c>
      <c r="AJ10" s="47">
        <f t="shared" ref="AJ10:AJ23" si="8">+(AG10*(1+AK10/365)^AF10)-AG10</f>
        <v>4835.6102709278057</v>
      </c>
      <c r="AK10" s="73">
        <v>0.4</v>
      </c>
      <c r="AL10" s="74">
        <f ca="1">+IFERROR(Tabla2714[[#This Row],[FECHA OUT]]-TODAY(),0)</f>
        <v>0</v>
      </c>
    </row>
    <row r="11" spans="1:39" x14ac:dyDescent="0.35">
      <c r="A11" s="79">
        <f t="shared" si="0"/>
        <v>46001</v>
      </c>
      <c r="B11" s="7">
        <v>10</v>
      </c>
      <c r="C11" s="2" t="s">
        <v>10</v>
      </c>
      <c r="D11" s="2" t="s">
        <v>103</v>
      </c>
      <c r="E11" s="26">
        <v>6000</v>
      </c>
      <c r="F11" s="46">
        <f t="shared" si="1"/>
        <v>0</v>
      </c>
      <c r="G11" s="28">
        <f t="shared" si="2"/>
        <v>0</v>
      </c>
      <c r="H11" s="25"/>
      <c r="I11" s="25"/>
      <c r="L11" s="2"/>
      <c r="M11" s="6"/>
      <c r="N11" s="46"/>
      <c r="O11" s="28"/>
      <c r="Q11" s="8"/>
      <c r="R11" s="2"/>
      <c r="S11" s="56"/>
      <c r="T11" s="56"/>
      <c r="U11" s="56"/>
      <c r="V11" s="31"/>
      <c r="W11" s="39"/>
      <c r="Z11" s="21">
        <v>0</v>
      </c>
      <c r="AA11" s="21">
        <v>1</v>
      </c>
      <c r="AB11" s="6" t="s">
        <v>20</v>
      </c>
      <c r="AC11" s="2" t="s">
        <v>143</v>
      </c>
      <c r="AD11" s="17">
        <v>45973</v>
      </c>
      <c r="AE11" s="17">
        <v>46001</v>
      </c>
      <c r="AF11" s="48">
        <f t="shared" si="6"/>
        <v>28</v>
      </c>
      <c r="AG11" s="26">
        <v>270000</v>
      </c>
      <c r="AH11" s="13">
        <f ca="1">+IFERROR(AG11*(1+AK11/365)^(TODAY()-Tabla2714[[#This Row],[FECHA IN]])*Tabla2721[[#This Row],[0/1]],0)</f>
        <v>0</v>
      </c>
      <c r="AI11" s="26">
        <f t="shared" si="7"/>
        <v>0</v>
      </c>
      <c r="AJ11" s="47">
        <f t="shared" si="8"/>
        <v>8408.6752622728818</v>
      </c>
      <c r="AK11" s="73">
        <v>0.4</v>
      </c>
      <c r="AL11" s="74">
        <f ca="1">+IFERROR(Tabla2714[[#This Row],[FECHA OUT]]-TODAY(),0)</f>
        <v>-21</v>
      </c>
    </row>
    <row r="12" spans="1:39" x14ac:dyDescent="0.35">
      <c r="A12" s="79">
        <f t="shared" si="0"/>
        <v>46001</v>
      </c>
      <c r="B12" s="7">
        <v>10</v>
      </c>
      <c r="C12" s="2" t="s">
        <v>9</v>
      </c>
      <c r="D12" s="2"/>
      <c r="E12" s="26">
        <v>438160</v>
      </c>
      <c r="F12" s="46">
        <f t="shared" si="1"/>
        <v>0</v>
      </c>
      <c r="G12" s="28">
        <f t="shared" si="2"/>
        <v>0</v>
      </c>
      <c r="H12" s="25"/>
      <c r="I12" s="25"/>
      <c r="L12" s="2"/>
      <c r="M12" s="34"/>
      <c r="N12" s="7"/>
      <c r="O12" s="28"/>
      <c r="Q12" s="8"/>
      <c r="R12" s="2"/>
      <c r="S12" s="56"/>
      <c r="T12" s="56"/>
      <c r="U12" s="56"/>
      <c r="V12" s="31"/>
      <c r="W12" s="39"/>
      <c r="Z12" s="21">
        <v>0</v>
      </c>
      <c r="AA12" s="21">
        <v>1</v>
      </c>
      <c r="AB12" s="6" t="s">
        <v>20</v>
      </c>
      <c r="AC12" s="2" t="s">
        <v>150</v>
      </c>
      <c r="AD12" s="17">
        <v>45973</v>
      </c>
      <c r="AE12" s="17">
        <v>46001</v>
      </c>
      <c r="AF12" s="48">
        <f t="shared" si="6"/>
        <v>28</v>
      </c>
      <c r="AG12" s="26">
        <v>108000</v>
      </c>
      <c r="AH12" s="13">
        <f ca="1">+IFERROR(AG12*(1+AK12/365)^(TODAY()-Tabla2714[[#This Row],[FECHA IN]])*Tabla2721[[#This Row],[0/1]],0)</f>
        <v>0</v>
      </c>
      <c r="AI12" s="26">
        <f t="shared" si="7"/>
        <v>0</v>
      </c>
      <c r="AJ12" s="47">
        <f t="shared" si="8"/>
        <v>3363.4701049091527</v>
      </c>
      <c r="AK12" s="73">
        <v>0.4</v>
      </c>
      <c r="AL12" s="77">
        <f ca="1">+IFERROR(Tabla2714[[#This Row],[FECHA OUT]]-TODAY(),0)</f>
        <v>-16</v>
      </c>
      <c r="AM12" s="6"/>
    </row>
    <row r="13" spans="1:39" x14ac:dyDescent="0.35">
      <c r="A13" s="79">
        <f t="shared" si="0"/>
        <v>46001</v>
      </c>
      <c r="B13" s="7">
        <v>10</v>
      </c>
      <c r="C13" s="2" t="s">
        <v>22</v>
      </c>
      <c r="D13" s="22" t="s">
        <v>104</v>
      </c>
      <c r="E13" s="26">
        <v>164971.32</v>
      </c>
      <c r="F13" s="46">
        <f>+SUMIFS(V:V,R:R,"MI",X:X,"CTA NARANJA")</f>
        <v>0</v>
      </c>
      <c r="G13" s="28">
        <f t="shared" si="2"/>
        <v>0</v>
      </c>
      <c r="H13" s="25"/>
      <c r="I13" s="25"/>
      <c r="O13" s="86"/>
      <c r="Q13" s="8"/>
      <c r="R13" s="2"/>
      <c r="S13" s="56"/>
      <c r="T13" s="56"/>
      <c r="U13" s="56"/>
      <c r="V13" s="31"/>
      <c r="W13" s="39"/>
      <c r="Z13" s="21">
        <v>0</v>
      </c>
      <c r="AA13" s="21">
        <v>1</v>
      </c>
      <c r="AB13" s="6" t="s">
        <v>20</v>
      </c>
      <c r="AC13" s="2" t="s">
        <v>123</v>
      </c>
      <c r="AD13" s="17">
        <v>45974</v>
      </c>
      <c r="AE13" s="17">
        <v>46002</v>
      </c>
      <c r="AF13" s="48">
        <f t="shared" si="6"/>
        <v>28</v>
      </c>
      <c r="AG13" s="26">
        <v>186032.93672808976</v>
      </c>
      <c r="AH13" s="13">
        <f ca="1">+IFERROR(AG13*(1+AK13/365)^(TODAY()-Tabla2714[[#This Row],[FECHA IN]])*Tabla2721[[#This Row],[0/1]],0)</f>
        <v>0</v>
      </c>
      <c r="AI13" s="26">
        <f t="shared" si="7"/>
        <v>0</v>
      </c>
      <c r="AJ13" s="47">
        <f t="shared" si="8"/>
        <v>5793.6687149387726</v>
      </c>
      <c r="AK13" s="73">
        <v>0.4</v>
      </c>
      <c r="AL13" s="74">
        <f ca="1">+IFERROR(Tabla2714[[#This Row],[FECHA OUT]]-TODAY(),0)</f>
        <v>-16</v>
      </c>
      <c r="AM13" s="26"/>
    </row>
    <row r="14" spans="1:39" x14ac:dyDescent="0.35">
      <c r="A14" s="79">
        <f t="shared" si="0"/>
        <v>46006</v>
      </c>
      <c r="B14" s="7">
        <v>15</v>
      </c>
      <c r="C14" s="2" t="s">
        <v>31</v>
      </c>
      <c r="D14" s="2"/>
      <c r="E14" s="26">
        <v>300000</v>
      </c>
      <c r="F14" s="46">
        <f>+SUMIFS(V:V,R:R,C14)</f>
        <v>0</v>
      </c>
      <c r="G14" s="28">
        <f t="shared" si="2"/>
        <v>0</v>
      </c>
      <c r="H14" s="25"/>
      <c r="I14" s="25"/>
      <c r="L14" s="2"/>
      <c r="M14" s="49"/>
      <c r="N14" s="46"/>
      <c r="O14" s="28"/>
      <c r="Q14" s="8"/>
      <c r="R14" s="2"/>
      <c r="S14" s="56"/>
      <c r="T14" s="56"/>
      <c r="U14" s="56"/>
      <c r="V14" s="31"/>
      <c r="W14" s="39"/>
      <c r="Z14" s="21">
        <v>0</v>
      </c>
      <c r="AA14" s="21">
        <v>1</v>
      </c>
      <c r="AB14" s="6" t="s">
        <v>20</v>
      </c>
      <c r="AC14" s="2" t="s">
        <v>124</v>
      </c>
      <c r="AD14" s="17">
        <v>45974</v>
      </c>
      <c r="AE14" s="17">
        <v>46002</v>
      </c>
      <c r="AF14" s="48">
        <f t="shared" si="6"/>
        <v>28</v>
      </c>
      <c r="AG14" s="26">
        <v>111619.76203685386</v>
      </c>
      <c r="AH14" s="13">
        <f ca="1">+IFERROR(AG14*(1+AK14/365)^(TODAY()-Tabla2714[[#This Row],[FECHA IN]])*Tabla2721[[#This Row],[0/1]],0)</f>
        <v>0</v>
      </c>
      <c r="AI14" s="26">
        <f t="shared" si="7"/>
        <v>0</v>
      </c>
      <c r="AJ14" s="47">
        <f t="shared" si="8"/>
        <v>3476.2012289632548</v>
      </c>
      <c r="AK14" s="73">
        <v>0.4</v>
      </c>
      <c r="AL14" s="77">
        <f ca="1">+IFERROR(Tabla2714[[#This Row],[FECHA OUT]]-TODAY(),0)</f>
        <v>-10</v>
      </c>
      <c r="AM14" s="26"/>
    </row>
    <row r="15" spans="1:39" x14ac:dyDescent="0.35">
      <c r="A15" s="79">
        <f t="shared" si="0"/>
        <v>46008</v>
      </c>
      <c r="B15" s="7">
        <v>17</v>
      </c>
      <c r="C15" s="2" t="s">
        <v>22</v>
      </c>
      <c r="D15" s="2" t="s">
        <v>23</v>
      </c>
      <c r="E15" s="26">
        <v>8990</v>
      </c>
      <c r="F15" s="46">
        <f t="shared" ref="F15:F20" si="9">+SUMIFS(V:V,R:R,C15,S:S,D15)</f>
        <v>0</v>
      </c>
      <c r="G15" s="28">
        <f t="shared" si="2"/>
        <v>0</v>
      </c>
      <c r="H15" s="25"/>
      <c r="I15" s="25"/>
      <c r="L15" s="2"/>
      <c r="M15" s="34"/>
      <c r="N15" s="46"/>
      <c r="O15" s="28"/>
      <c r="Q15" s="8"/>
      <c r="R15" s="2"/>
      <c r="S15" s="56"/>
      <c r="T15" s="56"/>
      <c r="U15" s="56"/>
      <c r="V15" s="31"/>
      <c r="W15" s="39"/>
      <c r="Z15" s="21">
        <v>0</v>
      </c>
      <c r="AA15" s="21">
        <v>1</v>
      </c>
      <c r="AB15" s="6" t="s">
        <v>20</v>
      </c>
      <c r="AC15" s="2" t="s">
        <v>148</v>
      </c>
      <c r="AD15" s="17">
        <v>45973</v>
      </c>
      <c r="AE15" s="17">
        <v>46003</v>
      </c>
      <c r="AF15" s="48">
        <f t="shared" si="6"/>
        <v>30</v>
      </c>
      <c r="AG15" s="26">
        <v>180000</v>
      </c>
      <c r="AH15" s="13">
        <f ca="1">+IFERROR(AG15*(1+AK15/365)^(TODAY()-Tabla2714[[#This Row],[FECHA IN]])*Tabla2721[[#This Row],[0/1]],0)</f>
        <v>0</v>
      </c>
      <c r="AI15" s="26">
        <f t="shared" si="7"/>
        <v>0</v>
      </c>
      <c r="AJ15" s="47">
        <f t="shared" si="8"/>
        <v>6012.8136129651393</v>
      </c>
      <c r="AK15" s="73">
        <v>0.4</v>
      </c>
      <c r="AL15" s="77">
        <f ca="1">+IFERROR(Tabla2714[[#This Row],[FECHA OUT]]-TODAY(),0)</f>
        <v>-19</v>
      </c>
      <c r="AM15" s="26"/>
    </row>
    <row r="16" spans="1:39" x14ac:dyDescent="0.35">
      <c r="A16" s="79">
        <f t="shared" si="0"/>
        <v>46009</v>
      </c>
      <c r="B16" s="7">
        <v>18</v>
      </c>
      <c r="C16" s="2" t="s">
        <v>22</v>
      </c>
      <c r="D16" s="2" t="s">
        <v>21</v>
      </c>
      <c r="E16" s="26">
        <v>6174.6</v>
      </c>
      <c r="F16" s="46">
        <f t="shared" si="9"/>
        <v>0</v>
      </c>
      <c r="G16" s="28">
        <f t="shared" si="2"/>
        <v>0</v>
      </c>
      <c r="H16" s="25"/>
      <c r="I16" s="25"/>
      <c r="L16" s="2"/>
      <c r="M16" s="34"/>
      <c r="N16" s="46"/>
      <c r="O16" s="28"/>
      <c r="Q16" s="8"/>
      <c r="R16" s="2"/>
      <c r="S16" s="56"/>
      <c r="T16" s="56"/>
      <c r="U16" s="56"/>
      <c r="V16" s="31"/>
      <c r="W16" s="39"/>
      <c r="Z16" s="21">
        <v>0</v>
      </c>
      <c r="AA16" s="21">
        <v>1</v>
      </c>
      <c r="AB16" s="6" t="s">
        <v>20</v>
      </c>
      <c r="AC16" s="2" t="s">
        <v>120</v>
      </c>
      <c r="AD16" s="17">
        <v>45994</v>
      </c>
      <c r="AE16" s="17">
        <f>+Tabla2721[[#This Row],[FECHA IN]]+14</f>
        <v>46008</v>
      </c>
      <c r="AF16" s="48">
        <f t="shared" si="6"/>
        <v>14</v>
      </c>
      <c r="AG16" s="26">
        <v>400000</v>
      </c>
      <c r="AH16" s="13">
        <f ca="1">+IFERROR(AG16*(1+AK16/365)^(TODAY()-Tabla2714[[#This Row],[FECHA IN]])*Tabla2721[[#This Row],[0/1]],0)</f>
        <v>0</v>
      </c>
      <c r="AI16" s="26">
        <f t="shared" si="7"/>
        <v>0</v>
      </c>
      <c r="AJ16" s="47">
        <f t="shared" si="8"/>
        <v>6180.8940286820871</v>
      </c>
      <c r="AK16" s="73">
        <v>0.4</v>
      </c>
      <c r="AL16" s="74">
        <f ca="1">+IFERROR(Tabla2714[[#This Row],[FECHA OUT]]-TODAY(),0)</f>
        <v>0</v>
      </c>
      <c r="AM16" s="26"/>
    </row>
    <row r="17" spans="1:38" x14ac:dyDescent="0.35">
      <c r="A17" s="79">
        <f t="shared" si="0"/>
        <v>46010</v>
      </c>
      <c r="B17" s="7">
        <v>21</v>
      </c>
      <c r="C17" s="2" t="s">
        <v>10</v>
      </c>
      <c r="D17" s="2" t="s">
        <v>16</v>
      </c>
      <c r="E17" s="26">
        <v>25000</v>
      </c>
      <c r="F17" s="46">
        <f t="shared" si="9"/>
        <v>0</v>
      </c>
      <c r="G17" s="28">
        <f t="shared" si="2"/>
        <v>0</v>
      </c>
      <c r="H17" s="25"/>
      <c r="I17" s="25"/>
      <c r="L17" s="2"/>
      <c r="M17" s="34"/>
      <c r="N17" s="46"/>
      <c r="O17" s="28"/>
      <c r="Q17" s="8"/>
      <c r="R17" s="2"/>
      <c r="S17" s="56"/>
      <c r="T17" s="56"/>
      <c r="U17" s="56"/>
      <c r="V17" s="31"/>
      <c r="W17" s="39"/>
      <c r="Z17" s="21">
        <v>0</v>
      </c>
      <c r="AA17" s="21">
        <v>1</v>
      </c>
      <c r="AB17" s="6" t="s">
        <v>20</v>
      </c>
      <c r="AC17" s="2" t="s">
        <v>135</v>
      </c>
      <c r="AD17" s="17">
        <v>46002</v>
      </c>
      <c r="AE17" s="17">
        <v>46030</v>
      </c>
      <c r="AF17" s="48">
        <f t="shared" si="6"/>
        <v>28</v>
      </c>
      <c r="AG17" s="26">
        <v>192562.93259067592</v>
      </c>
      <c r="AH17" s="13">
        <f ca="1">+IFERROR(AG17*(1+AK17/365)^(TODAY()-Tabla2714[[#This Row],[FECHA IN]])*Tabla2721[[#This Row],[0/1]],0)</f>
        <v>0</v>
      </c>
      <c r="AI17" s="26">
        <f t="shared" si="7"/>
        <v>0</v>
      </c>
      <c r="AJ17" s="47">
        <f t="shared" si="8"/>
        <v>5997.0339544664312</v>
      </c>
      <c r="AK17" s="73">
        <v>0.4</v>
      </c>
      <c r="AL17" s="74">
        <f ca="1">+IFERROR(Tabla2714[[#This Row],[FECHA OUT]]-TODAY(),0)</f>
        <v>0</v>
      </c>
    </row>
    <row r="18" spans="1:38" x14ac:dyDescent="0.35">
      <c r="A18" s="79">
        <f t="shared" si="0"/>
        <v>46011</v>
      </c>
      <c r="B18" s="7">
        <v>20</v>
      </c>
      <c r="C18" s="2" t="s">
        <v>10</v>
      </c>
      <c r="D18" s="2" t="s">
        <v>47</v>
      </c>
      <c r="E18" s="26">
        <f>37288.6+28659.4</f>
        <v>65948</v>
      </c>
      <c r="F18" s="46">
        <f t="shared" si="9"/>
        <v>0</v>
      </c>
      <c r="G18" s="28">
        <f t="shared" si="2"/>
        <v>0</v>
      </c>
      <c r="H18" s="25"/>
      <c r="I18" s="25"/>
      <c r="L18" s="2"/>
      <c r="M18" s="34"/>
      <c r="N18" s="46"/>
      <c r="O18" s="28"/>
      <c r="Q18" s="8"/>
      <c r="R18" s="2"/>
      <c r="S18" s="56"/>
      <c r="T18" s="56"/>
      <c r="U18" s="56"/>
      <c r="V18" s="31"/>
      <c r="W18" s="39"/>
      <c r="Z18" s="21">
        <v>0</v>
      </c>
      <c r="AA18" s="21">
        <v>1</v>
      </c>
      <c r="AB18" s="6" t="s">
        <v>20</v>
      </c>
      <c r="AC18" s="2" t="s">
        <v>136</v>
      </c>
      <c r="AD18" s="17">
        <v>46002</v>
      </c>
      <c r="AE18" s="17">
        <v>46030</v>
      </c>
      <c r="AF18" s="48">
        <f t="shared" si="6"/>
        <v>28</v>
      </c>
      <c r="AG18" s="26">
        <v>115537.75955440555</v>
      </c>
      <c r="AH18" s="13">
        <f ca="1">+IFERROR(AG18*(1+AK18/365)^(TODAY()-Tabla2714[[#This Row],[FECHA IN]])*Tabla2721[[#This Row],[0/1]],0)</f>
        <v>0</v>
      </c>
      <c r="AI18" s="26">
        <f t="shared" si="7"/>
        <v>0</v>
      </c>
      <c r="AJ18" s="47">
        <f t="shared" si="8"/>
        <v>3598.2203726798616</v>
      </c>
      <c r="AK18" s="73">
        <v>0.4</v>
      </c>
      <c r="AL18" s="77">
        <f ca="1">+IFERROR(Tabla2714[[#This Row],[FECHA OUT]]-TODAY(),0)</f>
        <v>0</v>
      </c>
    </row>
    <row r="19" spans="1:38" x14ac:dyDescent="0.35">
      <c r="A19" s="79">
        <f t="shared" si="0"/>
        <v>46011</v>
      </c>
      <c r="B19" s="7">
        <v>20</v>
      </c>
      <c r="C19" s="2" t="s">
        <v>6</v>
      </c>
      <c r="D19" s="2" t="s">
        <v>8</v>
      </c>
      <c r="E19" s="26">
        <v>150000</v>
      </c>
      <c r="F19" s="46">
        <f t="shared" si="9"/>
        <v>0</v>
      </c>
      <c r="G19" s="28">
        <f t="shared" si="2"/>
        <v>0</v>
      </c>
      <c r="H19" s="25"/>
      <c r="I19" s="25"/>
      <c r="L19" s="2"/>
      <c r="M19" s="34"/>
      <c r="N19" s="46"/>
      <c r="O19" s="28"/>
      <c r="Q19" s="8"/>
      <c r="R19" s="2"/>
      <c r="S19" s="56"/>
      <c r="T19" s="56"/>
      <c r="U19" s="56"/>
      <c r="V19" s="31"/>
      <c r="W19" s="39"/>
      <c r="Z19" s="21">
        <v>0</v>
      </c>
      <c r="AA19" s="21">
        <v>1</v>
      </c>
      <c r="AB19" s="6" t="s">
        <v>20</v>
      </c>
      <c r="AC19" s="2" t="s">
        <v>128</v>
      </c>
      <c r="AD19" s="17">
        <v>46003</v>
      </c>
      <c r="AE19" s="17">
        <v>46031</v>
      </c>
      <c r="AF19" s="48">
        <f t="shared" si="6"/>
        <v>28</v>
      </c>
      <c r="AG19" s="26">
        <v>149833.32999999999</v>
      </c>
      <c r="AH19" s="13">
        <f ca="1">+IFERROR(AG19*(1+AK19/365)^(TODAY()-Tabla2714[[#This Row],[FECHA IN]])*Tabla2721[[#This Row],[0/1]],0)</f>
        <v>0</v>
      </c>
      <c r="AI19" s="26">
        <f t="shared" si="7"/>
        <v>0</v>
      </c>
      <c r="AJ19" s="47">
        <f t="shared" si="8"/>
        <v>4666.2956127221114</v>
      </c>
      <c r="AK19" s="73">
        <v>0.4</v>
      </c>
      <c r="AL19" s="74">
        <f ca="1">+IFERROR(Tabla2714[[#This Row],[FECHA OUT]]-TODAY(),0)</f>
        <v>0</v>
      </c>
    </row>
    <row r="20" spans="1:38" x14ac:dyDescent="0.35">
      <c r="A20" s="79">
        <f t="shared" si="0"/>
        <v>46014</v>
      </c>
      <c r="B20" s="7">
        <v>23</v>
      </c>
      <c r="C20" s="2" t="s">
        <v>22</v>
      </c>
      <c r="D20" s="2" t="s">
        <v>25</v>
      </c>
      <c r="E20" s="26">
        <v>15568.43</v>
      </c>
      <c r="F20" s="46">
        <f t="shared" si="9"/>
        <v>0</v>
      </c>
      <c r="G20" s="28">
        <f t="shared" si="2"/>
        <v>0</v>
      </c>
      <c r="H20" s="25"/>
      <c r="I20" s="25"/>
      <c r="L20" s="2"/>
      <c r="M20" s="34"/>
      <c r="N20" s="46"/>
      <c r="O20" s="28"/>
      <c r="Q20" s="8"/>
      <c r="R20" s="2"/>
      <c r="S20" s="56"/>
      <c r="T20" s="56"/>
      <c r="U20" s="56"/>
      <c r="V20" s="31"/>
      <c r="W20" s="39"/>
      <c r="Z20" s="21">
        <v>0</v>
      </c>
      <c r="AA20" s="21">
        <v>1</v>
      </c>
      <c r="AB20" s="6" t="s">
        <v>20</v>
      </c>
      <c r="AC20" s="2" t="s">
        <v>147</v>
      </c>
      <c r="AD20" s="17">
        <v>46003</v>
      </c>
      <c r="AE20" s="17">
        <v>46031</v>
      </c>
      <c r="AF20" s="48">
        <f t="shared" si="6"/>
        <v>28</v>
      </c>
      <c r="AG20" s="26">
        <v>270000</v>
      </c>
      <c r="AH20" s="13">
        <f ca="1">+IFERROR(AG20*(1+AK20/365)^(TODAY()-Tabla2714[[#This Row],[FECHA IN]])*Tabla2721[[#This Row],[0/1]],0)</f>
        <v>0</v>
      </c>
      <c r="AI20" s="26">
        <f t="shared" si="7"/>
        <v>0</v>
      </c>
      <c r="AJ20" s="47">
        <f t="shared" si="8"/>
        <v>8408.6752622728818</v>
      </c>
      <c r="AK20" s="73">
        <v>0.4</v>
      </c>
      <c r="AL20" s="74">
        <f ca="1">+IFERROR(Tabla2714[[#This Row],[FECHA OUT]]-TODAY(),0)</f>
        <v>0</v>
      </c>
    </row>
    <row r="21" spans="1:38" x14ac:dyDescent="0.35">
      <c r="A21" s="7" t="s">
        <v>73</v>
      </c>
      <c r="C21" s="2"/>
      <c r="D21" s="2"/>
      <c r="E21" s="16">
        <f>SUBTOTAL(109,PRESUPUESTO.GASTOS30[PRESUPUESTO])</f>
        <v>1757334.97</v>
      </c>
      <c r="F21" s="63">
        <f>SUBTOTAL(109,PRESUPUESTO.GASTOS30[PAGADO])</f>
        <v>0</v>
      </c>
      <c r="G21" s="22">
        <f>+IFERROR(PRESUPUESTO.GASTOS30[[#Totals],[PAGADO]]/PRESUPUESTO.GASTOS30[[#Totals],[PRESUPUESTO]],0)</f>
        <v>0</v>
      </c>
      <c r="H21" s="25"/>
      <c r="I21" s="25"/>
      <c r="L21" s="2"/>
      <c r="M21" s="34"/>
      <c r="N21" s="46"/>
      <c r="O21" s="28"/>
      <c r="Q21" s="8"/>
      <c r="R21" s="2"/>
      <c r="S21" s="56"/>
      <c r="T21" s="56"/>
      <c r="U21" s="56"/>
      <c r="V21" s="31"/>
      <c r="W21" s="39"/>
      <c r="Z21" s="21">
        <v>0</v>
      </c>
      <c r="AA21" s="21">
        <v>1</v>
      </c>
      <c r="AB21" s="6" t="s">
        <v>20</v>
      </c>
      <c r="AC21" s="2" t="s">
        <v>149</v>
      </c>
      <c r="AD21" s="17">
        <v>46003</v>
      </c>
      <c r="AE21" s="17">
        <v>46031</v>
      </c>
      <c r="AF21" s="48">
        <f t="shared" si="6"/>
        <v>28</v>
      </c>
      <c r="AG21" s="26">
        <v>186777.93002696123</v>
      </c>
      <c r="AH21" s="13">
        <f ca="1">+IFERROR(AG21*(1+AK21/365)^(TODAY()-Tabla2714[[#This Row],[FECHA IN]])*Tabla2721[[#This Row],[0/1]],0)</f>
        <v>0</v>
      </c>
      <c r="AI21" s="26">
        <f t="shared" si="7"/>
        <v>0</v>
      </c>
      <c r="AJ21" s="47">
        <f t="shared" si="8"/>
        <v>5816.8702213194338</v>
      </c>
      <c r="AK21" s="73">
        <v>0.4</v>
      </c>
      <c r="AL21" s="77">
        <f ca="1">+IFERROR(Tabla2714[[#This Row],[FECHA OUT]]-TODAY(),0)</f>
        <v>0</v>
      </c>
    </row>
    <row r="22" spans="1:38" x14ac:dyDescent="0.35">
      <c r="H22" s="25"/>
      <c r="I22" s="25"/>
      <c r="Q22" s="8"/>
      <c r="R22" s="2"/>
      <c r="S22" s="56"/>
      <c r="T22" s="56"/>
      <c r="U22" s="56"/>
      <c r="V22" s="31"/>
      <c r="W22" s="39"/>
      <c r="Z22" s="21">
        <v>0</v>
      </c>
      <c r="AA22" s="21">
        <v>1</v>
      </c>
      <c r="AB22" s="6" t="s">
        <v>20</v>
      </c>
      <c r="AC22" s="2" t="s">
        <v>150</v>
      </c>
      <c r="AD22" s="17">
        <v>46003</v>
      </c>
      <c r="AE22" s="17">
        <v>46031</v>
      </c>
      <c r="AF22" s="48">
        <f t="shared" si="6"/>
        <v>28</v>
      </c>
      <c r="AG22" s="26">
        <v>111790.9392044383</v>
      </c>
      <c r="AH22" s="13">
        <f ca="1">+IFERROR(AG22*(1+AK22/365)^(TODAY()-Tabla2714[[#This Row],[FECHA IN]])*Tabla2721[[#This Row],[0/1]],0)</f>
        <v>0</v>
      </c>
      <c r="AI22" s="26">
        <f t="shared" si="7"/>
        <v>0</v>
      </c>
      <c r="AJ22" s="47">
        <f t="shared" si="8"/>
        <v>3481.532240868939</v>
      </c>
      <c r="AK22" s="73">
        <v>0.4</v>
      </c>
      <c r="AL22" s="77">
        <f ca="1">+IFERROR(Tabla2714[[#This Row],[FECHA OUT]]-TODAY(),0)</f>
        <v>0</v>
      </c>
    </row>
    <row r="23" spans="1:38" x14ac:dyDescent="0.35">
      <c r="D23"/>
      <c r="H23" s="25"/>
      <c r="I23" s="25"/>
      <c r="Q23" s="8"/>
      <c r="R23" s="2"/>
      <c r="S23" s="56"/>
      <c r="T23" s="56"/>
      <c r="U23" s="56"/>
      <c r="V23" s="31"/>
      <c r="W23" s="39"/>
      <c r="Z23" s="21">
        <v>0</v>
      </c>
      <c r="AA23" s="21">
        <v>1</v>
      </c>
      <c r="AB23" s="6" t="s">
        <v>20</v>
      </c>
      <c r="AC23" s="2" t="s">
        <v>155</v>
      </c>
      <c r="AD23" s="17">
        <v>45994</v>
      </c>
      <c r="AE23" s="17">
        <f>+Tabla2721[[#This Row],[FECHA IN]]+28</f>
        <v>46022</v>
      </c>
      <c r="AF23" s="48">
        <f t="shared" si="6"/>
        <v>28</v>
      </c>
      <c r="AG23" s="26">
        <f>2765100-1418000</f>
        <v>1347100</v>
      </c>
      <c r="AH23" s="13">
        <f ca="1">+IFERROR(AG23*(1+AK23/365)^(TODAY()-Tabla2714[[#This Row],[FECHA IN]])*Tabla2721[[#This Row],[0/1]],0)</f>
        <v>0</v>
      </c>
      <c r="AI23" s="26">
        <f t="shared" si="7"/>
        <v>0</v>
      </c>
      <c r="AJ23" s="47">
        <f t="shared" si="8"/>
        <v>41953.060910399305</v>
      </c>
      <c r="AK23" s="73">
        <v>0.4</v>
      </c>
      <c r="AL23" s="74">
        <f ca="1">+IFERROR(Tabla2714[[#This Row],[FECHA OUT]]-TODAY(),0)</f>
        <v>0</v>
      </c>
    </row>
    <row r="24" spans="1:38" x14ac:dyDescent="0.35">
      <c r="D24"/>
      <c r="H24" s="25"/>
      <c r="I24" s="25"/>
      <c r="L24" s="2"/>
      <c r="M24" s="34"/>
      <c r="N24" s="46"/>
      <c r="O24" s="28"/>
      <c r="Q24" s="8"/>
      <c r="R24" s="2"/>
      <c r="S24" s="56"/>
      <c r="T24" s="56"/>
      <c r="U24" s="56"/>
      <c r="V24" s="31"/>
      <c r="W24" s="39"/>
      <c r="Z24" s="21" t="s">
        <v>73</v>
      </c>
      <c r="AA24" s="21"/>
      <c r="AB24" s="6"/>
      <c r="AC24" s="2"/>
      <c r="AD24" s="2"/>
      <c r="AE24" s="2"/>
      <c r="AF24" s="2"/>
      <c r="AG24" s="16"/>
      <c r="AH24" s="16">
        <f ca="1">SUBTOTAL(109,Tabla2721[HOY])</f>
        <v>0</v>
      </c>
      <c r="AI24" s="16">
        <f>SUBTOTAL(109,Tabla2721[FINAL])</f>
        <v>0</v>
      </c>
      <c r="AJ24" s="70">
        <f>SUBTOTAL(109,Tabla2721[INT ACUM])</f>
        <v>111993.02179838806</v>
      </c>
      <c r="AK24" s="16"/>
      <c r="AL24" s="2"/>
    </row>
    <row r="25" spans="1:38" x14ac:dyDescent="0.35">
      <c r="D25"/>
      <c r="H25" s="25"/>
      <c r="I25" s="25"/>
      <c r="L25" s="89"/>
      <c r="M25" s="89"/>
      <c r="N25" s="50"/>
      <c r="O25" s="51"/>
      <c r="Q25" s="8"/>
      <c r="R25" s="2"/>
      <c r="S25" s="56"/>
      <c r="T25" s="56"/>
      <c r="U25" s="56"/>
      <c r="V25" s="31"/>
      <c r="W25" s="39"/>
      <c r="AK25" s="2"/>
      <c r="AL25" s="26"/>
    </row>
    <row r="26" spans="1:38" x14ac:dyDescent="0.35">
      <c r="D26"/>
      <c r="H26" s="25"/>
      <c r="I26" s="25"/>
      <c r="L26" s="2"/>
      <c r="M26" s="34"/>
      <c r="N26" s="46"/>
      <c r="O26" s="26"/>
      <c r="Q26" s="8"/>
      <c r="R26" s="2"/>
      <c r="S26" s="56"/>
      <c r="T26" s="56"/>
      <c r="U26" s="56"/>
      <c r="V26" s="31"/>
      <c r="W26" s="39"/>
      <c r="AK26" s="2"/>
      <c r="AL26" s="26"/>
    </row>
    <row r="27" spans="1:38" x14ac:dyDescent="0.35">
      <c r="D27"/>
      <c r="H27" s="25"/>
      <c r="I27" s="25"/>
      <c r="O27" s="26"/>
      <c r="Q27" s="8"/>
      <c r="R27" s="2"/>
      <c r="S27" s="56"/>
      <c r="T27" s="56"/>
      <c r="U27" s="56"/>
      <c r="V27" s="31"/>
      <c r="W27" s="39"/>
      <c r="AK27" s="2"/>
      <c r="AL27" s="26"/>
    </row>
    <row r="28" spans="1:38" x14ac:dyDescent="0.35">
      <c r="D28"/>
      <c r="H28" s="34"/>
      <c r="I28" s="34"/>
      <c r="O28" s="26"/>
      <c r="Q28" s="8"/>
      <c r="R28" s="2"/>
      <c r="S28" s="56"/>
      <c r="T28" s="56"/>
      <c r="U28" s="56"/>
      <c r="V28" s="31"/>
      <c r="W28" s="39"/>
      <c r="AK28" s="2"/>
      <c r="AL28" s="26"/>
    </row>
    <row r="29" spans="1:38" x14ac:dyDescent="0.35">
      <c r="D29"/>
      <c r="H29" s="34"/>
      <c r="I29" s="34"/>
      <c r="Q29" s="8"/>
      <c r="R29" s="2"/>
      <c r="S29" s="56"/>
      <c r="T29" s="56"/>
      <c r="U29" s="56"/>
      <c r="V29" s="31"/>
      <c r="W29" s="39"/>
      <c r="AK29" s="2"/>
      <c r="AL29" s="26"/>
    </row>
    <row r="30" spans="1:38" x14ac:dyDescent="0.35">
      <c r="D30"/>
      <c r="H30" s="34"/>
      <c r="I30" s="34"/>
      <c r="Q30" s="8"/>
      <c r="R30" s="2"/>
      <c r="S30" s="56"/>
      <c r="T30" s="56"/>
      <c r="U30" s="56"/>
      <c r="V30" s="31"/>
      <c r="W30" s="39"/>
      <c r="AK30" s="2"/>
      <c r="AL30" s="26"/>
    </row>
    <row r="31" spans="1:38" x14ac:dyDescent="0.35">
      <c r="D31"/>
      <c r="Q31" s="8"/>
      <c r="R31" s="2"/>
      <c r="S31" s="56"/>
      <c r="T31" s="56"/>
      <c r="U31" s="56"/>
      <c r="V31" s="31"/>
      <c r="W31" s="39"/>
      <c r="AK31" s="2"/>
      <c r="AL31" s="26"/>
    </row>
    <row r="32" spans="1:38" x14ac:dyDescent="0.35">
      <c r="D32"/>
      <c r="Q32" s="8"/>
      <c r="R32" s="2"/>
      <c r="S32" s="56"/>
      <c r="T32" s="56"/>
      <c r="U32" s="56"/>
      <c r="V32" s="31"/>
      <c r="W32" s="39"/>
    </row>
    <row r="33" spans="4:38" x14ac:dyDescent="0.35">
      <c r="D33"/>
      <c r="Q33" s="8"/>
      <c r="R33" s="2"/>
      <c r="S33" s="56"/>
      <c r="T33" s="56"/>
      <c r="U33" s="56"/>
      <c r="V33" s="31"/>
      <c r="W33" s="39"/>
    </row>
    <row r="34" spans="4:38" x14ac:dyDescent="0.35">
      <c r="Q34" s="8"/>
      <c r="R34" s="2"/>
      <c r="S34" s="56"/>
      <c r="T34" s="56"/>
      <c r="U34" s="56"/>
      <c r="V34" s="31"/>
      <c r="W34" s="39"/>
    </row>
    <row r="35" spans="4:38" x14ac:dyDescent="0.35">
      <c r="Q35" s="8"/>
      <c r="R35" s="2"/>
      <c r="S35" s="56"/>
      <c r="T35" s="56"/>
      <c r="U35" s="56"/>
      <c r="V35" s="31"/>
      <c r="W35" s="39"/>
    </row>
    <row r="36" spans="4:38" x14ac:dyDescent="0.35">
      <c r="Q36" s="8"/>
      <c r="R36" s="2"/>
      <c r="S36" s="56"/>
      <c r="T36" s="56"/>
      <c r="U36" s="56"/>
      <c r="V36" s="31"/>
      <c r="W36" s="39"/>
      <c r="AK36" s="6"/>
      <c r="AL36" s="6"/>
    </row>
    <row r="37" spans="4:38" x14ac:dyDescent="0.35">
      <c r="Q37" s="8"/>
      <c r="R37" s="2"/>
      <c r="S37" s="56"/>
      <c r="T37" s="56"/>
      <c r="U37" s="56"/>
      <c r="V37" s="31"/>
      <c r="W37" s="39"/>
      <c r="AK37" s="2"/>
      <c r="AL37" s="26"/>
    </row>
    <row r="38" spans="4:38" x14ac:dyDescent="0.35">
      <c r="Q38" s="8"/>
      <c r="R38" s="2"/>
      <c r="S38" s="56"/>
      <c r="T38" s="56"/>
      <c r="U38" s="56"/>
      <c r="V38" s="31"/>
      <c r="W38" s="39"/>
    </row>
    <row r="39" spans="4:38" x14ac:dyDescent="0.35">
      <c r="Q39" s="8"/>
      <c r="R39" s="2"/>
      <c r="S39" s="56"/>
      <c r="T39" s="56"/>
      <c r="U39" s="56"/>
      <c r="V39" s="31"/>
      <c r="W39" s="39"/>
    </row>
    <row r="40" spans="4:38" x14ac:dyDescent="0.35">
      <c r="Q40" s="8"/>
      <c r="R40" s="2"/>
      <c r="S40" s="56"/>
      <c r="T40" s="56"/>
      <c r="U40" s="56"/>
      <c r="V40" s="31"/>
      <c r="W40" s="39"/>
    </row>
    <row r="41" spans="4:38" x14ac:dyDescent="0.35">
      <c r="Q41" s="8"/>
      <c r="R41" s="2"/>
      <c r="S41" s="56"/>
      <c r="T41" s="56"/>
      <c r="U41" s="56"/>
      <c r="V41" s="31"/>
      <c r="W41" s="39"/>
    </row>
    <row r="42" spans="4:38" x14ac:dyDescent="0.35">
      <c r="Q42" s="8"/>
      <c r="R42" s="2"/>
      <c r="S42" s="56"/>
      <c r="T42" s="56"/>
      <c r="U42" s="56"/>
      <c r="V42" s="31"/>
      <c r="W42" s="39"/>
    </row>
    <row r="43" spans="4:38" x14ac:dyDescent="0.35">
      <c r="Q43" s="8"/>
      <c r="R43" s="2"/>
      <c r="S43" s="56"/>
      <c r="T43" s="56"/>
      <c r="U43" s="56"/>
      <c r="V43" s="31"/>
      <c r="W43" s="39"/>
    </row>
    <row r="44" spans="4:38" x14ac:dyDescent="0.35">
      <c r="Q44" s="8"/>
      <c r="R44" s="2"/>
      <c r="S44" s="56"/>
      <c r="T44" s="56"/>
      <c r="U44" s="56"/>
      <c r="V44" s="31"/>
      <c r="W44" s="39"/>
    </row>
    <row r="45" spans="4:38" x14ac:dyDescent="0.35">
      <c r="Q45" s="8"/>
      <c r="R45" s="2"/>
      <c r="S45" s="56"/>
      <c r="T45" s="56"/>
      <c r="U45" s="56"/>
      <c r="V45" s="31"/>
      <c r="W45" s="39"/>
    </row>
    <row r="46" spans="4:38" x14ac:dyDescent="0.35">
      <c r="Q46" s="8"/>
      <c r="R46" s="2"/>
      <c r="S46" s="56"/>
      <c r="T46" s="56"/>
      <c r="U46" s="56"/>
      <c r="V46" s="31"/>
      <c r="W46" s="39"/>
    </row>
    <row r="47" spans="4:38" x14ac:dyDescent="0.35">
      <c r="Q47" s="8"/>
      <c r="R47" s="2"/>
      <c r="S47" s="56"/>
      <c r="T47" s="56"/>
      <c r="U47" s="56"/>
      <c r="V47" s="31"/>
      <c r="W47" s="39"/>
    </row>
    <row r="48" spans="4:38" x14ac:dyDescent="0.35">
      <c r="Q48" s="8"/>
      <c r="R48" s="2"/>
      <c r="S48" s="56"/>
      <c r="T48" s="56"/>
      <c r="U48" s="56"/>
      <c r="V48" s="31"/>
      <c r="W48" s="39"/>
    </row>
    <row r="49" spans="17:23" x14ac:dyDescent="0.35">
      <c r="Q49" s="8"/>
      <c r="R49" s="2"/>
      <c r="S49" s="56"/>
      <c r="T49" s="56"/>
      <c r="U49" s="56"/>
      <c r="V49" s="31"/>
      <c r="W49" s="39"/>
    </row>
    <row r="50" spans="17:23" x14ac:dyDescent="0.35">
      <c r="Q50" s="8"/>
      <c r="R50" s="2"/>
      <c r="S50" s="56"/>
      <c r="T50" s="56"/>
      <c r="U50" s="56"/>
      <c r="V50" s="31"/>
      <c r="W50" s="39"/>
    </row>
    <row r="51" spans="17:23" x14ac:dyDescent="0.35">
      <c r="Q51" s="8"/>
      <c r="R51" s="2"/>
      <c r="S51" s="56"/>
      <c r="T51" s="56"/>
      <c r="U51" s="56"/>
      <c r="V51" s="31"/>
      <c r="W51" s="39"/>
    </row>
    <row r="52" spans="17:23" x14ac:dyDescent="0.35">
      <c r="Q52" s="8"/>
      <c r="R52" s="2"/>
      <c r="S52" s="56"/>
      <c r="T52" s="56"/>
      <c r="U52" s="56"/>
      <c r="V52" s="31"/>
      <c r="W52" s="39"/>
    </row>
    <row r="53" spans="17:23" x14ac:dyDescent="0.35">
      <c r="Q53" s="8"/>
      <c r="R53" s="2"/>
      <c r="S53" s="56"/>
      <c r="T53" s="56"/>
      <c r="U53" s="56"/>
      <c r="V53" s="31"/>
      <c r="W53" s="39"/>
    </row>
    <row r="54" spans="17:23" x14ac:dyDescent="0.35">
      <c r="Q54" s="8"/>
      <c r="R54" s="2"/>
      <c r="S54" s="56"/>
      <c r="T54" s="56"/>
      <c r="U54" s="56"/>
      <c r="V54" s="31"/>
      <c r="W54" s="39"/>
    </row>
    <row r="55" spans="17:23" x14ac:dyDescent="0.35">
      <c r="Q55" s="8"/>
      <c r="R55" s="2"/>
      <c r="S55" s="56"/>
      <c r="T55" s="56"/>
      <c r="U55" s="56"/>
      <c r="V55" s="31"/>
      <c r="W55" s="39"/>
    </row>
    <row r="56" spans="17:23" x14ac:dyDescent="0.35">
      <c r="Q56" s="8"/>
      <c r="R56" s="2"/>
      <c r="S56" s="56"/>
      <c r="T56" s="56"/>
      <c r="U56" s="56"/>
      <c r="V56" s="31"/>
      <c r="W56" s="39"/>
    </row>
    <row r="57" spans="17:23" x14ac:dyDescent="0.35">
      <c r="Q57" s="8"/>
      <c r="R57" s="2"/>
      <c r="S57" s="56"/>
      <c r="T57" s="56"/>
      <c r="U57" s="56"/>
      <c r="V57" s="31"/>
      <c r="W57" s="39"/>
    </row>
    <row r="58" spans="17:23" x14ac:dyDescent="0.35">
      <c r="Q58" s="8"/>
      <c r="R58" s="2"/>
      <c r="S58" s="56"/>
      <c r="T58" s="56"/>
      <c r="U58" s="56"/>
      <c r="V58" s="31"/>
      <c r="W58" s="39"/>
    </row>
    <row r="59" spans="17:23" x14ac:dyDescent="0.35">
      <c r="Q59" s="8"/>
      <c r="R59" s="2"/>
      <c r="S59" s="56"/>
      <c r="T59" s="56"/>
      <c r="U59" s="56"/>
      <c r="V59" s="31"/>
      <c r="W59" s="39"/>
    </row>
    <row r="60" spans="17:23" x14ac:dyDescent="0.35">
      <c r="Q60" s="8"/>
      <c r="R60" s="2"/>
      <c r="S60" s="56"/>
      <c r="T60" s="56"/>
      <c r="U60" s="56"/>
      <c r="V60" s="31"/>
      <c r="W60" s="39"/>
    </row>
    <row r="61" spans="17:23" x14ac:dyDescent="0.35">
      <c r="Q61" s="8"/>
      <c r="R61" s="2"/>
      <c r="S61" s="56"/>
      <c r="T61" s="56"/>
      <c r="U61" s="56"/>
      <c r="V61" s="31"/>
      <c r="W61" s="39"/>
    </row>
    <row r="62" spans="17:23" x14ac:dyDescent="0.35">
      <c r="Q62" s="8"/>
      <c r="R62" s="2"/>
      <c r="S62" s="56"/>
      <c r="T62" s="56"/>
      <c r="U62" s="56"/>
      <c r="V62" s="31"/>
      <c r="W62" s="39"/>
    </row>
    <row r="63" spans="17:23" x14ac:dyDescent="0.35">
      <c r="Q63" s="8"/>
      <c r="R63" s="2"/>
      <c r="S63" s="56"/>
      <c r="T63" s="56"/>
      <c r="U63" s="56"/>
      <c r="V63" s="31"/>
      <c r="W63" s="39"/>
    </row>
    <row r="64" spans="17:23" x14ac:dyDescent="0.35">
      <c r="Q64" s="8"/>
      <c r="R64" s="2"/>
      <c r="S64" s="56"/>
      <c r="T64" s="56"/>
      <c r="U64" s="56"/>
      <c r="V64" s="31"/>
      <c r="W64" s="39"/>
    </row>
    <row r="65" spans="17:23" x14ac:dyDescent="0.35">
      <c r="Q65" s="8"/>
      <c r="R65" s="2"/>
      <c r="S65" s="56"/>
      <c r="T65" s="56"/>
      <c r="U65" s="56"/>
      <c r="V65" s="31"/>
      <c r="W65" s="39"/>
    </row>
    <row r="66" spans="17:23" x14ac:dyDescent="0.35">
      <c r="Q66" s="8"/>
      <c r="R66" s="2"/>
      <c r="S66" s="56"/>
      <c r="T66" s="56"/>
      <c r="U66" s="56"/>
      <c r="V66" s="31"/>
      <c r="W66" s="39"/>
    </row>
    <row r="67" spans="17:23" x14ac:dyDescent="0.35">
      <c r="Q67" s="8"/>
      <c r="R67" s="2"/>
      <c r="S67" s="56"/>
      <c r="T67" s="56"/>
      <c r="U67" s="56"/>
      <c r="V67" s="31"/>
      <c r="W67" s="39"/>
    </row>
    <row r="68" spans="17:23" x14ac:dyDescent="0.35">
      <c r="Q68" s="8"/>
      <c r="R68" s="2"/>
      <c r="S68" s="56"/>
      <c r="T68" s="56"/>
      <c r="U68" s="56"/>
      <c r="V68" s="31"/>
      <c r="W68" s="39"/>
    </row>
    <row r="69" spans="17:23" x14ac:dyDescent="0.35">
      <c r="Q69" s="8"/>
      <c r="R69" s="2"/>
      <c r="S69" s="56"/>
      <c r="T69" s="56"/>
      <c r="U69" s="56"/>
      <c r="V69" s="31"/>
      <c r="W69" s="39"/>
    </row>
    <row r="70" spans="17:23" x14ac:dyDescent="0.35">
      <c r="Q70" s="8"/>
      <c r="R70" s="2"/>
      <c r="S70" s="56"/>
      <c r="T70" s="56"/>
      <c r="U70" s="56"/>
      <c r="V70" s="31"/>
      <c r="W70" s="39"/>
    </row>
    <row r="71" spans="17:23" x14ac:dyDescent="0.35">
      <c r="Q71" s="8"/>
      <c r="R71" s="2"/>
      <c r="S71" s="56"/>
      <c r="T71" s="56"/>
      <c r="U71" s="56"/>
      <c r="V71" s="31"/>
      <c r="W71" s="39"/>
    </row>
    <row r="72" spans="17:23" x14ac:dyDescent="0.35">
      <c r="Q72" s="8"/>
      <c r="R72" s="2"/>
      <c r="S72" s="56"/>
      <c r="T72" s="56"/>
      <c r="U72" s="56"/>
      <c r="V72" s="31"/>
      <c r="W72" s="39"/>
    </row>
    <row r="73" spans="17:23" x14ac:dyDescent="0.35">
      <c r="Q73" s="8"/>
      <c r="R73" s="2"/>
      <c r="S73" s="56"/>
      <c r="T73" s="56"/>
      <c r="U73" s="56"/>
      <c r="V73" s="31"/>
      <c r="W73" s="39"/>
    </row>
    <row r="74" spans="17:23" x14ac:dyDescent="0.35">
      <c r="Q74" s="8"/>
      <c r="R74" s="2"/>
      <c r="S74" s="56"/>
      <c r="T74" s="56"/>
      <c r="U74" s="56"/>
      <c r="V74" s="31"/>
      <c r="W74" s="39"/>
    </row>
    <row r="75" spans="17:23" x14ac:dyDescent="0.35">
      <c r="Q75" s="8"/>
      <c r="R75" s="2"/>
      <c r="S75" s="56"/>
      <c r="T75" s="56"/>
      <c r="U75" s="56"/>
      <c r="V75" s="31"/>
      <c r="W75" s="39"/>
    </row>
    <row r="76" spans="17:23" x14ac:dyDescent="0.35">
      <c r="Q76" s="8"/>
      <c r="R76" s="2"/>
      <c r="S76" s="56"/>
      <c r="T76" s="56"/>
      <c r="U76" s="56"/>
      <c r="V76" s="31"/>
      <c r="W76" s="39"/>
    </row>
    <row r="77" spans="17:23" x14ac:dyDescent="0.35">
      <c r="Q77" s="8"/>
      <c r="R77" s="2"/>
      <c r="S77" s="56"/>
      <c r="T77" s="56"/>
      <c r="U77" s="56"/>
      <c r="V77" s="31"/>
      <c r="W77" s="39"/>
    </row>
    <row r="78" spans="17:23" x14ac:dyDescent="0.35">
      <c r="Q78" s="8"/>
      <c r="R78" s="2"/>
      <c r="S78" s="56"/>
      <c r="T78" s="56"/>
      <c r="U78" s="56"/>
      <c r="V78" s="31"/>
      <c r="W78" s="39"/>
    </row>
    <row r="79" spans="17:23" x14ac:dyDescent="0.35">
      <c r="Q79" s="8"/>
      <c r="R79" s="2"/>
      <c r="S79" s="56"/>
      <c r="T79" s="56"/>
      <c r="U79" s="56"/>
      <c r="V79" s="31"/>
      <c r="W79" s="39"/>
    </row>
    <row r="80" spans="17:23" x14ac:dyDescent="0.35">
      <c r="Q80" s="8"/>
      <c r="R80" s="2"/>
      <c r="S80" s="56"/>
      <c r="T80" s="56"/>
      <c r="U80" s="56"/>
      <c r="V80" s="31"/>
      <c r="W80" s="39"/>
    </row>
    <row r="81" spans="17:23" x14ac:dyDescent="0.35">
      <c r="Q81" s="8"/>
      <c r="R81" s="2"/>
      <c r="S81" s="56"/>
      <c r="T81" s="56"/>
      <c r="U81" s="56"/>
      <c r="V81" s="31"/>
      <c r="W81" s="39"/>
    </row>
    <row r="82" spans="17:23" x14ac:dyDescent="0.35">
      <c r="Q82" s="8"/>
      <c r="R82" s="2"/>
      <c r="S82" s="56"/>
      <c r="T82" s="56"/>
      <c r="U82" s="56"/>
      <c r="V82" s="31"/>
      <c r="W82" s="39"/>
    </row>
    <row r="83" spans="17:23" x14ac:dyDescent="0.35">
      <c r="Q83" s="8"/>
      <c r="R83" s="2"/>
      <c r="S83" s="56"/>
      <c r="T83" s="56"/>
      <c r="U83" s="56"/>
      <c r="V83" s="31"/>
      <c r="W83" s="39"/>
    </row>
    <row r="84" spans="17:23" x14ac:dyDescent="0.35">
      <c r="Q84" s="8"/>
      <c r="R84" s="2"/>
      <c r="S84" s="56"/>
      <c r="T84" s="56"/>
      <c r="U84" s="56"/>
      <c r="V84" s="31"/>
      <c r="W84" s="39"/>
    </row>
    <row r="85" spans="17:23" x14ac:dyDescent="0.35">
      <c r="Q85" s="8"/>
      <c r="R85" s="2"/>
      <c r="S85" s="56"/>
      <c r="T85" s="56"/>
      <c r="U85" s="56"/>
      <c r="V85" s="31"/>
      <c r="W85" s="39"/>
    </row>
    <row r="86" spans="17:23" x14ac:dyDescent="0.35">
      <c r="Q86" s="8"/>
      <c r="R86" s="2"/>
      <c r="S86" s="56"/>
      <c r="T86" s="56"/>
      <c r="U86" s="56"/>
      <c r="V86" s="31"/>
      <c r="W86" s="39"/>
    </row>
    <row r="87" spans="17:23" x14ac:dyDescent="0.35">
      <c r="Q87" s="8"/>
      <c r="R87" s="2"/>
      <c r="S87" s="56"/>
      <c r="T87" s="56"/>
      <c r="U87" s="56"/>
      <c r="V87" s="31"/>
      <c r="W87" s="39"/>
    </row>
    <row r="88" spans="17:23" x14ac:dyDescent="0.35">
      <c r="Q88" s="8"/>
      <c r="R88" s="2"/>
      <c r="S88" s="56"/>
      <c r="T88" s="56"/>
      <c r="U88" s="56"/>
      <c r="V88" s="31"/>
      <c r="W88" s="39"/>
    </row>
    <row r="89" spans="17:23" x14ac:dyDescent="0.35">
      <c r="Q89" s="8"/>
      <c r="R89" s="2"/>
      <c r="S89" s="56"/>
      <c r="T89" s="56"/>
      <c r="U89" s="56"/>
      <c r="V89" s="31"/>
      <c r="W89" s="39"/>
    </row>
    <row r="90" spans="17:23" x14ac:dyDescent="0.35">
      <c r="Q90" s="8"/>
      <c r="R90" s="2"/>
      <c r="S90" s="56"/>
      <c r="T90" s="56"/>
      <c r="U90" s="56"/>
      <c r="V90" s="31"/>
      <c r="W90" s="39"/>
    </row>
    <row r="91" spans="17:23" x14ac:dyDescent="0.35">
      <c r="Q91" s="8"/>
      <c r="R91" s="2"/>
      <c r="S91" s="56"/>
      <c r="T91" s="56"/>
      <c r="U91" s="56"/>
      <c r="V91" s="31"/>
      <c r="W91" s="39"/>
    </row>
    <row r="92" spans="17:23" x14ac:dyDescent="0.35">
      <c r="Q92" s="8"/>
      <c r="R92" s="2"/>
      <c r="S92" s="56"/>
      <c r="T92" s="56"/>
      <c r="U92" s="56"/>
      <c r="V92" s="31"/>
      <c r="W92" s="39"/>
    </row>
    <row r="93" spans="17:23" x14ac:dyDescent="0.35">
      <c r="Q93" s="8"/>
      <c r="R93" s="2"/>
      <c r="S93" s="56"/>
      <c r="T93" s="56"/>
      <c r="U93" s="56"/>
      <c r="V93" s="31"/>
      <c r="W93" s="39"/>
    </row>
    <row r="94" spans="17:23" x14ac:dyDescent="0.35">
      <c r="Q94" s="8"/>
      <c r="R94" s="2"/>
      <c r="S94" s="56"/>
      <c r="T94" s="56"/>
      <c r="U94" s="56"/>
      <c r="V94" s="31"/>
      <c r="W94" s="39"/>
    </row>
    <row r="95" spans="17:23" x14ac:dyDescent="0.35">
      <c r="Q95" s="8"/>
      <c r="R95" s="2"/>
      <c r="S95" s="56"/>
      <c r="T95" s="56"/>
      <c r="U95" s="56"/>
      <c r="V95" s="31"/>
      <c r="W95" s="39"/>
    </row>
    <row r="96" spans="17:23" x14ac:dyDescent="0.35">
      <c r="Q96" s="8"/>
      <c r="R96" s="2"/>
      <c r="S96" s="56"/>
      <c r="T96" s="56"/>
      <c r="U96" s="56"/>
      <c r="V96" s="31"/>
      <c r="W96" s="39"/>
    </row>
    <row r="97" spans="17:23" x14ac:dyDescent="0.35">
      <c r="Q97" s="8"/>
      <c r="R97" s="2"/>
      <c r="S97" s="56"/>
      <c r="T97" s="56"/>
      <c r="U97" s="56"/>
      <c r="V97" s="31"/>
      <c r="W97" s="39"/>
    </row>
    <row r="98" spans="17:23" x14ac:dyDescent="0.35">
      <c r="Q98" s="8"/>
      <c r="R98" s="2"/>
      <c r="S98" s="56"/>
      <c r="T98" s="56"/>
      <c r="U98" s="56"/>
      <c r="V98" s="31"/>
      <c r="W98" s="39"/>
    </row>
    <row r="99" spans="17:23" x14ac:dyDescent="0.35">
      <c r="Q99" s="8"/>
      <c r="R99" s="2"/>
      <c r="S99" s="56"/>
      <c r="T99" s="56"/>
      <c r="U99" s="56"/>
      <c r="V99" s="31"/>
      <c r="W99" s="39"/>
    </row>
    <row r="100" spans="17:23" x14ac:dyDescent="0.35">
      <c r="Q100" s="8"/>
      <c r="R100" s="2"/>
      <c r="S100" s="56"/>
      <c r="T100" s="56"/>
      <c r="U100" s="56"/>
      <c r="V100" s="31"/>
      <c r="W100" s="39"/>
    </row>
    <row r="101" spans="17:23" x14ac:dyDescent="0.35">
      <c r="Q101" s="8"/>
      <c r="R101" s="2"/>
      <c r="S101" s="56"/>
      <c r="T101" s="56"/>
      <c r="U101" s="56"/>
      <c r="V101" s="31"/>
      <c r="W101" s="39"/>
    </row>
    <row r="102" spans="17:23" x14ac:dyDescent="0.35">
      <c r="Q102" s="8"/>
      <c r="R102" s="2"/>
      <c r="S102" s="56"/>
      <c r="T102" s="56"/>
      <c r="U102" s="56"/>
      <c r="V102" s="31"/>
      <c r="W102" s="39"/>
    </row>
    <row r="103" spans="17:23" x14ac:dyDescent="0.35">
      <c r="Q103" s="8"/>
      <c r="R103" s="2"/>
      <c r="S103" s="56"/>
      <c r="T103" s="56"/>
      <c r="U103" s="56"/>
      <c r="V103" s="31"/>
      <c r="W103" s="39"/>
    </row>
    <row r="104" spans="17:23" x14ac:dyDescent="0.35">
      <c r="Q104" s="8"/>
      <c r="R104" s="2"/>
      <c r="S104" s="56"/>
      <c r="T104" s="56"/>
      <c r="U104" s="56"/>
      <c r="V104" s="31"/>
      <c r="W104" s="39"/>
    </row>
    <row r="105" spans="17:23" x14ac:dyDescent="0.35">
      <c r="Q105" s="8"/>
      <c r="R105" s="2"/>
      <c r="S105" s="56"/>
      <c r="T105" s="56"/>
      <c r="U105" s="56"/>
      <c r="V105" s="31"/>
      <c r="W105" s="39"/>
    </row>
    <row r="106" spans="17:23" x14ac:dyDescent="0.35">
      <c r="Q106" s="8"/>
      <c r="R106" s="2"/>
      <c r="S106" s="56"/>
      <c r="T106" s="56"/>
      <c r="U106" s="56"/>
      <c r="V106" s="31"/>
      <c r="W106" s="39"/>
    </row>
    <row r="107" spans="17:23" x14ac:dyDescent="0.35">
      <c r="Q107" s="8"/>
      <c r="R107" s="2"/>
      <c r="S107" s="56"/>
      <c r="T107" s="56"/>
      <c r="U107" s="56"/>
      <c r="V107" s="31"/>
      <c r="W107" s="39"/>
    </row>
    <row r="108" spans="17:23" x14ac:dyDescent="0.35">
      <c r="Q108" s="8"/>
      <c r="R108" s="2"/>
      <c r="S108" s="56"/>
      <c r="T108" s="56"/>
      <c r="U108" s="56"/>
      <c r="V108" s="31"/>
      <c r="W108" s="39"/>
    </row>
    <row r="109" spans="17:23" x14ac:dyDescent="0.35">
      <c r="Q109" s="8"/>
      <c r="R109" s="2"/>
      <c r="S109" s="56"/>
      <c r="T109" s="56"/>
      <c r="U109" s="56"/>
      <c r="V109" s="31"/>
      <c r="W109" s="39"/>
    </row>
    <row r="110" spans="17:23" x14ac:dyDescent="0.35">
      <c r="Q110" s="8"/>
      <c r="R110" s="2"/>
      <c r="S110" s="56"/>
      <c r="T110" s="56"/>
      <c r="U110" s="56"/>
      <c r="V110" s="31"/>
      <c r="W110" s="39"/>
    </row>
    <row r="111" spans="17:23" x14ac:dyDescent="0.35">
      <c r="Q111" s="8"/>
      <c r="R111" s="2"/>
      <c r="S111" s="56"/>
      <c r="T111" s="56"/>
      <c r="U111" s="56"/>
      <c r="V111" s="31"/>
      <c r="W111" s="39"/>
    </row>
    <row r="112" spans="17:23" x14ac:dyDescent="0.35">
      <c r="Q112" s="8"/>
      <c r="R112" s="2"/>
      <c r="S112" s="56"/>
      <c r="T112" s="56"/>
      <c r="U112" s="56"/>
      <c r="V112" s="31"/>
      <c r="W112" s="39"/>
    </row>
    <row r="113" spans="17:23" x14ac:dyDescent="0.35">
      <c r="Q113" s="8"/>
      <c r="R113" s="2"/>
      <c r="S113" s="56"/>
      <c r="T113" s="56"/>
      <c r="U113" s="56"/>
      <c r="V113" s="31"/>
      <c r="W113" s="39"/>
    </row>
    <row r="114" spans="17:23" x14ac:dyDescent="0.35">
      <c r="Q114" s="8"/>
      <c r="R114" s="2"/>
      <c r="S114" s="56"/>
      <c r="T114" s="56"/>
      <c r="U114" s="56"/>
      <c r="V114" s="31"/>
      <c r="W114" s="39"/>
    </row>
    <row r="115" spans="17:23" x14ac:dyDescent="0.35">
      <c r="Q115" s="8"/>
      <c r="R115" s="2"/>
      <c r="S115" s="56"/>
      <c r="T115" s="56"/>
      <c r="U115" s="56"/>
      <c r="V115" s="31"/>
      <c r="W115" s="39"/>
    </row>
    <row r="116" spans="17:23" x14ac:dyDescent="0.35">
      <c r="Q116" s="8"/>
      <c r="R116" s="2"/>
      <c r="S116" s="56"/>
      <c r="T116" s="56"/>
      <c r="U116" s="56"/>
      <c r="V116" s="31"/>
      <c r="W116" s="39"/>
    </row>
    <row r="117" spans="17:23" x14ac:dyDescent="0.35">
      <c r="Q117" s="8"/>
      <c r="R117" s="2"/>
      <c r="S117" s="56"/>
      <c r="T117" s="56"/>
      <c r="U117" s="56"/>
      <c r="V117" s="31"/>
      <c r="W117" s="39"/>
    </row>
    <row r="118" spans="17:23" x14ac:dyDescent="0.35">
      <c r="Q118" s="8"/>
      <c r="R118" s="2"/>
      <c r="S118" s="56"/>
      <c r="T118" s="56"/>
      <c r="U118" s="56"/>
      <c r="V118" s="31"/>
      <c r="W118" s="39"/>
    </row>
    <row r="119" spans="17:23" x14ac:dyDescent="0.35">
      <c r="Q119" s="8"/>
      <c r="R119" s="2"/>
      <c r="S119" s="56"/>
      <c r="T119" s="56"/>
      <c r="U119" s="56"/>
      <c r="V119" s="31"/>
      <c r="W119" s="39"/>
    </row>
    <row r="120" spans="17:23" x14ac:dyDescent="0.35">
      <c r="Q120" s="8"/>
      <c r="R120" s="2"/>
      <c r="S120" s="56"/>
      <c r="T120" s="56"/>
      <c r="U120" s="56"/>
      <c r="V120" s="31"/>
      <c r="W120" s="39"/>
    </row>
    <row r="121" spans="17:23" x14ac:dyDescent="0.35">
      <c r="Q121" s="8"/>
      <c r="R121" s="2"/>
      <c r="S121" s="56"/>
      <c r="T121" s="56"/>
      <c r="U121" s="56"/>
      <c r="V121" s="31"/>
      <c r="W121" s="39"/>
    </row>
    <row r="122" spans="17:23" x14ac:dyDescent="0.35">
      <c r="Q122" s="8"/>
      <c r="R122" s="2"/>
      <c r="S122" s="56"/>
      <c r="T122" s="56"/>
      <c r="U122" s="56"/>
      <c r="V122" s="31"/>
      <c r="W122" s="39"/>
    </row>
    <row r="123" spans="17:23" x14ac:dyDescent="0.35">
      <c r="Q123" s="8"/>
      <c r="R123" s="2"/>
      <c r="S123" s="56"/>
      <c r="T123" s="56"/>
      <c r="U123" s="56"/>
      <c r="V123" s="31"/>
      <c r="W123" s="39"/>
    </row>
    <row r="124" spans="17:23" x14ac:dyDescent="0.35">
      <c r="Q124" s="8"/>
      <c r="R124" s="2"/>
      <c r="S124" s="56"/>
      <c r="T124" s="56"/>
      <c r="U124" s="56"/>
      <c r="V124" s="31"/>
      <c r="W124" s="39"/>
    </row>
    <row r="125" spans="17:23" x14ac:dyDescent="0.35">
      <c r="Q125" s="8"/>
      <c r="R125" s="2"/>
      <c r="S125" s="56"/>
      <c r="T125" s="56"/>
      <c r="U125" s="56"/>
      <c r="V125" s="31"/>
      <c r="W125" s="39"/>
    </row>
    <row r="126" spans="17:23" x14ac:dyDescent="0.35">
      <c r="Q126" s="8"/>
      <c r="R126" s="2"/>
      <c r="S126" s="56"/>
      <c r="T126" s="56"/>
      <c r="U126" s="56"/>
      <c r="V126" s="31"/>
      <c r="W126" s="39"/>
    </row>
    <row r="127" spans="17:23" x14ac:dyDescent="0.35">
      <c r="Q127" s="8"/>
      <c r="R127" s="2"/>
      <c r="S127" s="56"/>
      <c r="T127" s="56"/>
      <c r="U127" s="56"/>
      <c r="V127" s="31"/>
      <c r="W127" s="39"/>
    </row>
    <row r="128" spans="17:23" x14ac:dyDescent="0.35">
      <c r="Q128" s="8"/>
      <c r="R128" s="2"/>
      <c r="S128" s="56"/>
      <c r="T128" s="56"/>
      <c r="U128" s="56"/>
      <c r="V128" s="31"/>
      <c r="W128" s="39"/>
    </row>
    <row r="129" spans="17:23" x14ac:dyDescent="0.35">
      <c r="Q129" s="8"/>
      <c r="R129" s="2"/>
      <c r="S129" s="56"/>
      <c r="T129" s="56"/>
      <c r="U129" s="56"/>
      <c r="V129" s="31"/>
      <c r="W129" s="39"/>
    </row>
    <row r="130" spans="17:23" x14ac:dyDescent="0.35">
      <c r="Q130" s="8"/>
      <c r="R130" s="2"/>
      <c r="S130" s="56"/>
      <c r="T130" s="56"/>
      <c r="U130" s="56"/>
      <c r="V130" s="31"/>
      <c r="W130" s="39"/>
    </row>
    <row r="131" spans="17:23" x14ac:dyDescent="0.35">
      <c r="Q131" s="8"/>
      <c r="R131" s="2"/>
      <c r="S131" s="56"/>
      <c r="T131" s="56"/>
      <c r="U131" s="56"/>
      <c r="V131" s="31"/>
      <c r="W131" s="39"/>
    </row>
    <row r="132" spans="17:23" x14ac:dyDescent="0.35">
      <c r="Q132" s="8"/>
      <c r="R132" s="2"/>
      <c r="S132" s="56"/>
      <c r="T132" s="56"/>
      <c r="U132" s="56"/>
      <c r="V132" s="31"/>
      <c r="W132" s="39"/>
    </row>
    <row r="133" spans="17:23" x14ac:dyDescent="0.35">
      <c r="Q133" s="8"/>
      <c r="R133" s="2"/>
      <c r="S133" s="56"/>
      <c r="T133" s="56"/>
      <c r="U133" s="56"/>
      <c r="V133" s="31"/>
      <c r="W133" s="39"/>
    </row>
    <row r="134" spans="17:23" x14ac:dyDescent="0.35">
      <c r="Q134" s="8"/>
      <c r="R134" s="2"/>
      <c r="S134" s="56"/>
      <c r="T134" s="56"/>
      <c r="U134" s="56"/>
      <c r="V134" s="31"/>
      <c r="W134" s="39"/>
    </row>
    <row r="135" spans="17:23" x14ac:dyDescent="0.35">
      <c r="Q135" s="8"/>
      <c r="R135" s="2"/>
      <c r="S135" s="56"/>
      <c r="T135" s="56"/>
      <c r="U135" s="56"/>
      <c r="V135" s="31"/>
      <c r="W135" s="39"/>
    </row>
    <row r="136" spans="17:23" x14ac:dyDescent="0.35">
      <c r="Q136" s="8"/>
      <c r="R136" s="2"/>
      <c r="S136" s="56"/>
      <c r="T136" s="56"/>
      <c r="U136" s="56"/>
      <c r="V136" s="31"/>
      <c r="W136" s="39"/>
    </row>
    <row r="137" spans="17:23" x14ac:dyDescent="0.35">
      <c r="Q137" s="8"/>
      <c r="R137" s="2"/>
      <c r="S137" s="56"/>
      <c r="T137" s="56"/>
      <c r="U137" s="56"/>
      <c r="V137" s="31"/>
      <c r="W137" s="39"/>
    </row>
    <row r="138" spans="17:23" x14ac:dyDescent="0.35">
      <c r="Q138" s="8"/>
      <c r="R138" s="2"/>
      <c r="S138" s="56"/>
      <c r="T138" s="56"/>
      <c r="U138" s="56"/>
      <c r="V138" s="31"/>
      <c r="W138" s="39"/>
    </row>
    <row r="139" spans="17:23" x14ac:dyDescent="0.35">
      <c r="Q139" s="8"/>
      <c r="R139" s="2"/>
      <c r="S139" s="56"/>
      <c r="T139" s="56"/>
      <c r="U139" s="56"/>
      <c r="V139" s="31"/>
      <c r="W139" s="39"/>
    </row>
    <row r="140" spans="17:23" x14ac:dyDescent="0.35">
      <c r="Q140" s="8"/>
      <c r="R140" s="2"/>
      <c r="S140" s="56"/>
      <c r="T140" s="56"/>
      <c r="U140" s="56"/>
      <c r="V140" s="31"/>
      <c r="W140" s="39"/>
    </row>
    <row r="141" spans="17:23" x14ac:dyDescent="0.35">
      <c r="Q141" s="8"/>
      <c r="R141" s="2"/>
      <c r="S141" s="56"/>
      <c r="T141" s="56"/>
      <c r="U141" s="56"/>
      <c r="V141" s="31"/>
      <c r="W141" s="39"/>
    </row>
    <row r="142" spans="17:23" x14ac:dyDescent="0.35">
      <c r="Q142" s="8"/>
      <c r="R142" s="2"/>
      <c r="S142" s="56"/>
      <c r="T142" s="56"/>
      <c r="U142" s="56"/>
      <c r="V142" s="31"/>
      <c r="W142" s="39"/>
    </row>
  </sheetData>
  <mergeCells count="3">
    <mergeCell ref="AB1:AF1"/>
    <mergeCell ref="AL1:AM1"/>
    <mergeCell ref="L25:M25"/>
  </mergeCells>
  <conditionalFormatting sqref="H3:I27 G2:G20">
    <cfRule type="iconSet" priority="17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O10:O21 O24 O2:O7">
    <cfRule type="iconSet" priority="5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C7:AC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{DF517690-DA5D-4A7D-AB9C-AAA0CFA0D4A0}</x14:id>
        </ext>
      </extLst>
    </cfRule>
  </conditionalFormatting>
  <conditionalFormatting sqref="AF67:AF6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{73AF52E3-5219-465C-B87F-6F19D088D4F0}</x14:id>
        </ext>
      </extLst>
    </cfRule>
  </conditionalFormatting>
  <conditionalFormatting sqref="AF69:AF70 AN28:AN30 AE71">
    <cfRule type="iconSet" priority="4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74:AF75">
    <cfRule type="iconSet" priority="2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66:AH6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{5C8FDD19-1F42-40FB-9FA0-8A1B45C061FE}</x14:id>
        </ext>
      </extLst>
    </cfRule>
  </conditionalFormatting>
  <conditionalFormatting sqref="AF60:AI63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{8828E9AD-86DA-40E4-A59A-11BE0D55A185}</x14:id>
        </ext>
      </extLst>
    </cfRule>
  </conditionalFormatting>
  <conditionalFormatting sqref="AG7:AG8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{5301428F-A05D-4D1F-950A-F758D11E4B48}</x14:id>
        </ext>
      </extLst>
    </cfRule>
  </conditionalFormatting>
  <conditionalFormatting sqref="AG9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52:AG53 AN13:AN22">
    <cfRule type="iconSet" priority="4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54:AG57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{A9C5C928-6E37-4349-BB6B-B6DD9016E54B}</x14:id>
        </ext>
      </extLst>
    </cfRule>
  </conditionalFormatting>
  <conditionalFormatting sqref="AG55:AG5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{ABC9EDD8-9DD5-4DCD-8BA5-E196403E0884}</x14:id>
        </ext>
      </extLst>
    </cfRule>
  </conditionalFormatting>
  <conditionalFormatting sqref="AG69:AG70 AF71">
    <cfRule type="iconSet" priority="4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67:AH6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{A1DB03D9-C606-4352-98B0-1D059E147CB5}</x14:id>
        </ext>
      </extLst>
    </cfRule>
  </conditionalFormatting>
  <conditionalFormatting sqref="AG68:AH6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{0F891613-6295-4B1C-9A53-DF9E61098B74}</x14:id>
        </ext>
      </extLst>
    </cfRule>
  </conditionalFormatting>
  <conditionalFormatting sqref="AH52">
    <cfRule type="iconSet" priority="4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H54:AH58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{045C2691-03A0-4466-85DC-FB93F26E43FE}</x14:id>
        </ext>
      </extLst>
    </cfRule>
  </conditionalFormatting>
  <conditionalFormatting sqref="AI54:AI57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{4CE2108A-2FE4-489D-83E9-DC8F889C6011}</x14:id>
        </ext>
      </extLst>
    </cfRule>
  </conditionalFormatting>
  <conditionalFormatting sqref="AI54:AI58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{41539A6D-BF2D-4E91-90B1-563E823929F1}</x14:id>
        </ext>
      </extLst>
    </cfRule>
  </conditionalFormatting>
  <conditionalFormatting sqref="AI66:AI6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{77EDB714-64E2-42AF-BAE6-D20B6A5EAA85}</x14:id>
        </ext>
      </extLst>
    </cfRule>
  </conditionalFormatting>
  <conditionalFormatting sqref="AI54:AJ54 AG54"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{9F4F2EC4-66E8-4FD5-8DF5-DF4DE818524F}</x14:id>
        </ext>
      </extLst>
    </cfRule>
  </conditionalFormatting>
  <conditionalFormatting sqref="AI55:AJ55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{2E4D9C32-96C1-42FB-91D6-E19BA8A14A7C}</x14:id>
        </ext>
      </extLst>
    </cfRule>
  </conditionalFormatting>
  <conditionalFormatting sqref="AI56:AJ56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{E7028296-12CB-4460-AE35-41754E1FF124}</x14:id>
        </ext>
      </extLst>
    </cfRule>
  </conditionalFormatting>
  <conditionalFormatting sqref="AI9:AK9"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I53:AK53">
    <cfRule type="iconSet" priority="3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J54:AJ58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{44FBE66A-37EE-427E-BE25-018B3830DC6D}</x14:id>
        </ext>
      </extLst>
    </cfRule>
  </conditionalFormatting>
  <conditionalFormatting sqref="AL8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{DF4AD2A9-FD6D-435B-91E5-00CC8BA272E7}</x14:id>
        </ext>
      </extLst>
    </cfRule>
  </conditionalFormatting>
  <conditionalFormatting sqref="AL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{83CC377C-354A-4203-8D77-CC6CFDB877D3}</x14:id>
        </ext>
      </extLst>
    </cfRule>
  </conditionalFormatting>
  <conditionalFormatting sqref="AL24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{C726DD67-EA0F-4455-94E1-02BD760F0E75}</x14:id>
        </ext>
      </extLst>
    </cfRule>
  </conditionalFormatting>
  <conditionalFormatting sqref="AL25:AL3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{F9C53AB4-C4F2-4E50-A356-3A6A5F1F121C}</x14:id>
        </ext>
      </extLst>
    </cfRule>
  </conditionalFormatting>
  <conditionalFormatting sqref="AL37:AL3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{5E418CD7-4BFC-4137-8246-574DF87853CB}</x14:id>
        </ext>
      </extLst>
    </cfRule>
  </conditionalFormatting>
  <conditionalFormatting sqref="AM8:AM10">
    <cfRule type="dataBar" priority="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{EE0B3308-51B9-451B-9776-600AA7E656AE}</x14:id>
        </ext>
      </extLst>
    </cfRule>
  </conditionalFormatting>
  <conditionalFormatting sqref="AM13:AM22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{D120E52A-DB88-4D28-88DE-26A9272F1408}</x14:id>
        </ext>
      </extLst>
    </cfRule>
  </conditionalFormatting>
  <conditionalFormatting sqref="AM28:AM3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{5FBA0A67-24B5-4B53-A403-2E554708436A}</x14:id>
        </ext>
      </extLst>
    </cfRule>
  </conditionalFormatting>
  <dataValidations count="3">
    <dataValidation type="list" allowBlank="1" showInputMessage="1" showErrorMessage="1" sqref="X2:X142" xr:uid="{D0636E56-D8E4-4269-AA3B-4C765E2A4C1A}">
      <formula1>INDIRECT("CAJAS[CAJAS]")</formula1>
    </dataValidation>
    <dataValidation type="list" allowBlank="1" showInputMessage="1" showErrorMessage="1" sqref="S2:S142 D2:D20" xr:uid="{A2FDA409-4F08-483F-B5BE-76DFDE861985}">
      <formula1>INDIRECT(C2)</formula1>
    </dataValidation>
    <dataValidation type="list" allowBlank="1" showInputMessage="1" showErrorMessage="1" sqref="R2:R142 C2:C20" xr:uid="{644A7B02-AD9D-4453-94B1-9E823A8566C7}">
      <formula1>INDIRECT("RUBROS[RUBROS]")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" id="{84726B4D-51BD-4EB3-90D4-46CE3AD1AC1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O25</xm:sqref>
        </x14:conditionalFormatting>
        <x14:conditionalFormatting xmlns:xm="http://schemas.microsoft.com/office/excel/2006/main">
          <x14:cfRule type="dataBar" id="{DF517690-DA5D-4A7D-AB9C-AAA0CFA0D4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AC7:AC8</xm:sqref>
        </x14:conditionalFormatting>
        <x14:conditionalFormatting xmlns:xm="http://schemas.microsoft.com/office/excel/2006/main">
          <x14:cfRule type="dataBar" id="{73AF52E3-5219-465C-B87F-6F19D088D4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AF67:AF68</xm:sqref>
        </x14:conditionalFormatting>
        <x14:conditionalFormatting xmlns:xm="http://schemas.microsoft.com/office/excel/2006/main">
          <x14:cfRule type="dataBar" id="{5C8FDD19-1F42-40FB-9FA0-8A1B45C061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AF66:AH66</xm:sqref>
        </x14:conditionalFormatting>
        <x14:conditionalFormatting xmlns:xm="http://schemas.microsoft.com/office/excel/2006/main">
          <x14:cfRule type="dataBar" id="{8828E9AD-86DA-40E4-A59A-11BE0D55A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AF60:AI63</xm:sqref>
        </x14:conditionalFormatting>
        <x14:conditionalFormatting xmlns:xm="http://schemas.microsoft.com/office/excel/2006/main">
          <x14:cfRule type="dataBar" id="{5301428F-A05D-4D1F-950A-F758D11E4B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  <x14:conditionalFormatting xmlns:xm="http://schemas.microsoft.com/office/excel/2006/main">
          <x14:cfRule type="dataBar" id="{A9C5C928-6E37-4349-BB6B-B6DD9016E5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AG54:AG57</xm:sqref>
        </x14:conditionalFormatting>
        <x14:conditionalFormatting xmlns:xm="http://schemas.microsoft.com/office/excel/2006/main">
          <x14:cfRule type="dataBar" id="{ABC9EDD8-9DD5-4DCD-8BA5-E196403E08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AG55:AG56</xm:sqref>
        </x14:conditionalFormatting>
        <x14:conditionalFormatting xmlns:xm="http://schemas.microsoft.com/office/excel/2006/main">
          <x14:cfRule type="dataBar" id="{A1DB03D9-C606-4352-98B0-1D059E147C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AG67:AH67</xm:sqref>
        </x14:conditionalFormatting>
        <x14:conditionalFormatting xmlns:xm="http://schemas.microsoft.com/office/excel/2006/main">
          <x14:cfRule type="dataBar" id="{0F891613-6295-4B1C-9A53-DF9E61098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AG68:AH68</xm:sqref>
        </x14:conditionalFormatting>
        <x14:conditionalFormatting xmlns:xm="http://schemas.microsoft.com/office/excel/2006/main">
          <x14:cfRule type="dataBar" id="{045C2691-03A0-4466-85DC-FB93F26E4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AH54:AH58</xm:sqref>
        </x14:conditionalFormatting>
        <x14:conditionalFormatting xmlns:xm="http://schemas.microsoft.com/office/excel/2006/main">
          <x14:cfRule type="dataBar" id="{4CE2108A-2FE4-489D-83E9-DC8F889C60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AI54:AI57</xm:sqref>
        </x14:conditionalFormatting>
        <x14:conditionalFormatting xmlns:xm="http://schemas.microsoft.com/office/excel/2006/main">
          <x14:cfRule type="dataBar" id="{41539A6D-BF2D-4E91-90B1-563E82392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AI54:AI58</xm:sqref>
        </x14:conditionalFormatting>
        <x14:conditionalFormatting xmlns:xm="http://schemas.microsoft.com/office/excel/2006/main">
          <x14:cfRule type="dataBar" id="{77EDB714-64E2-42AF-BAE6-D20B6A5EAA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AI66:AI68</xm:sqref>
        </x14:conditionalFormatting>
        <x14:conditionalFormatting xmlns:xm="http://schemas.microsoft.com/office/excel/2006/main">
          <x14:cfRule type="dataBar" id="{9F4F2EC4-66E8-4FD5-8DF5-DF4DE81852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AI54:AJ54 AG54</xm:sqref>
        </x14:conditionalFormatting>
        <x14:conditionalFormatting xmlns:xm="http://schemas.microsoft.com/office/excel/2006/main">
          <x14:cfRule type="dataBar" id="{2E4D9C32-96C1-42FB-91D6-E19BA8A14A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AI55:AJ55</xm:sqref>
        </x14:conditionalFormatting>
        <x14:conditionalFormatting xmlns:xm="http://schemas.microsoft.com/office/excel/2006/main">
          <x14:cfRule type="dataBar" id="{E7028296-12CB-4460-AE35-41754E1FF1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AI56:AJ56</xm:sqref>
        </x14:conditionalFormatting>
        <x14:conditionalFormatting xmlns:xm="http://schemas.microsoft.com/office/excel/2006/main">
          <x14:cfRule type="dataBar" id="{44FBE66A-37EE-427E-BE25-018B3830DC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AJ54:AJ58</xm:sqref>
        </x14:conditionalFormatting>
        <x14:conditionalFormatting xmlns:xm="http://schemas.microsoft.com/office/excel/2006/main">
          <x14:cfRule type="dataBar" id="{DF4AD2A9-FD6D-435B-91E5-00CC8BA27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AL8</xm:sqref>
        </x14:conditionalFormatting>
        <x14:conditionalFormatting xmlns:xm="http://schemas.microsoft.com/office/excel/2006/main">
          <x14:cfRule type="dataBar" id="{83CC377C-354A-4203-8D77-CC6CFDB87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AL9</xm:sqref>
        </x14:conditionalFormatting>
        <x14:conditionalFormatting xmlns:xm="http://schemas.microsoft.com/office/excel/2006/main">
          <x14:cfRule type="dataBar" id="{C726DD67-EA0F-4455-94E1-02BD760F0E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AL24</xm:sqref>
        </x14:conditionalFormatting>
        <x14:conditionalFormatting xmlns:xm="http://schemas.microsoft.com/office/excel/2006/main">
          <x14:cfRule type="dataBar" id="{F9C53AB4-C4F2-4E50-A356-3A6A5F1F12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AL25:AL31</xm:sqref>
        </x14:conditionalFormatting>
        <x14:conditionalFormatting xmlns:xm="http://schemas.microsoft.com/office/excel/2006/main">
          <x14:cfRule type="dataBar" id="{5E418CD7-4BFC-4137-8246-574DF8785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AL37:AL39</xm:sqref>
        </x14:conditionalFormatting>
        <x14:conditionalFormatting xmlns:xm="http://schemas.microsoft.com/office/excel/2006/main">
          <x14:cfRule type="dataBar" id="{EE0B3308-51B9-451B-9776-600AA7E656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AM8:AM10</xm:sqref>
        </x14:conditionalFormatting>
        <x14:conditionalFormatting xmlns:xm="http://schemas.microsoft.com/office/excel/2006/main">
          <x14:cfRule type="dataBar" id="{D120E52A-DB88-4D28-88DE-26A9272F1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AM13:AM22</xm:sqref>
        </x14:conditionalFormatting>
        <x14:conditionalFormatting xmlns:xm="http://schemas.microsoft.com/office/excel/2006/main">
          <x14:cfRule type="dataBar" id="{5FBA0A67-24B5-4B53-A403-2E55470843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AM28:AM30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2BCA-7EAF-46D8-A690-DF4F97F76778}">
  <dimension ref="A1:AM142"/>
  <sheetViews>
    <sheetView showGridLines="0" zoomScaleNormal="100" workbookViewId="0">
      <selection activeCell="A2" sqref="A1:G2"/>
    </sheetView>
  </sheetViews>
  <sheetFormatPr baseColWidth="10" defaultColWidth="11.453125" defaultRowHeight="14.5" x14ac:dyDescent="0.35"/>
  <cols>
    <col min="1" max="1" width="17.54296875" style="7" bestFit="1" customWidth="1"/>
    <col min="2" max="2" width="17" style="7" bestFit="1" customWidth="1"/>
    <col min="3" max="3" width="22" style="7" bestFit="1" customWidth="1"/>
    <col min="4" max="4" width="12" style="7" bestFit="1" customWidth="1"/>
    <col min="5" max="5" width="15.7265625" style="32" customWidth="1"/>
    <col min="6" max="6" width="15.7265625" style="33" customWidth="1"/>
    <col min="7" max="7" width="7.1796875" style="32" customWidth="1"/>
    <col min="8" max="9" width="3.7265625" style="32" customWidth="1"/>
    <col min="10" max="10" width="10.81640625" style="55" bestFit="1" customWidth="1"/>
    <col min="11" max="11" width="17.54296875" style="32" bestFit="1" customWidth="1"/>
    <col min="12" max="12" width="14.453125" style="7" bestFit="1" customWidth="1"/>
    <col min="13" max="13" width="18" style="32" bestFit="1" customWidth="1"/>
    <col min="14" max="14" width="22" style="33" bestFit="1" customWidth="1"/>
    <col min="15" max="15" width="22" style="32" bestFit="1" customWidth="1"/>
    <col min="16" max="16" width="3.7265625" style="7" customWidth="1"/>
    <col min="17" max="17" width="8.453125" style="7" customWidth="1"/>
    <col min="18" max="18" width="15" style="7" bestFit="1" customWidth="1"/>
    <col min="19" max="19" width="15" style="44" customWidth="1"/>
    <col min="20" max="21" width="15" style="44" hidden="1" customWidth="1"/>
    <col min="22" max="23" width="13.1796875" style="26" bestFit="1" customWidth="1"/>
    <col min="24" max="24" width="13" style="2" bestFit="1" customWidth="1"/>
    <col min="25" max="25" width="3.453125" style="2" customWidth="1"/>
    <col min="26" max="26" width="5.08984375" style="7" customWidth="1"/>
    <col min="27" max="27" width="8.6328125" style="2" bestFit="1" customWidth="1"/>
    <col min="28" max="28" width="13.1796875" style="7" customWidth="1"/>
    <col min="29" max="29" width="22" style="7" customWidth="1"/>
    <col min="30" max="30" width="13.7265625" style="7" customWidth="1"/>
    <col min="31" max="31" width="15.26953125" style="7" bestFit="1" customWidth="1"/>
    <col min="32" max="32" width="19.81640625" style="7" customWidth="1"/>
    <col min="33" max="33" width="17.81640625" style="7" customWidth="1"/>
    <col min="34" max="34" width="15.26953125" style="7" customWidth="1"/>
    <col min="35" max="35" width="15.08984375" style="7" customWidth="1"/>
    <col min="36" max="36" width="13.54296875" style="7" bestFit="1" customWidth="1"/>
    <col min="37" max="37" width="11.453125" style="7"/>
    <col min="38" max="38" width="17.54296875" style="7" bestFit="1" customWidth="1"/>
    <col min="39" max="39" width="13" style="7" bestFit="1" customWidth="1"/>
    <col min="40" max="40" width="13.453125" style="7" bestFit="1" customWidth="1"/>
    <col min="41" max="42" width="12" style="7" bestFit="1" customWidth="1"/>
    <col min="43" max="44" width="11" style="7" bestFit="1" customWidth="1"/>
    <col min="45" max="45" width="8.453125" style="7" bestFit="1" customWidth="1"/>
    <col min="46" max="46" width="13" style="7" bestFit="1" customWidth="1"/>
    <col min="47" max="16384" width="11.453125" style="7"/>
  </cols>
  <sheetData>
    <row r="1" spans="1:39" s="1" customFormat="1" x14ac:dyDescent="0.35">
      <c r="A1" s="64" t="s">
        <v>75</v>
      </c>
      <c r="B1" s="64" t="s">
        <v>74</v>
      </c>
      <c r="C1" s="65" t="s">
        <v>18</v>
      </c>
      <c r="D1" s="66" t="s">
        <v>38</v>
      </c>
      <c r="E1" s="65" t="s">
        <v>17</v>
      </c>
      <c r="F1" s="65" t="s">
        <v>36</v>
      </c>
      <c r="G1" s="65" t="s">
        <v>35</v>
      </c>
      <c r="H1" s="4"/>
      <c r="I1" s="4"/>
      <c r="J1" s="53" t="s">
        <v>75</v>
      </c>
      <c r="K1" s="6" t="s">
        <v>85</v>
      </c>
      <c r="L1" s="6" t="s">
        <v>19</v>
      </c>
      <c r="M1" s="6" t="s">
        <v>17</v>
      </c>
      <c r="N1" s="6" t="s">
        <v>37</v>
      </c>
      <c r="O1" s="6" t="s">
        <v>35</v>
      </c>
      <c r="Q1" s="24" t="s">
        <v>134</v>
      </c>
      <c r="R1" s="6" t="s">
        <v>18</v>
      </c>
      <c r="S1" s="30" t="s">
        <v>38</v>
      </c>
      <c r="T1" s="30" t="s">
        <v>65</v>
      </c>
      <c r="U1" s="30" t="s">
        <v>70</v>
      </c>
      <c r="V1" s="35" t="s">
        <v>27</v>
      </c>
      <c r="W1" s="36" t="s">
        <v>26</v>
      </c>
      <c r="X1" s="6" t="s">
        <v>34</v>
      </c>
      <c r="Y1" s="2"/>
      <c r="AA1" s="2"/>
      <c r="AB1" s="87">
        <f>SUM(AB3:AE3)+AC7+AG3</f>
        <v>0</v>
      </c>
      <c r="AC1" s="87"/>
      <c r="AD1" s="87"/>
      <c r="AE1" s="87"/>
      <c r="AF1" s="87"/>
      <c r="AG1" s="37"/>
      <c r="AL1" s="88">
        <f>+AK3-AL3</f>
        <v>0</v>
      </c>
      <c r="AM1" s="88"/>
    </row>
    <row r="2" spans="1:39" s="5" customFormat="1" x14ac:dyDescent="0.35">
      <c r="A2" s="79">
        <f t="shared" ref="A2:A19" si="0">IF(WEEKDAY(DATE($J$6,$K$6,B2),2)=7, DATE($J$6,$K$6,B2)-2, DATE($J$6,$K$6,B2))</f>
        <v>46025</v>
      </c>
      <c r="B2" s="7">
        <v>3</v>
      </c>
      <c r="C2" s="2" t="s">
        <v>22</v>
      </c>
      <c r="D2" s="2" t="s">
        <v>113</v>
      </c>
      <c r="E2" s="26">
        <v>38613.97</v>
      </c>
      <c r="F2" s="46">
        <f t="shared" ref="F2:F11" si="1">+SUMIFS(V:V,R:R,C2,S:S,D2)</f>
        <v>0</v>
      </c>
      <c r="G2" s="28">
        <f t="shared" ref="G2:G19" si="2">+IFERROR(F2/E2,0)</f>
        <v>0</v>
      </c>
      <c r="H2" s="6"/>
      <c r="I2" s="6"/>
      <c r="J2" s="54">
        <f>IF(WEEKDAY(DATE($J$6,$K$6,K2),2)=7, DATE($J$6,$K$6,K2)-2, DATE($J$6,$K$6,K2))</f>
        <v>46025</v>
      </c>
      <c r="K2" s="2">
        <v>3</v>
      </c>
      <c r="L2" s="2" t="s">
        <v>154</v>
      </c>
      <c r="M2" s="26">
        <v>3000000</v>
      </c>
      <c r="N2" s="27">
        <f>+SUMIFS(W:W,S:S,L2)</f>
        <v>0</v>
      </c>
      <c r="O2" s="28">
        <f>+IFERROR(N2/M2,0)</f>
        <v>0</v>
      </c>
      <c r="P2" s="6"/>
      <c r="Q2" s="8"/>
      <c r="R2" s="2"/>
      <c r="S2" s="38"/>
      <c r="T2" s="38"/>
      <c r="U2" s="38"/>
      <c r="V2" s="31"/>
      <c r="W2" s="39"/>
      <c r="X2" s="2"/>
      <c r="Y2" s="6"/>
      <c r="AB2" s="6" t="s">
        <v>20</v>
      </c>
      <c r="AC2" s="6" t="s">
        <v>79</v>
      </c>
      <c r="AD2" s="71" t="s">
        <v>112</v>
      </c>
      <c r="AE2" s="40" t="s">
        <v>30</v>
      </c>
      <c r="AF2" s="40" t="s">
        <v>106</v>
      </c>
      <c r="AG2" s="40" t="s">
        <v>61</v>
      </c>
      <c r="AH2" s="6" t="s">
        <v>64</v>
      </c>
      <c r="AJ2" s="40" t="s">
        <v>33</v>
      </c>
      <c r="AK2" s="41" t="s">
        <v>27</v>
      </c>
      <c r="AL2" s="36" t="s">
        <v>26</v>
      </c>
    </row>
    <row r="3" spans="1:39" x14ac:dyDescent="0.35">
      <c r="A3" s="79">
        <f t="shared" si="0"/>
        <v>46028</v>
      </c>
      <c r="B3" s="7">
        <v>6</v>
      </c>
      <c r="C3" s="2" t="s">
        <v>67</v>
      </c>
      <c r="D3" s="2" t="s">
        <v>4</v>
      </c>
      <c r="E3" s="26">
        <v>11000</v>
      </c>
      <c r="F3" s="46">
        <f t="shared" si="1"/>
        <v>0</v>
      </c>
      <c r="G3" s="28">
        <f t="shared" si="2"/>
        <v>0</v>
      </c>
      <c r="H3" s="25"/>
      <c r="I3" s="25"/>
      <c r="J3" s="54">
        <f>IF(WEEKDAY(DATE($J$6,$K$6,K3),2)=7, DATE($J$6,$K$6,K3)-2, DATE($J$6,$K$6,K3))</f>
        <v>46031</v>
      </c>
      <c r="K3" s="2">
        <v>11</v>
      </c>
      <c r="L3" s="2" t="s">
        <v>100</v>
      </c>
      <c r="M3" s="26">
        <v>1000000</v>
      </c>
      <c r="N3" s="27">
        <f>+SUMIFS(W:W,S:S,L3)</f>
        <v>0</v>
      </c>
      <c r="O3" s="28">
        <f t="shared" ref="O3:O4" si="3">+IFERROR(N3/M3,0)</f>
        <v>0</v>
      </c>
      <c r="Q3" s="8"/>
      <c r="R3" s="2"/>
      <c r="S3" s="56"/>
      <c r="T3" s="56"/>
      <c r="U3" s="56"/>
      <c r="V3" s="31"/>
      <c r="W3" s="39"/>
      <c r="AA3" s="2" t="s">
        <v>92</v>
      </c>
      <c r="AB3" s="3">
        <f>SUM(AB4:AB6)</f>
        <v>0</v>
      </c>
      <c r="AC3" s="3">
        <f>SUM(AC4:AC6)</f>
        <v>0</v>
      </c>
      <c r="AD3" s="3">
        <f>SUM(AD4:AD6)+SUM(AG70,AG71)-SUM(AD4:AD6)</f>
        <v>0</v>
      </c>
      <c r="AE3" s="3">
        <f>SUM(AE4:AE6)</f>
        <v>0</v>
      </c>
      <c r="AF3" s="3">
        <f ca="1">+Tabla272126[[#Totals],[HOY]]</f>
        <v>0</v>
      </c>
      <c r="AG3" s="3">
        <f>SUM(AG4:AG6)</f>
        <v>0</v>
      </c>
      <c r="AH3" s="3">
        <f>SUM(AH4:AH6)</f>
        <v>0</v>
      </c>
      <c r="AJ3" s="40" t="s">
        <v>32</v>
      </c>
      <c r="AK3" s="42">
        <f>+SUMIFS($V:$V,$R:$R,$AJ$3)</f>
        <v>0</v>
      </c>
      <c r="AL3" s="43">
        <f>+SUMIFS($W:$W,$R:$R,$AJ$3)</f>
        <v>0</v>
      </c>
    </row>
    <row r="4" spans="1:39" x14ac:dyDescent="0.35">
      <c r="A4" s="79">
        <f t="shared" si="0"/>
        <v>46029</v>
      </c>
      <c r="B4" s="7">
        <v>7</v>
      </c>
      <c r="C4" s="2" t="s">
        <v>10</v>
      </c>
      <c r="D4" s="2" t="s">
        <v>15</v>
      </c>
      <c r="E4" s="26">
        <v>58557</v>
      </c>
      <c r="F4" s="46">
        <f t="shared" si="1"/>
        <v>0</v>
      </c>
      <c r="G4" s="28">
        <f t="shared" si="2"/>
        <v>0</v>
      </c>
      <c r="H4" s="25"/>
      <c r="I4" s="25"/>
      <c r="J4" s="54">
        <f>IF(WEEKDAY(DATE($J$6,$K$6,K4),2)=7, DATE($J$6,$K$6,K4)-2, DATE($J$6,$K$6,K4))</f>
        <v>46032</v>
      </c>
      <c r="K4" s="2">
        <v>10</v>
      </c>
      <c r="L4" s="2" t="s">
        <v>130</v>
      </c>
      <c r="M4" s="26">
        <v>300000</v>
      </c>
      <c r="N4" s="27">
        <f>+SUMIFS(W:W,S:S,L4,Q:Q,PRESUPUESTO.INGRESO3125[[#This Row],[FECHA]])</f>
        <v>0</v>
      </c>
      <c r="O4" s="28">
        <f t="shared" si="3"/>
        <v>0</v>
      </c>
      <c r="Q4" s="8"/>
      <c r="R4" s="2"/>
      <c r="S4" s="56"/>
      <c r="T4" s="56"/>
      <c r="U4" s="56"/>
      <c r="V4" s="31"/>
      <c r="W4" s="39"/>
      <c r="AA4" s="2" t="s">
        <v>93</v>
      </c>
      <c r="AB4" s="34"/>
      <c r="AC4" s="34"/>
      <c r="AD4" s="34"/>
      <c r="AE4" s="34"/>
      <c r="AF4" s="34"/>
      <c r="AG4" s="34"/>
      <c r="AH4" s="34"/>
    </row>
    <row r="5" spans="1:39" x14ac:dyDescent="0.35">
      <c r="A5" s="79">
        <f t="shared" si="0"/>
        <v>46029</v>
      </c>
      <c r="B5" s="7">
        <v>7</v>
      </c>
      <c r="C5" s="2" t="s">
        <v>22</v>
      </c>
      <c r="D5" s="2" t="s">
        <v>28</v>
      </c>
      <c r="E5" s="26">
        <v>6094.86</v>
      </c>
      <c r="F5" s="46">
        <f t="shared" si="1"/>
        <v>0</v>
      </c>
      <c r="G5" s="28">
        <f t="shared" si="2"/>
        <v>0</v>
      </c>
      <c r="H5" s="25"/>
      <c r="I5" s="25"/>
      <c r="J5" s="54" t="s">
        <v>73</v>
      </c>
      <c r="K5" s="2"/>
      <c r="L5" s="2"/>
      <c r="M5" s="16">
        <f>SUBTOTAL(109,PRESUPUESTO.INGRESO3125[PRESUPUESTO])</f>
        <v>4300000</v>
      </c>
      <c r="N5" s="29">
        <f>SUBTOTAL(109,PRESUPUESTO.INGRESO3125[COBRADO])</f>
        <v>0</v>
      </c>
      <c r="O5" s="22">
        <f>+IFERROR(PRESUPUESTO.INGRESO3125[[#Totals],[COBRADO]]/PRESUPUESTO.INGRESO3125[[#Totals],[PRESUPUESTO]],0)</f>
        <v>0</v>
      </c>
      <c r="Q5" s="8"/>
      <c r="R5" s="2"/>
      <c r="S5" s="56"/>
      <c r="T5" s="56"/>
      <c r="U5" s="56"/>
      <c r="V5" s="31"/>
      <c r="W5" s="39"/>
      <c r="AA5" s="9" t="s">
        <v>26</v>
      </c>
      <c r="AB5" s="10">
        <f t="shared" ref="AB5:AH5" si="4">+SUMIFS($W:$W,$X:$X,AB2)</f>
        <v>0</v>
      </c>
      <c r="AC5" s="10">
        <f t="shared" si="4"/>
        <v>0</v>
      </c>
      <c r="AD5" s="10">
        <f t="shared" si="4"/>
        <v>0</v>
      </c>
      <c r="AE5" s="10">
        <f t="shared" si="4"/>
        <v>0</v>
      </c>
      <c r="AF5" s="10">
        <f t="shared" si="4"/>
        <v>0</v>
      </c>
      <c r="AG5" s="10">
        <f t="shared" si="4"/>
        <v>0</v>
      </c>
      <c r="AH5" s="10">
        <f t="shared" si="4"/>
        <v>0</v>
      </c>
    </row>
    <row r="6" spans="1:39" x14ac:dyDescent="0.35">
      <c r="A6" s="79">
        <f t="shared" si="0"/>
        <v>46030</v>
      </c>
      <c r="B6" s="7">
        <v>8</v>
      </c>
      <c r="C6" s="2" t="s">
        <v>22</v>
      </c>
      <c r="D6" s="2" t="s">
        <v>24</v>
      </c>
      <c r="E6" s="26">
        <v>7836.79</v>
      </c>
      <c r="F6" s="46">
        <f t="shared" si="1"/>
        <v>0</v>
      </c>
      <c r="G6" s="28">
        <f t="shared" si="2"/>
        <v>0</v>
      </c>
      <c r="H6" s="25"/>
      <c r="I6" s="25"/>
      <c r="J6" s="80">
        <v>2026</v>
      </c>
      <c r="K6" s="52">
        <v>1</v>
      </c>
      <c r="Q6" s="8"/>
      <c r="R6" s="2"/>
      <c r="S6" s="56"/>
      <c r="T6" s="56"/>
      <c r="U6" s="56"/>
      <c r="V6" s="31"/>
      <c r="W6" s="39"/>
      <c r="AA6" s="11" t="s">
        <v>27</v>
      </c>
      <c r="AB6" s="12">
        <f t="shared" ref="AB6:AH6" si="5">+SUMIFS($V:$V,$X:$X,AB2)*-1</f>
        <v>0</v>
      </c>
      <c r="AC6" s="12">
        <f t="shared" si="5"/>
        <v>0</v>
      </c>
      <c r="AD6" s="12">
        <f t="shared" si="5"/>
        <v>0</v>
      </c>
      <c r="AE6" s="12">
        <f t="shared" si="5"/>
        <v>0</v>
      </c>
      <c r="AF6" s="12">
        <f t="shared" si="5"/>
        <v>0</v>
      </c>
      <c r="AG6" s="12">
        <f t="shared" si="5"/>
        <v>0</v>
      </c>
      <c r="AH6" s="12">
        <f t="shared" si="5"/>
        <v>0</v>
      </c>
    </row>
    <row r="7" spans="1:39" x14ac:dyDescent="0.35">
      <c r="A7" s="79">
        <f t="shared" si="0"/>
        <v>46032</v>
      </c>
      <c r="B7" s="7">
        <v>10</v>
      </c>
      <c r="C7" s="2" t="s">
        <v>76</v>
      </c>
      <c r="D7" s="2" t="s">
        <v>0</v>
      </c>
      <c r="E7" s="26">
        <v>50000</v>
      </c>
      <c r="F7" s="46">
        <f t="shared" si="1"/>
        <v>0</v>
      </c>
      <c r="G7" s="28">
        <f t="shared" si="2"/>
        <v>0</v>
      </c>
      <c r="H7" s="25"/>
      <c r="I7" s="25"/>
      <c r="L7" s="2"/>
      <c r="M7" s="34"/>
      <c r="N7" s="46"/>
      <c r="O7" s="28"/>
      <c r="Q7" s="8"/>
      <c r="R7" s="2"/>
      <c r="S7" s="56"/>
      <c r="T7" s="56"/>
      <c r="U7" s="56"/>
      <c r="V7" s="31"/>
      <c r="W7" s="39"/>
      <c r="AC7" s="16"/>
      <c r="AD7" s="14"/>
      <c r="AF7" s="14"/>
      <c r="AG7" s="26"/>
    </row>
    <row r="8" spans="1:39" x14ac:dyDescent="0.35">
      <c r="A8" s="79">
        <f t="shared" si="0"/>
        <v>46032</v>
      </c>
      <c r="B8" s="7">
        <v>10</v>
      </c>
      <c r="C8" s="2" t="s">
        <v>10</v>
      </c>
      <c r="D8" s="2" t="s">
        <v>13</v>
      </c>
      <c r="E8" s="26">
        <v>30800</v>
      </c>
      <c r="F8" s="46">
        <f t="shared" si="1"/>
        <v>0</v>
      </c>
      <c r="G8" s="28">
        <f t="shared" si="2"/>
        <v>0</v>
      </c>
      <c r="H8" s="25"/>
      <c r="I8" s="25"/>
      <c r="L8" s="2"/>
      <c r="M8" s="6"/>
      <c r="N8" s="46"/>
      <c r="O8" s="28"/>
      <c r="Q8" s="8"/>
      <c r="R8" s="2"/>
      <c r="S8" s="56"/>
      <c r="T8" s="56"/>
      <c r="U8" s="56"/>
      <c r="V8" s="31"/>
      <c r="W8" s="39"/>
      <c r="AB8" s="14"/>
      <c r="AC8" s="16"/>
      <c r="AD8" s="14"/>
      <c r="AE8" s="14"/>
      <c r="AF8" s="57"/>
      <c r="AG8" s="26"/>
      <c r="AK8" s="2"/>
      <c r="AL8" s="26"/>
    </row>
    <row r="9" spans="1:39" x14ac:dyDescent="0.35">
      <c r="A9" s="79">
        <f t="shared" si="0"/>
        <v>46032</v>
      </c>
      <c r="B9" s="7">
        <v>10</v>
      </c>
      <c r="C9" s="2" t="s">
        <v>10</v>
      </c>
      <c r="D9" s="2" t="s">
        <v>102</v>
      </c>
      <c r="E9" s="26">
        <v>18300</v>
      </c>
      <c r="F9" s="46">
        <f t="shared" si="1"/>
        <v>0</v>
      </c>
      <c r="G9" s="28">
        <f t="shared" si="2"/>
        <v>0</v>
      </c>
      <c r="H9" s="25"/>
      <c r="I9" s="25"/>
      <c r="L9" s="2"/>
      <c r="M9" s="34"/>
      <c r="N9" s="7"/>
      <c r="O9" s="28"/>
      <c r="Q9" s="8"/>
      <c r="R9" s="2"/>
      <c r="S9" s="56"/>
      <c r="T9" s="56"/>
      <c r="U9" s="56"/>
      <c r="V9" s="31"/>
      <c r="W9" s="39"/>
      <c r="Z9" s="18" t="s">
        <v>56</v>
      </c>
      <c r="AA9" s="18" t="s">
        <v>111</v>
      </c>
      <c r="AB9" s="18" t="s">
        <v>105</v>
      </c>
      <c r="AC9" s="18" t="s">
        <v>106</v>
      </c>
      <c r="AD9" s="18" t="s">
        <v>52</v>
      </c>
      <c r="AE9" s="18" t="s">
        <v>53</v>
      </c>
      <c r="AF9" s="19" t="s">
        <v>54</v>
      </c>
      <c r="AG9" s="47" t="s">
        <v>125</v>
      </c>
      <c r="AH9" s="68" t="s">
        <v>57</v>
      </c>
      <c r="AI9" s="47" t="s">
        <v>55</v>
      </c>
      <c r="AJ9" s="47" t="s">
        <v>110</v>
      </c>
      <c r="AK9" s="47" t="s">
        <v>35</v>
      </c>
      <c r="AL9" s="75" t="s">
        <v>122</v>
      </c>
    </row>
    <row r="10" spans="1:39" x14ac:dyDescent="0.35">
      <c r="A10" s="79">
        <f t="shared" si="0"/>
        <v>46032</v>
      </c>
      <c r="B10" s="7">
        <v>10</v>
      </c>
      <c r="C10" s="2" t="s">
        <v>10</v>
      </c>
      <c r="D10" s="2" t="s">
        <v>103</v>
      </c>
      <c r="E10" s="26">
        <v>6000</v>
      </c>
      <c r="F10" s="46">
        <f t="shared" si="1"/>
        <v>0</v>
      </c>
      <c r="G10" s="28">
        <f t="shared" si="2"/>
        <v>0</v>
      </c>
      <c r="H10" s="25"/>
      <c r="I10" s="25"/>
      <c r="O10" s="28"/>
      <c r="Q10" s="8"/>
      <c r="R10" s="2"/>
      <c r="S10" s="56"/>
      <c r="T10" s="56"/>
      <c r="U10" s="56"/>
      <c r="V10" s="31"/>
      <c r="W10" s="39"/>
      <c r="Z10" s="21">
        <v>0</v>
      </c>
      <c r="AA10" s="21">
        <v>1</v>
      </c>
      <c r="AB10" s="6" t="s">
        <v>20</v>
      </c>
      <c r="AC10" s="2" t="s">
        <v>128</v>
      </c>
      <c r="AD10" s="17">
        <v>46003</v>
      </c>
      <c r="AE10" s="17">
        <v>46031</v>
      </c>
      <c r="AF10" s="48">
        <f>+AE10-AD10</f>
        <v>28</v>
      </c>
      <c r="AG10" s="26">
        <v>149833.32999999999</v>
      </c>
      <c r="AH10" s="13">
        <f ca="1">+IFERROR(AG10*(1+AK10/365)^(TODAY()-Tabla2714[[#This Row],[FECHA IN]])*Tabla272126[[#This Row],[0/1]],0)</f>
        <v>0</v>
      </c>
      <c r="AI10" s="26">
        <f t="shared" ref="AI10:AI21" si="6">+(AG10+(AJ10*AA10))*Z10</f>
        <v>0</v>
      </c>
      <c r="AJ10" s="47">
        <f t="shared" ref="AJ10:AJ21" si="7">+(AG10*(1+AK10/365)^AF10)-AG10</f>
        <v>4666.2956127221114</v>
      </c>
      <c r="AK10" s="73">
        <v>0.4</v>
      </c>
      <c r="AL10" s="74">
        <f ca="1">+IFERROR(Tabla2714[[#This Row],[FECHA OUT]]-TODAY(),0)</f>
        <v>0</v>
      </c>
    </row>
    <row r="11" spans="1:39" x14ac:dyDescent="0.35">
      <c r="A11" s="79">
        <f t="shared" si="0"/>
        <v>46032</v>
      </c>
      <c r="B11" s="7">
        <v>10</v>
      </c>
      <c r="C11" s="2" t="s">
        <v>9</v>
      </c>
      <c r="D11" s="2"/>
      <c r="E11" s="26">
        <v>438160</v>
      </c>
      <c r="F11" s="46">
        <f t="shared" si="1"/>
        <v>0</v>
      </c>
      <c r="G11" s="28">
        <f t="shared" si="2"/>
        <v>0</v>
      </c>
      <c r="H11" s="25"/>
      <c r="I11" s="25"/>
      <c r="L11" s="2"/>
      <c r="M11" s="49"/>
      <c r="N11" s="46"/>
      <c r="O11" s="28"/>
      <c r="Q11" s="8"/>
      <c r="R11" s="2"/>
      <c r="S11" s="56"/>
      <c r="T11" s="56"/>
      <c r="U11" s="56"/>
      <c r="V11" s="31"/>
      <c r="W11" s="39"/>
      <c r="Z11" s="21">
        <v>0</v>
      </c>
      <c r="AA11" s="21">
        <v>1</v>
      </c>
      <c r="AB11" s="6" t="s">
        <v>20</v>
      </c>
      <c r="AC11" s="2" t="s">
        <v>135</v>
      </c>
      <c r="AD11" s="17">
        <v>46002</v>
      </c>
      <c r="AE11" s="17">
        <v>46030</v>
      </c>
      <c r="AF11" s="48">
        <f>+AE11-AD11</f>
        <v>28</v>
      </c>
      <c r="AG11" s="26">
        <v>192562.93259067592</v>
      </c>
      <c r="AH11" s="13">
        <f ca="1">+IFERROR(AG11*(1+AK11/365)^(TODAY()-Tabla2714[[#This Row],[FECHA IN]])*Tabla272126[[#This Row],[0/1]],0)</f>
        <v>0</v>
      </c>
      <c r="AI11" s="26">
        <f t="shared" si="6"/>
        <v>0</v>
      </c>
      <c r="AJ11" s="47">
        <f t="shared" si="7"/>
        <v>5997.0339544664312</v>
      </c>
      <c r="AK11" s="73">
        <v>0.4</v>
      </c>
      <c r="AL11" s="74">
        <f ca="1">+IFERROR(Tabla2714[[#This Row],[FECHA OUT]]-TODAY(),0)</f>
        <v>-21</v>
      </c>
    </row>
    <row r="12" spans="1:39" x14ac:dyDescent="0.35">
      <c r="A12" s="79">
        <f t="shared" si="0"/>
        <v>46032</v>
      </c>
      <c r="B12" s="7">
        <v>10</v>
      </c>
      <c r="C12" s="2" t="s">
        <v>22</v>
      </c>
      <c r="D12" s="22" t="s">
        <v>104</v>
      </c>
      <c r="E12" s="26">
        <v>164971.32</v>
      </c>
      <c r="F12" s="46">
        <f>+SUMIFS(V:V,R:R,"MI",X:X,"CTA NARANJA")</f>
        <v>0</v>
      </c>
      <c r="G12" s="28">
        <f t="shared" si="2"/>
        <v>0</v>
      </c>
      <c r="H12" s="25"/>
      <c r="I12" s="25"/>
      <c r="L12" s="2"/>
      <c r="M12" s="34"/>
      <c r="N12" s="46"/>
      <c r="O12" s="28"/>
      <c r="Q12" s="8"/>
      <c r="R12" s="2"/>
      <c r="S12" s="56"/>
      <c r="T12" s="56"/>
      <c r="U12" s="56"/>
      <c r="V12" s="31"/>
      <c r="W12" s="39"/>
      <c r="Z12" s="21">
        <v>0</v>
      </c>
      <c r="AA12" s="21">
        <v>1</v>
      </c>
      <c r="AB12" s="6" t="s">
        <v>20</v>
      </c>
      <c r="AC12" s="2" t="s">
        <v>136</v>
      </c>
      <c r="AD12" s="17">
        <v>46002</v>
      </c>
      <c r="AE12" s="17">
        <v>46030</v>
      </c>
      <c r="AF12" s="48">
        <f>+AE12-AD12</f>
        <v>28</v>
      </c>
      <c r="AG12" s="26">
        <v>115537.75955440555</v>
      </c>
      <c r="AH12" s="13">
        <f ca="1">+IFERROR(AG12*(1+AK12/365)^(TODAY()-Tabla2714[[#This Row],[FECHA IN]])*Tabla272126[[#This Row],[0/1]],0)</f>
        <v>0</v>
      </c>
      <c r="AI12" s="26">
        <f t="shared" si="6"/>
        <v>0</v>
      </c>
      <c r="AJ12" s="47">
        <f t="shared" si="7"/>
        <v>3598.2203726798616</v>
      </c>
      <c r="AK12" s="73">
        <v>0.4</v>
      </c>
      <c r="AL12" s="77">
        <f ca="1">+IFERROR(Tabla2714[[#This Row],[FECHA OUT]]-TODAY(),0)</f>
        <v>-16</v>
      </c>
      <c r="AM12" s="6"/>
    </row>
    <row r="13" spans="1:39" x14ac:dyDescent="0.35">
      <c r="A13" s="79">
        <f t="shared" si="0"/>
        <v>46037</v>
      </c>
      <c r="B13" s="7">
        <v>15</v>
      </c>
      <c r="C13" s="2" t="s">
        <v>31</v>
      </c>
      <c r="D13" s="2"/>
      <c r="E13" s="26">
        <v>300000</v>
      </c>
      <c r="F13" s="46">
        <f>+SUMIFS(V:V,R:R,C13)</f>
        <v>0</v>
      </c>
      <c r="G13" s="28">
        <f t="shared" si="2"/>
        <v>0</v>
      </c>
      <c r="H13" s="25"/>
      <c r="I13" s="25"/>
      <c r="L13" s="2"/>
      <c r="M13" s="34"/>
      <c r="N13" s="46"/>
      <c r="O13" s="28"/>
      <c r="Q13" s="8"/>
      <c r="R13" s="2"/>
      <c r="S13" s="56"/>
      <c r="T13" s="56"/>
      <c r="U13" s="56"/>
      <c r="V13" s="31"/>
      <c r="W13" s="39"/>
      <c r="Z13" s="21">
        <v>0</v>
      </c>
      <c r="AA13" s="21">
        <v>1</v>
      </c>
      <c r="AB13" s="6" t="s">
        <v>20</v>
      </c>
      <c r="AC13" s="2" t="s">
        <v>141</v>
      </c>
      <c r="AD13" s="17">
        <v>46003</v>
      </c>
      <c r="AE13" s="17">
        <v>46031</v>
      </c>
      <c r="AF13" s="48">
        <f t="shared" ref="AF13:AF14" si="8">+AE13-AD13</f>
        <v>28</v>
      </c>
      <c r="AG13" s="26">
        <v>186777.93002696123</v>
      </c>
      <c r="AH13" s="13">
        <f ca="1">+IFERROR(AG13*(1+AK13/365)^(TODAY()-Tabla2714[[#This Row],[FECHA IN]])*Tabla272126[[#This Row],[0/1]],0)</f>
        <v>0</v>
      </c>
      <c r="AI13" s="26">
        <f t="shared" si="6"/>
        <v>0</v>
      </c>
      <c r="AJ13" s="47">
        <f t="shared" si="7"/>
        <v>5816.8702213194338</v>
      </c>
      <c r="AK13" s="73">
        <v>0.4</v>
      </c>
      <c r="AL13" s="77">
        <f ca="1">+IFERROR(Tabla2714[[#This Row],[FECHA OUT]]-TODAY(),0)</f>
        <v>-16</v>
      </c>
      <c r="AM13" s="26"/>
    </row>
    <row r="14" spans="1:39" x14ac:dyDescent="0.35">
      <c r="A14" s="79">
        <f t="shared" si="0"/>
        <v>46038</v>
      </c>
      <c r="B14" s="7">
        <v>18</v>
      </c>
      <c r="C14" s="2" t="s">
        <v>22</v>
      </c>
      <c r="D14" s="2" t="s">
        <v>21</v>
      </c>
      <c r="E14" s="26">
        <v>6174.6</v>
      </c>
      <c r="F14" s="46">
        <f t="shared" ref="F14:F19" si="9">+SUMIFS(V:V,R:R,C14,S:S,D14)</f>
        <v>0</v>
      </c>
      <c r="G14" s="28">
        <f t="shared" si="2"/>
        <v>0</v>
      </c>
      <c r="H14" s="25"/>
      <c r="I14" s="25"/>
      <c r="L14" s="2"/>
      <c r="M14" s="34"/>
      <c r="N14" s="46"/>
      <c r="O14" s="28"/>
      <c r="Q14" s="8"/>
      <c r="R14" s="2"/>
      <c r="S14" s="56"/>
      <c r="T14" s="56"/>
      <c r="U14" s="56"/>
      <c r="V14" s="31"/>
      <c r="W14" s="39"/>
      <c r="Z14" s="21">
        <v>0</v>
      </c>
      <c r="AA14" s="21">
        <v>1</v>
      </c>
      <c r="AB14" s="6" t="s">
        <v>20</v>
      </c>
      <c r="AC14" s="2" t="s">
        <v>140</v>
      </c>
      <c r="AD14" s="17">
        <v>46003</v>
      </c>
      <c r="AE14" s="17">
        <v>46031</v>
      </c>
      <c r="AF14" s="48">
        <f t="shared" si="8"/>
        <v>28</v>
      </c>
      <c r="AG14" s="26">
        <v>111790.9392044383</v>
      </c>
      <c r="AH14" s="13">
        <f ca="1">+IFERROR(AG14*(1+AK14/365)^(TODAY()-Tabla2714[[#This Row],[FECHA IN]])*Tabla272126[[#This Row],[0/1]],0)</f>
        <v>0</v>
      </c>
      <c r="AI14" s="26">
        <f t="shared" si="6"/>
        <v>0</v>
      </c>
      <c r="AJ14" s="47">
        <f t="shared" si="7"/>
        <v>3481.532240868939</v>
      </c>
      <c r="AK14" s="73">
        <v>0.4</v>
      </c>
      <c r="AL14" s="77">
        <f ca="1">+IFERROR(Tabla2714[[#This Row],[FECHA OUT]]-TODAY(),0)</f>
        <v>-10</v>
      </c>
      <c r="AM14" s="26"/>
    </row>
    <row r="15" spans="1:39" x14ac:dyDescent="0.35">
      <c r="A15" s="79">
        <f t="shared" si="0"/>
        <v>46039</v>
      </c>
      <c r="B15" s="7">
        <v>17</v>
      </c>
      <c r="C15" s="2" t="s">
        <v>22</v>
      </c>
      <c r="D15" s="2" t="s">
        <v>23</v>
      </c>
      <c r="E15" s="26">
        <v>8990</v>
      </c>
      <c r="F15" s="46">
        <f t="shared" si="9"/>
        <v>0</v>
      </c>
      <c r="G15" s="28">
        <f t="shared" si="2"/>
        <v>0</v>
      </c>
      <c r="H15" s="25"/>
      <c r="I15" s="25"/>
      <c r="L15" s="2"/>
      <c r="M15" s="34"/>
      <c r="N15" s="46"/>
      <c r="O15" s="28"/>
      <c r="Q15" s="8"/>
      <c r="R15" s="2"/>
      <c r="S15" s="56"/>
      <c r="T15" s="56"/>
      <c r="U15" s="56"/>
      <c r="V15" s="31"/>
      <c r="W15" s="39"/>
      <c r="Z15" s="21">
        <v>0</v>
      </c>
      <c r="AA15" s="21">
        <v>1</v>
      </c>
      <c r="AB15" s="6" t="s">
        <v>20</v>
      </c>
      <c r="AC15" s="2" t="s">
        <v>139</v>
      </c>
      <c r="AD15" s="17">
        <v>46003</v>
      </c>
      <c r="AE15" s="17">
        <v>46031</v>
      </c>
      <c r="AF15" s="48">
        <f t="shared" ref="AF15:AF21" si="10">+AE15-AD15</f>
        <v>28</v>
      </c>
      <c r="AG15" s="26">
        <v>270000</v>
      </c>
      <c r="AH15" s="13">
        <f ca="1">+IFERROR(AG15*(1+AK15/365)^(TODAY()-Tabla2714[[#This Row],[FECHA IN]])*Tabla272126[[#This Row],[0/1]],0)</f>
        <v>0</v>
      </c>
      <c r="AI15" s="26">
        <f t="shared" si="6"/>
        <v>0</v>
      </c>
      <c r="AJ15" s="47">
        <f t="shared" si="7"/>
        <v>8408.6752622728818</v>
      </c>
      <c r="AK15" s="73">
        <v>0.4</v>
      </c>
      <c r="AL15" s="74">
        <f ca="1">+IFERROR(Tabla2714[[#This Row],[FECHA OUT]]-TODAY(),0)</f>
        <v>-19</v>
      </c>
      <c r="AM15" s="26"/>
    </row>
    <row r="16" spans="1:39" x14ac:dyDescent="0.35">
      <c r="A16" s="79">
        <f t="shared" si="0"/>
        <v>46042</v>
      </c>
      <c r="B16" s="7">
        <v>20</v>
      </c>
      <c r="C16" s="2" t="s">
        <v>10</v>
      </c>
      <c r="D16" s="2" t="s">
        <v>47</v>
      </c>
      <c r="E16" s="26">
        <f>37288.6+28659.4</f>
        <v>65948</v>
      </c>
      <c r="F16" s="46">
        <f t="shared" si="9"/>
        <v>0</v>
      </c>
      <c r="G16" s="28">
        <f t="shared" si="2"/>
        <v>0</v>
      </c>
      <c r="H16" s="25"/>
      <c r="I16" s="25"/>
      <c r="L16" s="2"/>
      <c r="M16" s="34"/>
      <c r="N16" s="46"/>
      <c r="O16" s="28"/>
      <c r="Q16" s="8"/>
      <c r="R16" s="2"/>
      <c r="S16" s="56"/>
      <c r="T16" s="56"/>
      <c r="U16" s="56"/>
      <c r="V16" s="31"/>
      <c r="W16" s="39"/>
      <c r="Z16" s="21">
        <v>0</v>
      </c>
      <c r="AA16" s="21">
        <v>1</v>
      </c>
      <c r="AB16" s="6" t="s">
        <v>20</v>
      </c>
      <c r="AC16" s="2" t="s">
        <v>142</v>
      </c>
      <c r="AD16" s="17">
        <v>46003</v>
      </c>
      <c r="AE16" s="17">
        <v>46031</v>
      </c>
      <c r="AF16" s="48">
        <f t="shared" si="10"/>
        <v>28</v>
      </c>
      <c r="AG16" s="26">
        <v>270000</v>
      </c>
      <c r="AH16" s="13">
        <f ca="1">+IFERROR(AG16*(1+AK16/365)^(TODAY()-Tabla2714[[#This Row],[FECHA IN]])*Tabla272126[[#This Row],[0/1]],0)</f>
        <v>0</v>
      </c>
      <c r="AI16" s="26">
        <f t="shared" si="6"/>
        <v>0</v>
      </c>
      <c r="AJ16" s="47">
        <f t="shared" si="7"/>
        <v>8408.6752622728818</v>
      </c>
      <c r="AK16" s="73">
        <v>0.4</v>
      </c>
      <c r="AL16" s="74">
        <f ca="1">+IFERROR(Tabla2714[[#This Row],[FECHA OUT]]-TODAY(),0)</f>
        <v>0</v>
      </c>
      <c r="AM16" s="26"/>
    </row>
    <row r="17" spans="1:38" x14ac:dyDescent="0.35">
      <c r="A17" s="79">
        <f t="shared" si="0"/>
        <v>46042</v>
      </c>
      <c r="B17" s="7">
        <v>20</v>
      </c>
      <c r="C17" s="2" t="s">
        <v>6</v>
      </c>
      <c r="D17" s="2" t="s">
        <v>8</v>
      </c>
      <c r="E17" s="26">
        <v>150000</v>
      </c>
      <c r="F17" s="46">
        <f t="shared" si="9"/>
        <v>0</v>
      </c>
      <c r="G17" s="28">
        <f t="shared" si="2"/>
        <v>0</v>
      </c>
      <c r="H17" s="25"/>
      <c r="I17" s="25"/>
      <c r="L17" s="2"/>
      <c r="M17" s="34"/>
      <c r="N17" s="46"/>
      <c r="O17" s="28"/>
      <c r="Q17" s="8"/>
      <c r="R17" s="2"/>
      <c r="S17" s="56"/>
      <c r="T17" s="56"/>
      <c r="U17" s="56"/>
      <c r="V17" s="31"/>
      <c r="W17" s="39"/>
      <c r="Z17" s="21">
        <v>0</v>
      </c>
      <c r="AA17" s="21">
        <v>1</v>
      </c>
      <c r="AB17" s="6" t="s">
        <v>20</v>
      </c>
      <c r="AC17" s="2" t="s">
        <v>120</v>
      </c>
      <c r="AD17" s="17">
        <v>46025</v>
      </c>
      <c r="AE17" s="17">
        <v>46039</v>
      </c>
      <c r="AF17" s="48">
        <f t="shared" si="10"/>
        <v>14</v>
      </c>
      <c r="AG17" s="26">
        <v>400000</v>
      </c>
      <c r="AH17" s="13">
        <f ca="1">+IFERROR(AG17*(1+AK17/365)^(TODAY()-Tabla2714[[#This Row],[FECHA IN]])*Tabla272126[[#This Row],[0/1]],0)</f>
        <v>0</v>
      </c>
      <c r="AI17" s="26">
        <f t="shared" si="6"/>
        <v>0</v>
      </c>
      <c r="AJ17" s="47">
        <f t="shared" si="7"/>
        <v>6180.8940286820871</v>
      </c>
      <c r="AK17" s="73">
        <v>0.4</v>
      </c>
      <c r="AL17" s="74">
        <f ca="1">+IFERROR(Tabla2714[[#This Row],[FECHA OUT]]-TODAY(),0)</f>
        <v>0</v>
      </c>
    </row>
    <row r="18" spans="1:38" x14ac:dyDescent="0.35">
      <c r="A18" s="79">
        <f t="shared" si="0"/>
        <v>46043</v>
      </c>
      <c r="B18" s="7">
        <v>21</v>
      </c>
      <c r="C18" s="2" t="s">
        <v>10</v>
      </c>
      <c r="D18" s="2" t="s">
        <v>16</v>
      </c>
      <c r="E18" s="26">
        <v>25000</v>
      </c>
      <c r="F18" s="46">
        <f t="shared" si="9"/>
        <v>0</v>
      </c>
      <c r="G18" s="28">
        <f t="shared" si="2"/>
        <v>0</v>
      </c>
      <c r="H18" s="25"/>
      <c r="I18" s="25"/>
      <c r="L18" s="2"/>
      <c r="M18" s="34"/>
      <c r="N18" s="46"/>
      <c r="O18" s="28"/>
      <c r="Q18" s="8"/>
      <c r="R18" s="2"/>
      <c r="S18" s="56"/>
      <c r="T18" s="56"/>
      <c r="U18" s="56"/>
      <c r="V18" s="31"/>
      <c r="W18" s="39"/>
      <c r="Z18" s="21">
        <v>0</v>
      </c>
      <c r="AA18" s="21">
        <v>1</v>
      </c>
      <c r="AB18" s="6" t="s">
        <v>20</v>
      </c>
      <c r="AC18" s="2" t="s">
        <v>155</v>
      </c>
      <c r="AD18" s="17">
        <v>45994</v>
      </c>
      <c r="AE18" s="17">
        <f>+Tabla272126[[#This Row],[FECHA IN]]+29</f>
        <v>46023</v>
      </c>
      <c r="AF18" s="48">
        <f t="shared" si="10"/>
        <v>29</v>
      </c>
      <c r="AG18" s="26">
        <v>1347100</v>
      </c>
      <c r="AH18" s="13">
        <f ca="1">+IFERROR(AG18*(1+AK18/365)^(TODAY()-Tabla2714[[#This Row],[FECHA IN]])*Tabla272126[[#This Row],[0/1]],0)</f>
        <v>0</v>
      </c>
      <c r="AI18" s="26">
        <f t="shared" si="6"/>
        <v>0</v>
      </c>
      <c r="AJ18" s="47">
        <f t="shared" si="7"/>
        <v>43475.310840163846</v>
      </c>
      <c r="AK18" s="73">
        <v>0.4</v>
      </c>
      <c r="AL18" s="74">
        <f ca="1">+IFERROR(Tabla2714[[#This Row],[FECHA OUT]]-TODAY(),0)</f>
        <v>0</v>
      </c>
    </row>
    <row r="19" spans="1:38" x14ac:dyDescent="0.35">
      <c r="A19" s="79">
        <f t="shared" si="0"/>
        <v>46045</v>
      </c>
      <c r="B19" s="7">
        <v>23</v>
      </c>
      <c r="C19" s="2" t="s">
        <v>22</v>
      </c>
      <c r="D19" s="2" t="s">
        <v>25</v>
      </c>
      <c r="E19" s="26">
        <v>15568.43</v>
      </c>
      <c r="F19" s="46">
        <f t="shared" si="9"/>
        <v>0</v>
      </c>
      <c r="G19" s="28">
        <f t="shared" si="2"/>
        <v>0</v>
      </c>
      <c r="H19" s="25"/>
      <c r="I19" s="25"/>
      <c r="Q19" s="8"/>
      <c r="R19" s="2"/>
      <c r="S19" s="56"/>
      <c r="T19" s="56"/>
      <c r="U19" s="56"/>
      <c r="V19" s="31"/>
      <c r="W19" s="39"/>
      <c r="Z19" s="21">
        <v>0</v>
      </c>
      <c r="AA19" s="21">
        <v>1</v>
      </c>
      <c r="AB19" s="6" t="s">
        <v>20</v>
      </c>
      <c r="AC19" s="2" t="s">
        <v>156</v>
      </c>
      <c r="AD19" s="17">
        <v>46023</v>
      </c>
      <c r="AE19" s="17">
        <f>+Tabla272126[[#This Row],[FECHA IN]]+28</f>
        <v>46051</v>
      </c>
      <c r="AF19" s="48">
        <f t="shared" si="10"/>
        <v>28</v>
      </c>
      <c r="AG19" s="26">
        <v>1390575.3108401638</v>
      </c>
      <c r="AH19" s="13">
        <f ca="1">+IFERROR(AG19*(1+AK19/365)^(TODAY()-Tabla2714[[#This Row],[FECHA IN]])*Tabla272126[[#This Row],[0/1]],0)</f>
        <v>0</v>
      </c>
      <c r="AI19" s="26">
        <f t="shared" si="6"/>
        <v>0</v>
      </c>
      <c r="AJ19" s="47">
        <f t="shared" si="7"/>
        <v>43307.023024404189</v>
      </c>
      <c r="AK19" s="73">
        <v>0.4</v>
      </c>
      <c r="AL19" s="74">
        <f ca="1">+IFERROR(Tabla2714[[#This Row],[FECHA OUT]]-TODAY(),0)</f>
        <v>0</v>
      </c>
    </row>
    <row r="20" spans="1:38" x14ac:dyDescent="0.35">
      <c r="A20" s="7" t="s">
        <v>73</v>
      </c>
      <c r="C20" s="2"/>
      <c r="D20" s="2"/>
      <c r="E20" s="16">
        <f>SUBTOTAL(109,PRESUPUESTO.GASTOS3024[PRESUPUESTO])</f>
        <v>1402014.97</v>
      </c>
      <c r="F20" s="63">
        <f>SUBTOTAL(109,PRESUPUESTO.GASTOS3024[PAGADO])</f>
        <v>0</v>
      </c>
      <c r="G20" s="22">
        <f>+IFERROR(PRESUPUESTO.GASTOS3024[[#Totals],[PAGADO]]/PRESUPUESTO.GASTOS3024[[#Totals],[PRESUPUESTO]],0)</f>
        <v>0</v>
      </c>
      <c r="H20" s="25"/>
      <c r="I20" s="25"/>
      <c r="Q20" s="8"/>
      <c r="R20" s="2"/>
      <c r="S20" s="56"/>
      <c r="T20" s="56"/>
      <c r="U20" s="56"/>
      <c r="V20" s="31"/>
      <c r="W20" s="39"/>
      <c r="Z20" s="21">
        <v>0</v>
      </c>
      <c r="AA20" s="21">
        <v>1</v>
      </c>
      <c r="AB20" s="6" t="s">
        <v>20</v>
      </c>
      <c r="AC20" s="2" t="s">
        <v>137</v>
      </c>
      <c r="AD20" s="17">
        <v>46002</v>
      </c>
      <c r="AE20" s="17">
        <v>46030</v>
      </c>
      <c r="AF20" s="48">
        <f t="shared" si="10"/>
        <v>28</v>
      </c>
      <c r="AG20" s="26">
        <v>199322.13972474632</v>
      </c>
      <c r="AH20" s="13">
        <f ca="1">+IFERROR(AG20*(1+AK20/365)^(TODAY()-Tabla2714[[#This Row],[FECHA IN]])*Tabla272126[[#This Row],[0/1]],0)</f>
        <v>0</v>
      </c>
      <c r="AI20" s="26">
        <f t="shared" si="6"/>
        <v>0</v>
      </c>
      <c r="AJ20" s="47">
        <f t="shared" si="7"/>
        <v>6207.5375760250899</v>
      </c>
      <c r="AK20" s="73">
        <v>0.4</v>
      </c>
      <c r="AL20" s="74">
        <f ca="1">+IFERROR(Tabla2714[[#This Row],[FECHA OUT]]-TODAY(),0)</f>
        <v>0</v>
      </c>
    </row>
    <row r="21" spans="1:38" x14ac:dyDescent="0.35">
      <c r="H21" s="25"/>
      <c r="I21" s="25"/>
      <c r="L21" s="2"/>
      <c r="M21" s="34"/>
      <c r="N21" s="46"/>
      <c r="O21" s="28"/>
      <c r="Q21" s="8"/>
      <c r="R21" s="2"/>
      <c r="S21" s="56"/>
      <c r="T21" s="56"/>
      <c r="U21" s="56"/>
      <c r="V21" s="31"/>
      <c r="W21" s="39"/>
      <c r="Z21" s="21">
        <v>0</v>
      </c>
      <c r="AA21" s="21">
        <v>1</v>
      </c>
      <c r="AB21" s="6" t="s">
        <v>20</v>
      </c>
      <c r="AC21" s="2" t="s">
        <v>138</v>
      </c>
      <c r="AD21" s="17">
        <v>46002</v>
      </c>
      <c r="AE21" s="17">
        <v>46030</v>
      </c>
      <c r="AF21" s="48">
        <f t="shared" si="10"/>
        <v>28</v>
      </c>
      <c r="AG21" s="26">
        <v>119593.28383484778</v>
      </c>
      <c r="AH21" s="13">
        <f ca="1">+IFERROR(AG21*(1+AK21/365)^(TODAY()-Tabla2714[[#This Row],[FECHA IN]])*Tabla272126[[#This Row],[0/1]],0)</f>
        <v>0</v>
      </c>
      <c r="AI21" s="26">
        <f t="shared" si="6"/>
        <v>0</v>
      </c>
      <c r="AJ21" s="47">
        <f t="shared" si="7"/>
        <v>3724.5225456150511</v>
      </c>
      <c r="AK21" s="73">
        <v>0.4</v>
      </c>
      <c r="AL21" s="77">
        <f ca="1">+IFERROR(Tabla2714[[#This Row],[FECHA OUT]]-TODAY(),0)</f>
        <v>0</v>
      </c>
    </row>
    <row r="22" spans="1:38" x14ac:dyDescent="0.35">
      <c r="D22"/>
      <c r="H22" s="25"/>
      <c r="I22" s="25"/>
      <c r="L22" s="89"/>
      <c r="M22" s="89"/>
      <c r="N22" s="50"/>
      <c r="O22" s="51"/>
      <c r="Q22" s="8"/>
      <c r="R22" s="2"/>
      <c r="S22" s="56"/>
      <c r="T22" s="56"/>
      <c r="U22" s="56"/>
      <c r="V22" s="31"/>
      <c r="W22" s="39"/>
      <c r="Z22" s="21" t="s">
        <v>73</v>
      </c>
      <c r="AA22" s="21"/>
      <c r="AB22" s="6"/>
      <c r="AC22" s="2"/>
      <c r="AD22" s="2"/>
      <c r="AE22" s="2"/>
      <c r="AF22" s="2"/>
      <c r="AG22" s="16"/>
      <c r="AH22" s="16">
        <f ca="1">SUBTOTAL(109,Tabla272126[HOY])</f>
        <v>0</v>
      </c>
      <c r="AI22" s="16">
        <f>SUBTOTAL(109,Tabla272126[FINAL])</f>
        <v>0</v>
      </c>
      <c r="AJ22" s="70">
        <f>SUBTOTAL(109,Tabla272126[INT ACUM])</f>
        <v>143272.59094149282</v>
      </c>
      <c r="AK22" s="16"/>
      <c r="AL22" s="2"/>
    </row>
    <row r="23" spans="1:38" x14ac:dyDescent="0.35">
      <c r="D23"/>
      <c r="H23" s="25"/>
      <c r="I23" s="25"/>
      <c r="L23" s="2"/>
      <c r="M23" s="34"/>
      <c r="N23" s="46"/>
      <c r="O23" s="26"/>
      <c r="Q23" s="8"/>
      <c r="R23" s="2"/>
      <c r="S23" s="56"/>
      <c r="T23" s="56"/>
      <c r="U23" s="56"/>
      <c r="V23" s="31"/>
      <c r="W23" s="39"/>
      <c r="AK23" s="2"/>
      <c r="AL23" s="26"/>
    </row>
    <row r="24" spans="1:38" x14ac:dyDescent="0.35">
      <c r="D24"/>
      <c r="H24" s="25"/>
      <c r="I24" s="25"/>
      <c r="O24" s="26"/>
      <c r="Q24" s="8"/>
      <c r="R24" s="2"/>
      <c r="S24" s="56"/>
      <c r="T24" s="56"/>
      <c r="U24" s="56"/>
      <c r="V24" s="31"/>
      <c r="W24" s="39"/>
      <c r="AK24" s="2"/>
      <c r="AL24" s="26"/>
    </row>
    <row r="25" spans="1:38" x14ac:dyDescent="0.35">
      <c r="D25"/>
      <c r="H25" s="25"/>
      <c r="I25" s="25"/>
      <c r="O25" s="26"/>
      <c r="Q25" s="8"/>
      <c r="R25" s="2"/>
      <c r="S25" s="56"/>
      <c r="T25" s="56"/>
      <c r="U25" s="56"/>
      <c r="V25" s="31"/>
      <c r="W25" s="39"/>
      <c r="AK25" s="2"/>
      <c r="AL25" s="26"/>
    </row>
    <row r="26" spans="1:38" x14ac:dyDescent="0.35">
      <c r="D26"/>
      <c r="H26" s="25"/>
      <c r="I26" s="25"/>
      <c r="Q26" s="8"/>
      <c r="R26" s="2"/>
      <c r="S26" s="56"/>
      <c r="T26" s="56"/>
      <c r="U26" s="56"/>
      <c r="V26" s="31"/>
      <c r="W26" s="39"/>
      <c r="AK26" s="2"/>
      <c r="AL26" s="26"/>
    </row>
    <row r="27" spans="1:38" x14ac:dyDescent="0.35">
      <c r="D27"/>
      <c r="H27" s="25"/>
      <c r="I27" s="25"/>
      <c r="Q27" s="8"/>
      <c r="R27" s="2"/>
      <c r="S27" s="56"/>
      <c r="T27" s="56"/>
      <c r="U27" s="56"/>
      <c r="V27" s="31"/>
      <c r="W27" s="39"/>
      <c r="AK27" s="2"/>
      <c r="AL27" s="26"/>
    </row>
    <row r="28" spans="1:38" x14ac:dyDescent="0.35">
      <c r="D28"/>
      <c r="H28" s="34"/>
      <c r="I28" s="34"/>
      <c r="Q28" s="8"/>
      <c r="R28" s="2"/>
      <c r="S28" s="56"/>
      <c r="T28" s="56"/>
      <c r="U28" s="56"/>
      <c r="V28" s="31"/>
      <c r="W28" s="39"/>
      <c r="AK28" s="2"/>
      <c r="AL28" s="26"/>
    </row>
    <row r="29" spans="1:38" x14ac:dyDescent="0.35">
      <c r="D29"/>
      <c r="H29" s="34"/>
      <c r="I29" s="34"/>
      <c r="Q29" s="8"/>
      <c r="R29" s="2"/>
      <c r="S29" s="56"/>
      <c r="T29" s="56"/>
      <c r="U29" s="56"/>
      <c r="V29" s="31"/>
      <c r="W29" s="39"/>
      <c r="AK29" s="2"/>
      <c r="AL29" s="26"/>
    </row>
    <row r="30" spans="1:38" x14ac:dyDescent="0.35">
      <c r="D30"/>
      <c r="H30" s="34"/>
      <c r="I30" s="34"/>
      <c r="Q30" s="8"/>
      <c r="R30" s="2"/>
      <c r="S30" s="56"/>
      <c r="T30" s="56"/>
      <c r="U30" s="56"/>
      <c r="V30" s="31"/>
      <c r="W30" s="39"/>
    </row>
    <row r="31" spans="1:38" x14ac:dyDescent="0.35">
      <c r="D31"/>
      <c r="Q31" s="8"/>
      <c r="R31" s="2"/>
      <c r="S31" s="56"/>
      <c r="T31" s="56"/>
      <c r="U31" s="56"/>
      <c r="V31" s="31"/>
      <c r="W31" s="39"/>
    </row>
    <row r="32" spans="1:38" x14ac:dyDescent="0.35">
      <c r="D32"/>
      <c r="Q32" s="8"/>
      <c r="R32" s="2"/>
      <c r="S32" s="56"/>
      <c r="T32" s="56"/>
      <c r="U32" s="56"/>
      <c r="V32" s="31"/>
      <c r="W32" s="39"/>
    </row>
    <row r="33" spans="17:38" x14ac:dyDescent="0.35">
      <c r="Q33" s="8"/>
      <c r="R33" s="2"/>
      <c r="S33" s="56"/>
      <c r="T33" s="56"/>
      <c r="U33" s="56"/>
      <c r="V33" s="31"/>
      <c r="W33" s="39"/>
    </row>
    <row r="34" spans="17:38" x14ac:dyDescent="0.35">
      <c r="Q34" s="8"/>
      <c r="R34" s="2"/>
      <c r="S34" s="56"/>
      <c r="T34" s="56"/>
      <c r="U34" s="56"/>
      <c r="V34" s="31"/>
      <c r="W34" s="39"/>
      <c r="AK34" s="6"/>
      <c r="AL34" s="6"/>
    </row>
    <row r="35" spans="17:38" x14ac:dyDescent="0.35">
      <c r="Q35" s="8"/>
      <c r="R35" s="2"/>
      <c r="S35" s="56"/>
      <c r="T35" s="56"/>
      <c r="U35" s="56"/>
      <c r="V35" s="31"/>
      <c r="W35" s="39"/>
      <c r="AK35" s="2"/>
      <c r="AL35" s="26"/>
    </row>
    <row r="36" spans="17:38" x14ac:dyDescent="0.35">
      <c r="Q36" s="8"/>
      <c r="R36" s="2"/>
      <c r="S36" s="56"/>
      <c r="T36" s="56"/>
      <c r="U36" s="56"/>
      <c r="V36" s="31"/>
      <c r="W36" s="39"/>
    </row>
    <row r="37" spans="17:38" x14ac:dyDescent="0.35">
      <c r="Q37" s="8"/>
      <c r="R37" s="2"/>
      <c r="S37" s="56"/>
      <c r="T37" s="56"/>
      <c r="U37" s="56"/>
      <c r="V37" s="31"/>
      <c r="W37" s="39"/>
    </row>
    <row r="38" spans="17:38" x14ac:dyDescent="0.35">
      <c r="Q38" s="8"/>
      <c r="R38" s="2"/>
      <c r="S38" s="56"/>
      <c r="T38" s="56"/>
      <c r="U38" s="56"/>
      <c r="V38" s="31"/>
      <c r="W38" s="39"/>
    </row>
    <row r="39" spans="17:38" x14ac:dyDescent="0.35">
      <c r="Q39" s="8"/>
      <c r="R39" s="2"/>
      <c r="S39" s="56"/>
      <c r="T39" s="56"/>
      <c r="U39" s="56"/>
      <c r="V39" s="31"/>
      <c r="W39" s="39"/>
    </row>
    <row r="40" spans="17:38" x14ac:dyDescent="0.35">
      <c r="Q40" s="8"/>
      <c r="R40" s="2"/>
      <c r="S40" s="56"/>
      <c r="T40" s="56"/>
      <c r="U40" s="56"/>
      <c r="V40" s="31"/>
      <c r="W40" s="39"/>
    </row>
    <row r="41" spans="17:38" x14ac:dyDescent="0.35">
      <c r="Q41" s="8"/>
      <c r="R41" s="2"/>
      <c r="S41" s="56"/>
      <c r="T41" s="56"/>
      <c r="U41" s="56"/>
      <c r="V41" s="31"/>
      <c r="W41" s="39"/>
    </row>
    <row r="42" spans="17:38" x14ac:dyDescent="0.35">
      <c r="Q42" s="8"/>
      <c r="R42" s="2"/>
      <c r="S42" s="56"/>
      <c r="T42" s="56"/>
      <c r="U42" s="56"/>
      <c r="V42" s="31"/>
      <c r="W42" s="39"/>
    </row>
    <row r="43" spans="17:38" x14ac:dyDescent="0.35">
      <c r="Q43" s="8"/>
      <c r="R43" s="2"/>
      <c r="S43" s="56"/>
      <c r="T43" s="56"/>
      <c r="U43" s="56"/>
      <c r="V43" s="31"/>
      <c r="W43" s="39"/>
    </row>
    <row r="44" spans="17:38" x14ac:dyDescent="0.35">
      <c r="Q44" s="8"/>
      <c r="R44" s="2"/>
      <c r="S44" s="56"/>
      <c r="T44" s="56"/>
      <c r="U44" s="56"/>
      <c r="V44" s="31"/>
      <c r="W44" s="39"/>
    </row>
    <row r="45" spans="17:38" x14ac:dyDescent="0.35">
      <c r="Q45" s="8"/>
      <c r="R45" s="2"/>
      <c r="S45" s="56"/>
      <c r="T45" s="56"/>
      <c r="U45" s="56"/>
      <c r="V45" s="31"/>
      <c r="W45" s="39"/>
    </row>
    <row r="46" spans="17:38" x14ac:dyDescent="0.35">
      <c r="Q46" s="8"/>
      <c r="R46" s="2"/>
      <c r="S46" s="56"/>
      <c r="T46" s="56"/>
      <c r="U46" s="56"/>
      <c r="V46" s="31"/>
      <c r="W46" s="39"/>
    </row>
    <row r="47" spans="17:38" x14ac:dyDescent="0.35">
      <c r="Q47" s="8"/>
      <c r="R47" s="2"/>
      <c r="S47" s="56"/>
      <c r="T47" s="56"/>
      <c r="U47" s="56"/>
      <c r="V47" s="31"/>
      <c r="W47" s="39"/>
    </row>
    <row r="48" spans="17:38" x14ac:dyDescent="0.35">
      <c r="Q48" s="8"/>
      <c r="R48" s="2"/>
      <c r="S48" s="56"/>
      <c r="T48" s="56"/>
      <c r="U48" s="56"/>
      <c r="V48" s="31"/>
      <c r="W48" s="39"/>
    </row>
    <row r="49" spans="17:23" x14ac:dyDescent="0.35">
      <c r="Q49" s="8"/>
      <c r="R49" s="2"/>
      <c r="S49" s="56"/>
      <c r="T49" s="56"/>
      <c r="U49" s="56"/>
      <c r="V49" s="31"/>
      <c r="W49" s="39"/>
    </row>
    <row r="50" spans="17:23" x14ac:dyDescent="0.35">
      <c r="Q50" s="8"/>
      <c r="R50" s="2"/>
      <c r="S50" s="56"/>
      <c r="T50" s="56"/>
      <c r="U50" s="56"/>
      <c r="V50" s="31"/>
      <c r="W50" s="39"/>
    </row>
    <row r="51" spans="17:23" x14ac:dyDescent="0.35">
      <c r="Q51" s="8"/>
      <c r="R51" s="2"/>
      <c r="S51" s="56"/>
      <c r="T51" s="56"/>
      <c r="U51" s="56"/>
      <c r="V51" s="31"/>
      <c r="W51" s="39"/>
    </row>
    <row r="52" spans="17:23" x14ac:dyDescent="0.35">
      <c r="Q52" s="8"/>
      <c r="R52" s="2"/>
      <c r="S52" s="56"/>
      <c r="T52" s="56"/>
      <c r="U52" s="56"/>
      <c r="V52" s="31"/>
      <c r="W52" s="39"/>
    </row>
    <row r="53" spans="17:23" x14ac:dyDescent="0.35">
      <c r="Q53" s="8"/>
      <c r="R53" s="2"/>
      <c r="S53" s="56"/>
      <c r="T53" s="56"/>
      <c r="U53" s="56"/>
      <c r="V53" s="31"/>
      <c r="W53" s="39"/>
    </row>
    <row r="54" spans="17:23" x14ac:dyDescent="0.35">
      <c r="Q54" s="8"/>
      <c r="R54" s="2"/>
      <c r="S54" s="56"/>
      <c r="T54" s="56"/>
      <c r="U54" s="56"/>
      <c r="V54" s="31"/>
      <c r="W54" s="39"/>
    </row>
    <row r="55" spans="17:23" x14ac:dyDescent="0.35">
      <c r="Q55" s="8"/>
      <c r="R55" s="2"/>
      <c r="S55" s="56"/>
      <c r="T55" s="56"/>
      <c r="U55" s="56"/>
      <c r="V55" s="31"/>
      <c r="W55" s="39"/>
    </row>
    <row r="56" spans="17:23" x14ac:dyDescent="0.35">
      <c r="Q56" s="8"/>
      <c r="R56" s="2"/>
      <c r="S56" s="56"/>
      <c r="T56" s="56"/>
      <c r="U56" s="56"/>
      <c r="V56" s="31"/>
      <c r="W56" s="39"/>
    </row>
    <row r="57" spans="17:23" x14ac:dyDescent="0.35">
      <c r="Q57" s="8"/>
      <c r="R57" s="2"/>
      <c r="S57" s="56"/>
      <c r="T57" s="56"/>
      <c r="U57" s="56"/>
      <c r="V57" s="31"/>
      <c r="W57" s="39"/>
    </row>
    <row r="58" spans="17:23" x14ac:dyDescent="0.35">
      <c r="Q58" s="8"/>
      <c r="R58" s="2"/>
      <c r="S58" s="56"/>
      <c r="T58" s="56"/>
      <c r="U58" s="56"/>
      <c r="V58" s="31"/>
      <c r="W58" s="39"/>
    </row>
    <row r="59" spans="17:23" x14ac:dyDescent="0.35">
      <c r="Q59" s="8"/>
      <c r="R59" s="2"/>
      <c r="S59" s="56"/>
      <c r="T59" s="56"/>
      <c r="U59" s="56"/>
      <c r="V59" s="31"/>
      <c r="W59" s="39"/>
    </row>
    <row r="60" spans="17:23" x14ac:dyDescent="0.35">
      <c r="Q60" s="8"/>
      <c r="R60" s="2"/>
      <c r="S60" s="56"/>
      <c r="T60" s="56"/>
      <c r="U60" s="56"/>
      <c r="V60" s="31"/>
      <c r="W60" s="39"/>
    </row>
    <row r="61" spans="17:23" x14ac:dyDescent="0.35">
      <c r="Q61" s="8"/>
      <c r="R61" s="2"/>
      <c r="S61" s="56"/>
      <c r="T61" s="56"/>
      <c r="U61" s="56"/>
      <c r="V61" s="31"/>
      <c r="W61" s="39"/>
    </row>
    <row r="62" spans="17:23" x14ac:dyDescent="0.35">
      <c r="Q62" s="8"/>
      <c r="R62" s="2"/>
      <c r="S62" s="56"/>
      <c r="T62" s="56"/>
      <c r="U62" s="56"/>
      <c r="V62" s="31"/>
      <c r="W62" s="39"/>
    </row>
    <row r="63" spans="17:23" x14ac:dyDescent="0.35">
      <c r="Q63" s="8"/>
      <c r="R63" s="2"/>
      <c r="S63" s="56"/>
      <c r="T63" s="56"/>
      <c r="U63" s="56"/>
      <c r="V63" s="31"/>
      <c r="W63" s="39"/>
    </row>
    <row r="64" spans="17:23" x14ac:dyDescent="0.35">
      <c r="Q64" s="8"/>
      <c r="R64" s="2"/>
      <c r="S64" s="56"/>
      <c r="T64" s="56"/>
      <c r="U64" s="56"/>
      <c r="V64" s="31"/>
      <c r="W64" s="39"/>
    </row>
    <row r="65" spans="17:23" x14ac:dyDescent="0.35">
      <c r="Q65" s="8"/>
      <c r="R65" s="2"/>
      <c r="S65" s="56"/>
      <c r="T65" s="56"/>
      <c r="U65" s="56"/>
      <c r="V65" s="31"/>
      <c r="W65" s="39"/>
    </row>
    <row r="66" spans="17:23" x14ac:dyDescent="0.35">
      <c r="Q66" s="8"/>
      <c r="R66" s="2"/>
      <c r="S66" s="56"/>
      <c r="T66" s="56"/>
      <c r="U66" s="56"/>
      <c r="V66" s="31"/>
      <c r="W66" s="39"/>
    </row>
    <row r="67" spans="17:23" x14ac:dyDescent="0.35">
      <c r="Q67" s="8"/>
      <c r="R67" s="2"/>
      <c r="S67" s="56"/>
      <c r="T67" s="56"/>
      <c r="U67" s="56"/>
      <c r="V67" s="31"/>
      <c r="W67" s="39"/>
    </row>
    <row r="68" spans="17:23" x14ac:dyDescent="0.35">
      <c r="Q68" s="8"/>
      <c r="R68" s="2"/>
      <c r="S68" s="56"/>
      <c r="T68" s="56"/>
      <c r="U68" s="56"/>
      <c r="V68" s="31"/>
      <c r="W68" s="39"/>
    </row>
    <row r="69" spans="17:23" x14ac:dyDescent="0.35">
      <c r="Q69" s="8"/>
      <c r="R69" s="2"/>
      <c r="S69" s="56"/>
      <c r="T69" s="56"/>
      <c r="U69" s="56"/>
      <c r="V69" s="31"/>
      <c r="W69" s="39"/>
    </row>
    <row r="70" spans="17:23" x14ac:dyDescent="0.35">
      <c r="Q70" s="8"/>
      <c r="R70" s="2"/>
      <c r="S70" s="56"/>
      <c r="T70" s="56"/>
      <c r="U70" s="56"/>
      <c r="V70" s="31"/>
      <c r="W70" s="39"/>
    </row>
    <row r="71" spans="17:23" x14ac:dyDescent="0.35">
      <c r="Q71" s="8"/>
      <c r="R71" s="2"/>
      <c r="S71" s="56"/>
      <c r="T71" s="56"/>
      <c r="U71" s="56"/>
      <c r="V71" s="31"/>
      <c r="W71" s="39"/>
    </row>
    <row r="72" spans="17:23" x14ac:dyDescent="0.35">
      <c r="Q72" s="8"/>
      <c r="R72" s="2"/>
      <c r="S72" s="56"/>
      <c r="T72" s="56"/>
      <c r="U72" s="56"/>
      <c r="V72" s="31"/>
      <c r="W72" s="39"/>
    </row>
    <row r="73" spans="17:23" x14ac:dyDescent="0.35">
      <c r="Q73" s="8"/>
      <c r="R73" s="2"/>
      <c r="S73" s="56"/>
      <c r="T73" s="56"/>
      <c r="U73" s="56"/>
      <c r="V73" s="31"/>
      <c r="W73" s="39"/>
    </row>
    <row r="74" spans="17:23" x14ac:dyDescent="0.35">
      <c r="Q74" s="8"/>
      <c r="R74" s="2"/>
      <c r="S74" s="56"/>
      <c r="T74" s="56"/>
      <c r="U74" s="56"/>
      <c r="V74" s="31"/>
      <c r="W74" s="39"/>
    </row>
    <row r="75" spans="17:23" x14ac:dyDescent="0.35">
      <c r="Q75" s="8"/>
      <c r="R75" s="2"/>
      <c r="S75" s="56"/>
      <c r="T75" s="56"/>
      <c r="U75" s="56"/>
      <c r="V75" s="31"/>
      <c r="W75" s="39"/>
    </row>
    <row r="76" spans="17:23" x14ac:dyDescent="0.35">
      <c r="Q76" s="8"/>
      <c r="R76" s="2"/>
      <c r="S76" s="56"/>
      <c r="T76" s="56"/>
      <c r="U76" s="56"/>
      <c r="V76" s="31"/>
      <c r="W76" s="39"/>
    </row>
    <row r="77" spans="17:23" x14ac:dyDescent="0.35">
      <c r="Q77" s="8"/>
      <c r="R77" s="2"/>
      <c r="S77" s="56"/>
      <c r="T77" s="56"/>
      <c r="U77" s="56"/>
      <c r="V77" s="31"/>
      <c r="W77" s="39"/>
    </row>
    <row r="78" spans="17:23" x14ac:dyDescent="0.35">
      <c r="Q78" s="8"/>
      <c r="R78" s="2"/>
      <c r="S78" s="56"/>
      <c r="T78" s="56"/>
      <c r="U78" s="56"/>
      <c r="V78" s="31"/>
      <c r="W78" s="39"/>
    </row>
    <row r="79" spans="17:23" x14ac:dyDescent="0.35">
      <c r="Q79" s="8"/>
      <c r="R79" s="2"/>
      <c r="S79" s="56"/>
      <c r="T79" s="56"/>
      <c r="U79" s="56"/>
      <c r="V79" s="31"/>
      <c r="W79" s="39"/>
    </row>
    <row r="80" spans="17:23" x14ac:dyDescent="0.35">
      <c r="Q80" s="8"/>
      <c r="R80" s="2"/>
      <c r="S80" s="56"/>
      <c r="T80" s="56"/>
      <c r="U80" s="56"/>
      <c r="V80" s="31"/>
      <c r="W80" s="39"/>
    </row>
    <row r="81" spans="17:23" x14ac:dyDescent="0.35">
      <c r="Q81" s="8"/>
      <c r="R81" s="2"/>
      <c r="S81" s="56"/>
      <c r="T81" s="56"/>
      <c r="U81" s="56"/>
      <c r="V81" s="31"/>
      <c r="W81" s="39"/>
    </row>
    <row r="82" spans="17:23" x14ac:dyDescent="0.35">
      <c r="Q82" s="8"/>
      <c r="R82" s="2"/>
      <c r="S82" s="56"/>
      <c r="T82" s="56"/>
      <c r="U82" s="56"/>
      <c r="V82" s="31"/>
      <c r="W82" s="39"/>
    </row>
    <row r="83" spans="17:23" x14ac:dyDescent="0.35">
      <c r="Q83" s="8"/>
      <c r="R83" s="2"/>
      <c r="S83" s="56"/>
      <c r="T83" s="56"/>
      <c r="U83" s="56"/>
      <c r="V83" s="31"/>
      <c r="W83" s="39"/>
    </row>
    <row r="84" spans="17:23" x14ac:dyDescent="0.35">
      <c r="Q84" s="8"/>
      <c r="R84" s="2"/>
      <c r="S84" s="56"/>
      <c r="T84" s="56"/>
      <c r="U84" s="56"/>
      <c r="V84" s="31"/>
      <c r="W84" s="39"/>
    </row>
    <row r="85" spans="17:23" x14ac:dyDescent="0.35">
      <c r="Q85" s="8"/>
      <c r="R85" s="2"/>
      <c r="S85" s="56"/>
      <c r="T85" s="56"/>
      <c r="U85" s="56"/>
      <c r="V85" s="31"/>
      <c r="W85" s="39"/>
    </row>
    <row r="86" spans="17:23" x14ac:dyDescent="0.35">
      <c r="Q86" s="8"/>
      <c r="R86" s="2"/>
      <c r="S86" s="56"/>
      <c r="T86" s="56"/>
      <c r="U86" s="56"/>
      <c r="V86" s="31"/>
      <c r="W86" s="39"/>
    </row>
    <row r="87" spans="17:23" x14ac:dyDescent="0.35">
      <c r="Q87" s="8"/>
      <c r="R87" s="2"/>
      <c r="S87" s="56"/>
      <c r="T87" s="56"/>
      <c r="U87" s="56"/>
      <c r="V87" s="31"/>
      <c r="W87" s="39"/>
    </row>
    <row r="88" spans="17:23" x14ac:dyDescent="0.35">
      <c r="Q88" s="8"/>
      <c r="R88" s="2"/>
      <c r="S88" s="56"/>
      <c r="T88" s="56"/>
      <c r="U88" s="56"/>
      <c r="V88" s="31"/>
      <c r="W88" s="39"/>
    </row>
    <row r="89" spans="17:23" x14ac:dyDescent="0.35">
      <c r="Q89" s="8"/>
      <c r="R89" s="2"/>
      <c r="S89" s="56"/>
      <c r="T89" s="56"/>
      <c r="U89" s="56"/>
      <c r="V89" s="31"/>
      <c r="W89" s="39"/>
    </row>
    <row r="90" spans="17:23" x14ac:dyDescent="0.35">
      <c r="Q90" s="8"/>
      <c r="R90" s="2"/>
      <c r="S90" s="56"/>
      <c r="T90" s="56"/>
      <c r="U90" s="56"/>
      <c r="V90" s="31"/>
      <c r="W90" s="39"/>
    </row>
    <row r="91" spans="17:23" x14ac:dyDescent="0.35">
      <c r="Q91" s="8"/>
      <c r="R91" s="2"/>
      <c r="S91" s="56"/>
      <c r="T91" s="56"/>
      <c r="U91" s="56"/>
      <c r="V91" s="31"/>
      <c r="W91" s="39"/>
    </row>
    <row r="92" spans="17:23" x14ac:dyDescent="0.35">
      <c r="Q92" s="8"/>
      <c r="R92" s="2"/>
      <c r="S92" s="56"/>
      <c r="T92" s="56"/>
      <c r="U92" s="56"/>
      <c r="V92" s="31"/>
      <c r="W92" s="39"/>
    </row>
    <row r="93" spans="17:23" x14ac:dyDescent="0.35">
      <c r="Q93" s="8"/>
      <c r="R93" s="2"/>
      <c r="S93" s="56"/>
      <c r="T93" s="56"/>
      <c r="U93" s="56"/>
      <c r="V93" s="31"/>
      <c r="W93" s="39"/>
    </row>
    <row r="94" spans="17:23" x14ac:dyDescent="0.35">
      <c r="Q94" s="8"/>
      <c r="R94" s="2"/>
      <c r="S94" s="56"/>
      <c r="T94" s="56"/>
      <c r="U94" s="56"/>
      <c r="V94" s="31"/>
      <c r="W94" s="39"/>
    </row>
    <row r="95" spans="17:23" x14ac:dyDescent="0.35">
      <c r="Q95" s="8"/>
      <c r="R95" s="2"/>
      <c r="S95" s="56"/>
      <c r="T95" s="56"/>
      <c r="U95" s="56"/>
      <c r="V95" s="31"/>
      <c r="W95" s="39"/>
    </row>
    <row r="96" spans="17:23" x14ac:dyDescent="0.35">
      <c r="Q96" s="8"/>
      <c r="R96" s="2"/>
      <c r="S96" s="56"/>
      <c r="T96" s="56"/>
      <c r="U96" s="56"/>
      <c r="V96" s="31"/>
      <c r="W96" s="39"/>
    </row>
    <row r="97" spans="17:23" x14ac:dyDescent="0.35">
      <c r="Q97" s="8"/>
      <c r="R97" s="2"/>
      <c r="S97" s="56"/>
      <c r="T97" s="56"/>
      <c r="U97" s="56"/>
      <c r="V97" s="31"/>
      <c r="W97" s="39"/>
    </row>
    <row r="98" spans="17:23" x14ac:dyDescent="0.35">
      <c r="Q98" s="8"/>
      <c r="R98" s="2"/>
      <c r="S98" s="56"/>
      <c r="T98" s="56"/>
      <c r="U98" s="56"/>
      <c r="V98" s="31"/>
      <c r="W98" s="39"/>
    </row>
    <row r="99" spans="17:23" x14ac:dyDescent="0.35">
      <c r="Q99" s="8"/>
      <c r="R99" s="2"/>
      <c r="S99" s="56"/>
      <c r="T99" s="56"/>
      <c r="U99" s="56"/>
      <c r="V99" s="31"/>
      <c r="W99" s="39"/>
    </row>
    <row r="100" spans="17:23" x14ac:dyDescent="0.35">
      <c r="Q100" s="8"/>
      <c r="R100" s="2"/>
      <c r="S100" s="56"/>
      <c r="T100" s="56"/>
      <c r="U100" s="56"/>
      <c r="V100" s="31"/>
      <c r="W100" s="39"/>
    </row>
    <row r="101" spans="17:23" x14ac:dyDescent="0.35">
      <c r="Q101" s="8"/>
      <c r="R101" s="2"/>
      <c r="S101" s="56"/>
      <c r="T101" s="56"/>
      <c r="U101" s="56"/>
      <c r="V101" s="31"/>
      <c r="W101" s="39"/>
    </row>
    <row r="102" spans="17:23" x14ac:dyDescent="0.35">
      <c r="Q102" s="8"/>
      <c r="R102" s="2"/>
      <c r="S102" s="56"/>
      <c r="T102" s="56"/>
      <c r="U102" s="56"/>
      <c r="V102" s="31"/>
      <c r="W102" s="39"/>
    </row>
    <row r="103" spans="17:23" x14ac:dyDescent="0.35">
      <c r="Q103" s="8"/>
      <c r="R103" s="2"/>
      <c r="S103" s="56"/>
      <c r="T103" s="56"/>
      <c r="U103" s="56"/>
      <c r="V103" s="31"/>
      <c r="W103" s="39"/>
    </row>
    <row r="104" spans="17:23" x14ac:dyDescent="0.35">
      <c r="Q104" s="8"/>
      <c r="R104" s="2"/>
      <c r="S104" s="56"/>
      <c r="T104" s="56"/>
      <c r="U104" s="56"/>
      <c r="V104" s="31"/>
      <c r="W104" s="39"/>
    </row>
    <row r="105" spans="17:23" x14ac:dyDescent="0.35">
      <c r="Q105" s="8"/>
      <c r="R105" s="2"/>
      <c r="S105" s="56"/>
      <c r="T105" s="56"/>
      <c r="U105" s="56"/>
      <c r="V105" s="31"/>
      <c r="W105" s="39"/>
    </row>
    <row r="106" spans="17:23" x14ac:dyDescent="0.35">
      <c r="Q106" s="8"/>
      <c r="R106" s="2"/>
      <c r="S106" s="56"/>
      <c r="T106" s="56"/>
      <c r="U106" s="56"/>
      <c r="V106" s="31"/>
      <c r="W106" s="39"/>
    </row>
    <row r="107" spans="17:23" x14ac:dyDescent="0.35">
      <c r="Q107" s="8"/>
      <c r="R107" s="2"/>
      <c r="S107" s="56"/>
      <c r="T107" s="56"/>
      <c r="U107" s="56"/>
      <c r="V107" s="31"/>
      <c r="W107" s="39"/>
    </row>
    <row r="108" spans="17:23" x14ac:dyDescent="0.35">
      <c r="Q108" s="8"/>
      <c r="R108" s="2"/>
      <c r="S108" s="56"/>
      <c r="T108" s="56"/>
      <c r="U108" s="56"/>
      <c r="V108" s="31"/>
      <c r="W108" s="39"/>
    </row>
    <row r="109" spans="17:23" x14ac:dyDescent="0.35">
      <c r="Q109" s="8"/>
      <c r="R109" s="2"/>
      <c r="S109" s="56"/>
      <c r="T109" s="56"/>
      <c r="U109" s="56"/>
      <c r="V109" s="31"/>
      <c r="W109" s="39"/>
    </row>
    <row r="110" spans="17:23" x14ac:dyDescent="0.35">
      <c r="Q110" s="8"/>
      <c r="R110" s="2"/>
      <c r="S110" s="56"/>
      <c r="T110" s="56"/>
      <c r="U110" s="56"/>
      <c r="V110" s="31"/>
      <c r="W110" s="39"/>
    </row>
    <row r="111" spans="17:23" x14ac:dyDescent="0.35">
      <c r="Q111" s="8"/>
      <c r="R111" s="2"/>
      <c r="S111" s="56"/>
      <c r="T111" s="56"/>
      <c r="U111" s="56"/>
      <c r="V111" s="31"/>
      <c r="W111" s="39"/>
    </row>
    <row r="112" spans="17:23" x14ac:dyDescent="0.35">
      <c r="Q112" s="8"/>
      <c r="R112" s="2"/>
      <c r="S112" s="56"/>
      <c r="T112" s="56"/>
      <c r="U112" s="56"/>
      <c r="V112" s="31"/>
      <c r="W112" s="39"/>
    </row>
    <row r="113" spans="17:23" x14ac:dyDescent="0.35">
      <c r="Q113" s="8"/>
      <c r="R113" s="2"/>
      <c r="S113" s="56"/>
      <c r="T113" s="56"/>
      <c r="U113" s="56"/>
      <c r="V113" s="31"/>
      <c r="W113" s="39"/>
    </row>
    <row r="114" spans="17:23" x14ac:dyDescent="0.35">
      <c r="Q114" s="8"/>
      <c r="R114" s="2"/>
      <c r="S114" s="56"/>
      <c r="T114" s="56"/>
      <c r="U114" s="56"/>
      <c r="V114" s="31"/>
      <c r="W114" s="39"/>
    </row>
    <row r="115" spans="17:23" x14ac:dyDescent="0.35">
      <c r="Q115" s="8"/>
      <c r="R115" s="2"/>
      <c r="S115" s="56"/>
      <c r="T115" s="56"/>
      <c r="U115" s="56"/>
      <c r="V115" s="31"/>
      <c r="W115" s="39"/>
    </row>
    <row r="116" spans="17:23" x14ac:dyDescent="0.35">
      <c r="Q116" s="8"/>
      <c r="R116" s="2"/>
      <c r="S116" s="56"/>
      <c r="T116" s="56"/>
      <c r="U116" s="56"/>
      <c r="V116" s="31"/>
      <c r="W116" s="39"/>
    </row>
    <row r="117" spans="17:23" x14ac:dyDescent="0.35">
      <c r="Q117" s="8"/>
      <c r="R117" s="2"/>
      <c r="S117" s="56"/>
      <c r="T117" s="56"/>
      <c r="U117" s="56"/>
      <c r="V117" s="31"/>
      <c r="W117" s="39"/>
    </row>
    <row r="118" spans="17:23" x14ac:dyDescent="0.35">
      <c r="Q118" s="8"/>
      <c r="R118" s="2"/>
      <c r="S118" s="56"/>
      <c r="T118" s="56"/>
      <c r="U118" s="56"/>
      <c r="V118" s="31"/>
      <c r="W118" s="39"/>
    </row>
    <row r="119" spans="17:23" x14ac:dyDescent="0.35">
      <c r="Q119" s="8"/>
      <c r="R119" s="2"/>
      <c r="S119" s="56"/>
      <c r="T119" s="56"/>
      <c r="U119" s="56"/>
      <c r="V119" s="31"/>
      <c r="W119" s="39"/>
    </row>
    <row r="120" spans="17:23" x14ac:dyDescent="0.35">
      <c r="Q120" s="8"/>
      <c r="R120" s="2"/>
      <c r="S120" s="56"/>
      <c r="T120" s="56"/>
      <c r="U120" s="56"/>
      <c r="V120" s="31"/>
      <c r="W120" s="39"/>
    </row>
    <row r="121" spans="17:23" x14ac:dyDescent="0.35">
      <c r="Q121" s="8"/>
      <c r="R121" s="2"/>
      <c r="S121" s="56"/>
      <c r="T121" s="56"/>
      <c r="U121" s="56"/>
      <c r="V121" s="31"/>
      <c r="W121" s="39"/>
    </row>
    <row r="122" spans="17:23" x14ac:dyDescent="0.35">
      <c r="Q122" s="8"/>
      <c r="R122" s="2"/>
      <c r="S122" s="56"/>
      <c r="T122" s="56"/>
      <c r="U122" s="56"/>
      <c r="V122" s="31"/>
      <c r="W122" s="39"/>
    </row>
    <row r="123" spans="17:23" x14ac:dyDescent="0.35">
      <c r="Q123" s="8"/>
      <c r="R123" s="2"/>
      <c r="S123" s="56"/>
      <c r="T123" s="56"/>
      <c r="U123" s="56"/>
      <c r="V123" s="31"/>
      <c r="W123" s="39"/>
    </row>
    <row r="124" spans="17:23" x14ac:dyDescent="0.35">
      <c r="Q124" s="8"/>
      <c r="R124" s="2"/>
      <c r="S124" s="56"/>
      <c r="T124" s="56"/>
      <c r="U124" s="56"/>
      <c r="V124" s="31"/>
      <c r="W124" s="39"/>
    </row>
    <row r="125" spans="17:23" x14ac:dyDescent="0.35">
      <c r="Q125" s="8"/>
      <c r="R125" s="2"/>
      <c r="S125" s="56"/>
      <c r="T125" s="56"/>
      <c r="U125" s="56"/>
      <c r="V125" s="31"/>
      <c r="W125" s="39"/>
    </row>
    <row r="126" spans="17:23" x14ac:dyDescent="0.35">
      <c r="Q126" s="8"/>
      <c r="R126" s="2"/>
      <c r="S126" s="56"/>
      <c r="T126" s="56"/>
      <c r="U126" s="56"/>
      <c r="V126" s="31"/>
      <c r="W126" s="39"/>
    </row>
    <row r="127" spans="17:23" x14ac:dyDescent="0.35">
      <c r="Q127" s="8"/>
      <c r="R127" s="2"/>
      <c r="S127" s="56"/>
      <c r="T127" s="56"/>
      <c r="U127" s="56"/>
      <c r="V127" s="31"/>
      <c r="W127" s="39"/>
    </row>
    <row r="128" spans="17:23" x14ac:dyDescent="0.35">
      <c r="Q128" s="8"/>
      <c r="R128" s="2"/>
      <c r="S128" s="56"/>
      <c r="T128" s="56"/>
      <c r="U128" s="56"/>
      <c r="V128" s="31"/>
      <c r="W128" s="39"/>
    </row>
    <row r="129" spans="17:23" x14ac:dyDescent="0.35">
      <c r="Q129" s="8"/>
      <c r="R129" s="2"/>
      <c r="S129" s="56"/>
      <c r="T129" s="56"/>
      <c r="U129" s="56"/>
      <c r="V129" s="31"/>
      <c r="W129" s="39"/>
    </row>
    <row r="130" spans="17:23" x14ac:dyDescent="0.35">
      <c r="Q130" s="8"/>
      <c r="R130" s="2"/>
      <c r="S130" s="56"/>
      <c r="T130" s="56"/>
      <c r="U130" s="56"/>
      <c r="V130" s="31"/>
      <c r="W130" s="39"/>
    </row>
    <row r="131" spans="17:23" x14ac:dyDescent="0.35">
      <c r="Q131" s="8"/>
      <c r="R131" s="2"/>
      <c r="S131" s="56"/>
      <c r="T131" s="56"/>
      <c r="U131" s="56"/>
      <c r="V131" s="31"/>
      <c r="W131" s="39"/>
    </row>
    <row r="132" spans="17:23" x14ac:dyDescent="0.35">
      <c r="Q132" s="8"/>
      <c r="R132" s="2"/>
      <c r="S132" s="56"/>
      <c r="T132" s="56"/>
      <c r="U132" s="56"/>
      <c r="V132" s="31"/>
      <c r="W132" s="39"/>
    </row>
    <row r="133" spans="17:23" x14ac:dyDescent="0.35">
      <c r="Q133" s="8"/>
      <c r="R133" s="2"/>
      <c r="S133" s="56"/>
      <c r="T133" s="56"/>
      <c r="U133" s="56"/>
      <c r="V133" s="31"/>
      <c r="W133" s="39"/>
    </row>
    <row r="134" spans="17:23" x14ac:dyDescent="0.35">
      <c r="Q134" s="8"/>
      <c r="R134" s="2"/>
      <c r="S134" s="56"/>
      <c r="T134" s="56"/>
      <c r="U134" s="56"/>
      <c r="V134" s="31"/>
      <c r="W134" s="39"/>
    </row>
    <row r="135" spans="17:23" x14ac:dyDescent="0.35">
      <c r="Q135" s="8"/>
      <c r="R135" s="2"/>
      <c r="S135" s="56"/>
      <c r="T135" s="56"/>
      <c r="U135" s="56"/>
      <c r="V135" s="31"/>
      <c r="W135" s="39"/>
    </row>
    <row r="136" spans="17:23" x14ac:dyDescent="0.35">
      <c r="Q136" s="8"/>
      <c r="R136" s="2"/>
      <c r="S136" s="56"/>
      <c r="T136" s="56"/>
      <c r="U136" s="56"/>
      <c r="V136" s="31"/>
      <c r="W136" s="39"/>
    </row>
    <row r="137" spans="17:23" x14ac:dyDescent="0.35">
      <c r="Q137" s="8"/>
      <c r="R137" s="2"/>
      <c r="S137" s="56"/>
      <c r="T137" s="56"/>
      <c r="U137" s="56"/>
      <c r="V137" s="31"/>
      <c r="W137" s="39"/>
    </row>
    <row r="138" spans="17:23" x14ac:dyDescent="0.35">
      <c r="Q138" s="8"/>
      <c r="R138" s="2"/>
      <c r="S138" s="56"/>
      <c r="T138" s="56"/>
      <c r="U138" s="56"/>
      <c r="V138" s="31"/>
      <c r="W138" s="39"/>
    </row>
    <row r="139" spans="17:23" x14ac:dyDescent="0.35">
      <c r="Q139" s="8"/>
      <c r="R139" s="2"/>
      <c r="S139" s="56"/>
      <c r="T139" s="56"/>
      <c r="U139" s="56"/>
      <c r="V139" s="31"/>
      <c r="W139" s="39"/>
    </row>
    <row r="140" spans="17:23" x14ac:dyDescent="0.35">
      <c r="Q140" s="8"/>
      <c r="R140" s="2"/>
      <c r="S140" s="56"/>
      <c r="T140" s="56"/>
      <c r="U140" s="56"/>
      <c r="V140" s="31"/>
      <c r="W140" s="39"/>
    </row>
    <row r="141" spans="17:23" x14ac:dyDescent="0.35">
      <c r="Q141" s="8"/>
      <c r="R141" s="2"/>
      <c r="S141" s="56"/>
      <c r="T141" s="56"/>
      <c r="U141" s="56"/>
      <c r="V141" s="31"/>
      <c r="W141" s="39"/>
    </row>
    <row r="142" spans="17:23" x14ac:dyDescent="0.35">
      <c r="Q142" s="8"/>
      <c r="R142" s="2"/>
      <c r="S142" s="56"/>
      <c r="T142" s="56"/>
      <c r="U142" s="56"/>
      <c r="V142" s="31"/>
      <c r="W142" s="39"/>
    </row>
  </sheetData>
  <mergeCells count="3">
    <mergeCell ref="AB1:AF1"/>
    <mergeCell ref="AL1:AM1"/>
    <mergeCell ref="L22:M22"/>
  </mergeCells>
  <phoneticPr fontId="9" type="noConversion"/>
  <conditionalFormatting sqref="H3:I27 G2:G19">
    <cfRule type="iconSet" priority="3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O7:O18 O21 O2:O4">
    <cfRule type="iconSet" priority="2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C7:AC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{B9235242-36CB-4CCB-8EA4-A621DE347B22}</x14:id>
        </ext>
      </extLst>
    </cfRule>
  </conditionalFormatting>
  <conditionalFormatting sqref="AF65:AF6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{ED543F2B-A602-4F48-9949-1E777902034B}</x14:id>
        </ext>
      </extLst>
    </cfRule>
  </conditionalFormatting>
  <conditionalFormatting sqref="AF67:AF68 AN28:AN30 AE69">
    <cfRule type="iconSet" priority="2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72:AF73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F64:AH6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{80769628-4B0C-4AD2-9108-31F8D6EA9DD5}</x14:id>
        </ext>
      </extLst>
    </cfRule>
  </conditionalFormatting>
  <conditionalFormatting sqref="AF58:AI6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{200050F0-7082-4D4E-A45A-426BBAA4DEB0}</x14:id>
        </ext>
      </extLst>
    </cfRule>
  </conditionalFormatting>
  <conditionalFormatting sqref="AG7:AG8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{CCD900B3-4888-49CA-AD72-CCD8AF457AC3}</x14:id>
        </ext>
      </extLst>
    </cfRule>
  </conditionalFormatting>
  <conditionalFormatting sqref="AG9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50:AG51 AN13:AN22">
    <cfRule type="iconSet" priority="2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52:AG55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{B1BB2D8E-CFE3-4632-AE09-DDCBC1841648}</x14:id>
        </ext>
      </extLst>
    </cfRule>
  </conditionalFormatting>
  <conditionalFormatting sqref="AG53:AG54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{21CA8F5D-9415-4B0F-BFFE-5156B4592188}</x14:id>
        </ext>
      </extLst>
    </cfRule>
  </conditionalFormatting>
  <conditionalFormatting sqref="AG67:AG68 AF69">
    <cfRule type="iconSet" priority="2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G65:AH6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{F9CDBF05-C280-4F03-B92C-CEB89249E9A2}</x14:id>
        </ext>
      </extLst>
    </cfRule>
  </conditionalFormatting>
  <conditionalFormatting sqref="AG66:AH6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{A09E8EA3-F033-4142-A481-4B3F4CD55FDF}</x14:id>
        </ext>
      </extLst>
    </cfRule>
  </conditionalFormatting>
  <conditionalFormatting sqref="AH50">
    <cfRule type="iconSet" priority="2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H52:AH56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{E41A104D-0530-4ED9-8F36-86B1ACB9569C}</x14:id>
        </ext>
      </extLst>
    </cfRule>
  </conditionalFormatting>
  <conditionalFormatting sqref="AI52:AI55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{1B14F055-7538-43F8-812D-D75E7A597EA9}</x14:id>
        </ext>
      </extLst>
    </cfRule>
  </conditionalFormatting>
  <conditionalFormatting sqref="AI52:AI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{F8904C66-4483-4913-98E7-61E44147C6E5}</x14:id>
        </ext>
      </extLst>
    </cfRule>
  </conditionalFormatting>
  <conditionalFormatting sqref="AI64:AI6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{45116380-E05D-435C-AE39-321F20736614}</x14:id>
        </ext>
      </extLst>
    </cfRule>
  </conditionalFormatting>
  <conditionalFormatting sqref="AI52:AJ52 AG52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{D141186E-22CD-4ECA-AB56-94D862379E9C}</x14:id>
        </ext>
      </extLst>
    </cfRule>
  </conditionalFormatting>
  <conditionalFormatting sqref="AI53:AJ5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{F9321DEE-BAF7-4560-84FA-6B937D3FD74A}</x14:id>
        </ext>
      </extLst>
    </cfRule>
  </conditionalFormatting>
  <conditionalFormatting sqref="AI54:AJ54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{2C6183C0-3C36-4ED0-804A-F3EB5D4428D8}</x14:id>
        </ext>
      </extLst>
    </cfRule>
  </conditionalFormatting>
  <conditionalFormatting sqref="AI9:AK9">
    <cfRule type="iconSet" priority="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I51:AK51"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J52:AJ56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{55DD3AFE-19EA-48E6-95A4-0915542352E2}</x14:id>
        </ext>
      </extLst>
    </cfRule>
  </conditionalFormatting>
  <conditionalFormatting sqref="AL8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{D5F5A1AE-1F50-43DC-981A-420D68DB0582}</x14:id>
        </ext>
      </extLst>
    </cfRule>
  </conditionalFormatting>
  <conditionalFormatting sqref="AL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{E05D4AB8-A832-493B-91E6-11C69FDA621F}</x14:id>
        </ext>
      </extLst>
    </cfRule>
  </conditionalFormatting>
  <conditionalFormatting sqref="AL2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{66706450-776A-4E8C-A5A0-302C36BC9A42}</x14:id>
        </ext>
      </extLst>
    </cfRule>
  </conditionalFormatting>
  <conditionalFormatting sqref="AL23:AL2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{6F08ABD6-DC06-4069-94EB-5A96FC320C03}</x14:id>
        </ext>
      </extLst>
    </cfRule>
  </conditionalFormatting>
  <conditionalFormatting sqref="AL35:AL3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{8A825F12-42BD-4E9A-99AD-809F8292563C}</x14:id>
        </ext>
      </extLst>
    </cfRule>
  </conditionalFormatting>
  <conditionalFormatting sqref="AM8:AM10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{5EAF9FED-A98F-443F-BED1-621DF390ADEF}</x14:id>
        </ext>
      </extLst>
    </cfRule>
  </conditionalFormatting>
  <conditionalFormatting sqref="AM13:AM2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{2E59D0ED-AD2C-4A5C-9CED-225ABC309B53}</x14:id>
        </ext>
      </extLst>
    </cfRule>
  </conditionalFormatting>
  <conditionalFormatting sqref="AM28:AM3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{6C8ED001-D290-4C81-B32E-8C89FB969F0C}</x14:id>
        </ext>
      </extLst>
    </cfRule>
  </conditionalFormatting>
  <dataValidations disablePrompts="1" count="3">
    <dataValidation type="list" allowBlank="1" showInputMessage="1" showErrorMessage="1" sqref="R2:R142 C2:C19" xr:uid="{AE3D2C47-726B-4AEE-9505-2FE98C2D6D10}">
      <formula1>INDIRECT("RUBROS[RUBROS]")</formula1>
    </dataValidation>
    <dataValidation type="list" allowBlank="1" showInputMessage="1" showErrorMessage="1" sqref="S2:S142 D2:D19" xr:uid="{673136FC-4B94-4C0E-816F-A63A6EBF5D70}">
      <formula1>INDIRECT(C2)</formula1>
    </dataValidation>
    <dataValidation type="list" allowBlank="1" showInputMessage="1" showErrorMessage="1" sqref="X2:X142" xr:uid="{EA473D4E-7605-40C5-BFB2-47640F6DE292}">
      <formula1>INDIRECT("CAJAS[CAJAS]")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45D05E65-2DDE-4241-99F6-8153FDE379F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O22</xm:sqref>
        </x14:conditionalFormatting>
        <x14:conditionalFormatting xmlns:xm="http://schemas.microsoft.com/office/excel/2006/main">
          <x14:cfRule type="dataBar" id="{B9235242-36CB-4CCB-8EA4-A621DE347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AC7:AC8</xm:sqref>
        </x14:conditionalFormatting>
        <x14:conditionalFormatting xmlns:xm="http://schemas.microsoft.com/office/excel/2006/main">
          <x14:cfRule type="dataBar" id="{ED543F2B-A602-4F48-9949-1E7779020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AF65:AF66</xm:sqref>
        </x14:conditionalFormatting>
        <x14:conditionalFormatting xmlns:xm="http://schemas.microsoft.com/office/excel/2006/main">
          <x14:cfRule type="dataBar" id="{80769628-4B0C-4AD2-9108-31F8D6EA9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AF64:AH64</xm:sqref>
        </x14:conditionalFormatting>
        <x14:conditionalFormatting xmlns:xm="http://schemas.microsoft.com/office/excel/2006/main">
          <x14:cfRule type="dataBar" id="{200050F0-7082-4D4E-A45A-426BBAA4DE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AF58:AI61</xm:sqref>
        </x14:conditionalFormatting>
        <x14:conditionalFormatting xmlns:xm="http://schemas.microsoft.com/office/excel/2006/main">
          <x14:cfRule type="dataBar" id="{CCD900B3-4888-49CA-AD72-CCD8AF457A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  <x14:conditionalFormatting xmlns:xm="http://schemas.microsoft.com/office/excel/2006/main">
          <x14:cfRule type="dataBar" id="{B1BB2D8E-CFE3-4632-AE09-DDCBC18416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AG52:AG55</xm:sqref>
        </x14:conditionalFormatting>
        <x14:conditionalFormatting xmlns:xm="http://schemas.microsoft.com/office/excel/2006/main">
          <x14:cfRule type="dataBar" id="{21CA8F5D-9415-4B0F-BFFE-5156B45921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AG53:AG54</xm:sqref>
        </x14:conditionalFormatting>
        <x14:conditionalFormatting xmlns:xm="http://schemas.microsoft.com/office/excel/2006/main">
          <x14:cfRule type="dataBar" id="{F9CDBF05-C280-4F03-B92C-CEB89249E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AG65:AH65</xm:sqref>
        </x14:conditionalFormatting>
        <x14:conditionalFormatting xmlns:xm="http://schemas.microsoft.com/office/excel/2006/main">
          <x14:cfRule type="dataBar" id="{A09E8EA3-F033-4142-A481-4B3F4CD5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AG66:AH66</xm:sqref>
        </x14:conditionalFormatting>
        <x14:conditionalFormatting xmlns:xm="http://schemas.microsoft.com/office/excel/2006/main">
          <x14:cfRule type="dataBar" id="{E41A104D-0530-4ED9-8F36-86B1ACB95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AH52:AH56</xm:sqref>
        </x14:conditionalFormatting>
        <x14:conditionalFormatting xmlns:xm="http://schemas.microsoft.com/office/excel/2006/main">
          <x14:cfRule type="dataBar" id="{1B14F055-7538-43F8-812D-D75E7A597E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AI52:AI55</xm:sqref>
        </x14:conditionalFormatting>
        <x14:conditionalFormatting xmlns:xm="http://schemas.microsoft.com/office/excel/2006/main">
          <x14:cfRule type="dataBar" id="{F8904C66-4483-4913-98E7-61E44147C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AI52:AI56</xm:sqref>
        </x14:conditionalFormatting>
        <x14:conditionalFormatting xmlns:xm="http://schemas.microsoft.com/office/excel/2006/main">
          <x14:cfRule type="dataBar" id="{45116380-E05D-435C-AE39-321F207366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AI64:AI66</xm:sqref>
        </x14:conditionalFormatting>
        <x14:conditionalFormatting xmlns:xm="http://schemas.microsoft.com/office/excel/2006/main">
          <x14:cfRule type="dataBar" id="{D141186E-22CD-4ECA-AB56-94D862379E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AI52:AJ52 AG52</xm:sqref>
        </x14:conditionalFormatting>
        <x14:conditionalFormatting xmlns:xm="http://schemas.microsoft.com/office/excel/2006/main">
          <x14:cfRule type="dataBar" id="{F9321DEE-BAF7-4560-84FA-6B937D3FD7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AI53:AJ53</xm:sqref>
        </x14:conditionalFormatting>
        <x14:conditionalFormatting xmlns:xm="http://schemas.microsoft.com/office/excel/2006/main">
          <x14:cfRule type="dataBar" id="{2C6183C0-3C36-4ED0-804A-F3EB5D4428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AI54:AJ54</xm:sqref>
        </x14:conditionalFormatting>
        <x14:conditionalFormatting xmlns:xm="http://schemas.microsoft.com/office/excel/2006/main">
          <x14:cfRule type="dataBar" id="{55DD3AFE-19EA-48E6-95A4-0915542352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AJ52:AJ56</xm:sqref>
        </x14:conditionalFormatting>
        <x14:conditionalFormatting xmlns:xm="http://schemas.microsoft.com/office/excel/2006/main">
          <x14:cfRule type="dataBar" id="{D5F5A1AE-1F50-43DC-981A-420D68DB05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AL8</xm:sqref>
        </x14:conditionalFormatting>
        <x14:conditionalFormatting xmlns:xm="http://schemas.microsoft.com/office/excel/2006/main">
          <x14:cfRule type="dataBar" id="{E05D4AB8-A832-493B-91E6-11C69FDA62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AL9</xm:sqref>
        </x14:conditionalFormatting>
        <x14:conditionalFormatting xmlns:xm="http://schemas.microsoft.com/office/excel/2006/main">
          <x14:cfRule type="dataBar" id="{66706450-776A-4E8C-A5A0-302C36BC9A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AL22</xm:sqref>
        </x14:conditionalFormatting>
        <x14:conditionalFormatting xmlns:xm="http://schemas.microsoft.com/office/excel/2006/main">
          <x14:cfRule type="dataBar" id="{6F08ABD6-DC06-4069-94EB-5A96FC320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AL23:AL29</xm:sqref>
        </x14:conditionalFormatting>
        <x14:conditionalFormatting xmlns:xm="http://schemas.microsoft.com/office/excel/2006/main">
          <x14:cfRule type="dataBar" id="{8A825F12-42BD-4E9A-99AD-809F82925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AL35:AL37</xm:sqref>
        </x14:conditionalFormatting>
        <x14:conditionalFormatting xmlns:xm="http://schemas.microsoft.com/office/excel/2006/main">
          <x14:cfRule type="dataBar" id="{5EAF9FED-A98F-443F-BED1-621DF390AD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AM8:AM10</xm:sqref>
        </x14:conditionalFormatting>
        <x14:conditionalFormatting xmlns:xm="http://schemas.microsoft.com/office/excel/2006/main">
          <x14:cfRule type="dataBar" id="{2E59D0ED-AD2C-4A5C-9CED-225ABC309B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AM13:AM22</xm:sqref>
        </x14:conditionalFormatting>
        <x14:conditionalFormatting xmlns:xm="http://schemas.microsoft.com/office/excel/2006/main">
          <x14:cfRule type="dataBar" id="{6C8ED001-D290-4C81-B32E-8C89FB969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AM28:AM30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66C2-FAFA-46C9-B4F2-E7AA86362F0E}">
  <dimension ref="A1:F32"/>
  <sheetViews>
    <sheetView workbookViewId="0">
      <selection activeCell="E9" sqref="E9"/>
    </sheetView>
  </sheetViews>
  <sheetFormatPr baseColWidth="10" defaultRowHeight="14.5" x14ac:dyDescent="0.35"/>
  <sheetData>
    <row r="1" spans="1:6" x14ac:dyDescent="0.35">
      <c r="A1" t="s">
        <v>157</v>
      </c>
      <c r="B1" t="s">
        <v>75</v>
      </c>
      <c r="C1">
        <f>+SUM(C2:C32)</f>
        <v>355320</v>
      </c>
    </row>
    <row r="2" spans="1:6" x14ac:dyDescent="0.35">
      <c r="A2" t="str">
        <f>+UPPER(TEXT(B2,"DDD"))</f>
        <v>LUN</v>
      </c>
      <c r="B2" s="83">
        <v>45992</v>
      </c>
      <c r="C2">
        <f>5000*2+1580*2</f>
        <v>13160</v>
      </c>
      <c r="F2" s="83"/>
    </row>
    <row r="3" spans="1:6" x14ac:dyDescent="0.35">
      <c r="A3" t="str">
        <f t="shared" ref="A3:A32" si="0">+UPPER(TEXT(B3,"DDD"))</f>
        <v>MAR</v>
      </c>
      <c r="B3" s="83">
        <v>45993</v>
      </c>
      <c r="C3">
        <f t="shared" ref="C3:C32" si="1">5000*2+1580*2</f>
        <v>13160</v>
      </c>
      <c r="F3" s="83"/>
    </row>
    <row r="4" spans="1:6" x14ac:dyDescent="0.35">
      <c r="A4" t="str">
        <f t="shared" si="0"/>
        <v>MIÉ</v>
      </c>
      <c r="B4" s="83">
        <v>45994</v>
      </c>
      <c r="C4">
        <f t="shared" si="1"/>
        <v>13160</v>
      </c>
      <c r="F4" s="83"/>
    </row>
    <row r="5" spans="1:6" x14ac:dyDescent="0.35">
      <c r="A5" t="str">
        <f t="shared" si="0"/>
        <v>JUE</v>
      </c>
      <c r="B5" s="83">
        <v>45995</v>
      </c>
      <c r="C5">
        <f t="shared" si="1"/>
        <v>13160</v>
      </c>
      <c r="F5" s="83"/>
    </row>
    <row r="6" spans="1:6" x14ac:dyDescent="0.35">
      <c r="A6" t="str">
        <f t="shared" si="0"/>
        <v>VIE</v>
      </c>
      <c r="B6" s="83">
        <v>45996</v>
      </c>
      <c r="C6">
        <f t="shared" si="1"/>
        <v>13160</v>
      </c>
      <c r="F6" s="83"/>
    </row>
    <row r="7" spans="1:6" x14ac:dyDescent="0.35">
      <c r="A7" t="str">
        <f t="shared" si="0"/>
        <v>SÁB</v>
      </c>
      <c r="B7" s="83">
        <v>45997</v>
      </c>
      <c r="C7">
        <f t="shared" si="1"/>
        <v>13160</v>
      </c>
      <c r="F7" s="83"/>
    </row>
    <row r="8" spans="1:6" x14ac:dyDescent="0.35">
      <c r="A8" t="str">
        <f t="shared" si="0"/>
        <v>DOM</v>
      </c>
      <c r="B8" s="83">
        <v>45998</v>
      </c>
      <c r="F8" s="83"/>
    </row>
    <row r="9" spans="1:6" x14ac:dyDescent="0.35">
      <c r="A9" t="str">
        <f t="shared" si="0"/>
        <v>LUN</v>
      </c>
      <c r="B9" s="83">
        <v>45999</v>
      </c>
      <c r="C9">
        <f t="shared" si="1"/>
        <v>13160</v>
      </c>
      <c r="F9" s="83"/>
    </row>
    <row r="10" spans="1:6" x14ac:dyDescent="0.35">
      <c r="A10" t="str">
        <f t="shared" si="0"/>
        <v>MAR</v>
      </c>
      <c r="B10" s="83">
        <v>46000</v>
      </c>
      <c r="C10">
        <f t="shared" si="1"/>
        <v>13160</v>
      </c>
      <c r="F10" s="83"/>
    </row>
    <row r="11" spans="1:6" x14ac:dyDescent="0.35">
      <c r="A11" t="str">
        <f t="shared" si="0"/>
        <v>MIÉ</v>
      </c>
      <c r="B11" s="83">
        <v>46001</v>
      </c>
      <c r="C11">
        <f t="shared" si="1"/>
        <v>13160</v>
      </c>
      <c r="F11" s="83"/>
    </row>
    <row r="12" spans="1:6" x14ac:dyDescent="0.35">
      <c r="A12" t="str">
        <f t="shared" si="0"/>
        <v>JUE</v>
      </c>
      <c r="B12" s="83">
        <v>46002</v>
      </c>
      <c r="C12">
        <f t="shared" si="1"/>
        <v>13160</v>
      </c>
      <c r="F12" s="83"/>
    </row>
    <row r="13" spans="1:6" x14ac:dyDescent="0.35">
      <c r="A13" t="str">
        <f t="shared" si="0"/>
        <v>VIE</v>
      </c>
      <c r="B13" s="83">
        <v>46003</v>
      </c>
      <c r="C13">
        <f t="shared" si="1"/>
        <v>13160</v>
      </c>
      <c r="F13" s="83"/>
    </row>
    <row r="14" spans="1:6" x14ac:dyDescent="0.35">
      <c r="A14" t="str">
        <f t="shared" si="0"/>
        <v>SÁB</v>
      </c>
      <c r="B14" s="83">
        <v>46004</v>
      </c>
      <c r="C14">
        <f t="shared" si="1"/>
        <v>13160</v>
      </c>
      <c r="F14" s="83"/>
    </row>
    <row r="15" spans="1:6" x14ac:dyDescent="0.35">
      <c r="A15" t="str">
        <f t="shared" si="0"/>
        <v>DOM</v>
      </c>
      <c r="B15" s="83">
        <v>46005</v>
      </c>
      <c r="F15" s="83"/>
    </row>
    <row r="16" spans="1:6" x14ac:dyDescent="0.35">
      <c r="A16" t="str">
        <f t="shared" si="0"/>
        <v>LUN</v>
      </c>
      <c r="B16" s="83">
        <v>46006</v>
      </c>
      <c r="C16">
        <f t="shared" si="1"/>
        <v>13160</v>
      </c>
      <c r="F16" s="83"/>
    </row>
    <row r="17" spans="1:6" x14ac:dyDescent="0.35">
      <c r="A17" t="str">
        <f t="shared" si="0"/>
        <v>MAR</v>
      </c>
      <c r="B17" s="83">
        <v>46007</v>
      </c>
      <c r="C17">
        <f t="shared" si="1"/>
        <v>13160</v>
      </c>
      <c r="F17" s="83"/>
    </row>
    <row r="18" spans="1:6" x14ac:dyDescent="0.35">
      <c r="A18" t="str">
        <f t="shared" si="0"/>
        <v>MIÉ</v>
      </c>
      <c r="B18" s="83">
        <v>46008</v>
      </c>
      <c r="C18">
        <f t="shared" si="1"/>
        <v>13160</v>
      </c>
      <c r="F18" s="83"/>
    </row>
    <row r="19" spans="1:6" x14ac:dyDescent="0.35">
      <c r="A19" t="str">
        <f t="shared" si="0"/>
        <v>JUE</v>
      </c>
      <c r="B19" s="83">
        <v>46009</v>
      </c>
      <c r="C19">
        <f t="shared" si="1"/>
        <v>13160</v>
      </c>
      <c r="F19" s="83"/>
    </row>
    <row r="20" spans="1:6" x14ac:dyDescent="0.35">
      <c r="A20" t="str">
        <f t="shared" si="0"/>
        <v>VIE</v>
      </c>
      <c r="B20" s="83">
        <v>46010</v>
      </c>
      <c r="C20">
        <f t="shared" si="1"/>
        <v>13160</v>
      </c>
      <c r="F20" s="83"/>
    </row>
    <row r="21" spans="1:6" x14ac:dyDescent="0.35">
      <c r="A21" t="str">
        <f t="shared" si="0"/>
        <v>SÁB</v>
      </c>
      <c r="B21" s="83">
        <v>46011</v>
      </c>
      <c r="C21">
        <f t="shared" si="1"/>
        <v>13160</v>
      </c>
      <c r="F21" s="83"/>
    </row>
    <row r="22" spans="1:6" x14ac:dyDescent="0.35">
      <c r="A22" t="str">
        <f t="shared" si="0"/>
        <v>DOM</v>
      </c>
      <c r="B22" s="83">
        <v>46012</v>
      </c>
      <c r="F22" s="83"/>
    </row>
    <row r="23" spans="1:6" x14ac:dyDescent="0.35">
      <c r="A23" t="str">
        <f t="shared" si="0"/>
        <v>LUN</v>
      </c>
      <c r="B23" s="83">
        <v>46013</v>
      </c>
      <c r="C23">
        <f t="shared" si="1"/>
        <v>13160</v>
      </c>
      <c r="F23" s="83"/>
    </row>
    <row r="24" spans="1:6" x14ac:dyDescent="0.35">
      <c r="A24" t="str">
        <f t="shared" si="0"/>
        <v>MAR</v>
      </c>
      <c r="B24" s="83">
        <v>46014</v>
      </c>
      <c r="C24">
        <f t="shared" si="1"/>
        <v>13160</v>
      </c>
      <c r="F24" s="83"/>
    </row>
    <row r="25" spans="1:6" x14ac:dyDescent="0.35">
      <c r="A25" t="str">
        <f t="shared" si="0"/>
        <v>MIÉ</v>
      </c>
      <c r="B25" s="83">
        <v>46015</v>
      </c>
      <c r="C25">
        <f t="shared" si="1"/>
        <v>13160</v>
      </c>
      <c r="F25" s="83"/>
    </row>
    <row r="26" spans="1:6" x14ac:dyDescent="0.35">
      <c r="A26" t="str">
        <f t="shared" si="0"/>
        <v>JUE</v>
      </c>
      <c r="B26" s="83">
        <v>46016</v>
      </c>
      <c r="C26">
        <f t="shared" si="1"/>
        <v>13160</v>
      </c>
      <c r="F26" s="83"/>
    </row>
    <row r="27" spans="1:6" x14ac:dyDescent="0.35">
      <c r="A27" t="str">
        <f t="shared" si="0"/>
        <v>VIE</v>
      </c>
      <c r="B27" s="83">
        <v>46017</v>
      </c>
      <c r="C27">
        <f t="shared" si="1"/>
        <v>13160</v>
      </c>
      <c r="F27" s="83"/>
    </row>
    <row r="28" spans="1:6" x14ac:dyDescent="0.35">
      <c r="A28" t="str">
        <f t="shared" si="0"/>
        <v>SÁB</v>
      </c>
      <c r="B28" s="83">
        <v>46018</v>
      </c>
      <c r="C28">
        <f t="shared" si="1"/>
        <v>13160</v>
      </c>
      <c r="F28" s="83"/>
    </row>
    <row r="29" spans="1:6" x14ac:dyDescent="0.35">
      <c r="A29" t="str">
        <f t="shared" si="0"/>
        <v>DOM</v>
      </c>
      <c r="B29" s="83">
        <v>46019</v>
      </c>
      <c r="F29" s="83"/>
    </row>
    <row r="30" spans="1:6" x14ac:dyDescent="0.35">
      <c r="A30" t="str">
        <f t="shared" si="0"/>
        <v>LUN</v>
      </c>
      <c r="B30" s="83">
        <v>46020</v>
      </c>
      <c r="C30">
        <f t="shared" si="1"/>
        <v>13160</v>
      </c>
      <c r="F30" s="83"/>
    </row>
    <row r="31" spans="1:6" x14ac:dyDescent="0.35">
      <c r="A31" t="str">
        <f t="shared" si="0"/>
        <v>MAR</v>
      </c>
      <c r="B31" s="83">
        <v>46021</v>
      </c>
      <c r="C31">
        <f t="shared" si="1"/>
        <v>13160</v>
      </c>
      <c r="F31" s="83"/>
    </row>
    <row r="32" spans="1:6" x14ac:dyDescent="0.35">
      <c r="A32" t="str">
        <f t="shared" si="0"/>
        <v>MIÉ</v>
      </c>
      <c r="B32" s="83">
        <v>46022</v>
      </c>
      <c r="C32">
        <f t="shared" si="1"/>
        <v>13160</v>
      </c>
      <c r="F32" s="8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1F16-7813-4D5F-BCF2-A842D6175F11}">
  <dimension ref="B2:C6"/>
  <sheetViews>
    <sheetView workbookViewId="0">
      <selection activeCell="C12" sqref="C12"/>
    </sheetView>
  </sheetViews>
  <sheetFormatPr baseColWidth="10" defaultColWidth="11.453125" defaultRowHeight="14.5" x14ac:dyDescent="0.35"/>
  <cols>
    <col min="1" max="1" width="9" style="7" customWidth="1"/>
    <col min="2" max="2" width="17.81640625" style="7" bestFit="1" customWidth="1"/>
    <col min="3" max="3" width="13.1796875" style="15" bestFit="1" customWidth="1"/>
    <col min="4" max="16384" width="11.453125" style="7"/>
  </cols>
  <sheetData>
    <row r="2" spans="2:3" x14ac:dyDescent="0.35">
      <c r="C2" s="15">
        <f>SUM(C3:C17)</f>
        <v>380000</v>
      </c>
    </row>
    <row r="3" spans="2:3" x14ac:dyDescent="0.35">
      <c r="B3" s="7" t="s">
        <v>39</v>
      </c>
      <c r="C3" s="15">
        <f>60000+30000*4</f>
        <v>180000</v>
      </c>
    </row>
    <row r="4" spans="2:3" x14ac:dyDescent="0.35">
      <c r="B4" s="7" t="s">
        <v>40</v>
      </c>
      <c r="C4" s="15">
        <v>0</v>
      </c>
    </row>
    <row r="5" spans="2:3" x14ac:dyDescent="0.35">
      <c r="B5" s="7" t="s">
        <v>41</v>
      </c>
      <c r="C5" s="15">
        <v>100000</v>
      </c>
    </row>
    <row r="6" spans="2:3" x14ac:dyDescent="0.35">
      <c r="B6" s="7" t="s">
        <v>42</v>
      </c>
      <c r="C6" s="15"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0DD8-39C3-40F1-9E7A-6487C5E9AAD5}">
  <dimension ref="B1:AD16"/>
  <sheetViews>
    <sheetView topLeftCell="M1" workbookViewId="0">
      <selection activeCell="R6" sqref="R6"/>
    </sheetView>
  </sheetViews>
  <sheetFormatPr baseColWidth="10" defaultRowHeight="14.5" x14ac:dyDescent="0.35"/>
  <cols>
    <col min="1" max="1" width="5.54296875" customWidth="1"/>
    <col min="2" max="2" width="15.7265625" customWidth="1"/>
    <col min="3" max="3" width="3.7265625" customWidth="1"/>
    <col min="4" max="4" width="15.7265625" customWidth="1"/>
    <col min="5" max="5" width="3.7265625" customWidth="1"/>
    <col min="6" max="6" width="15.7265625" customWidth="1"/>
    <col min="7" max="7" width="3.7265625" customWidth="1"/>
    <col min="8" max="8" width="15.7265625" customWidth="1"/>
    <col min="9" max="9" width="3.7265625" customWidth="1"/>
    <col min="10" max="10" width="15.7265625" customWidth="1"/>
    <col min="11" max="11" width="3.7265625" customWidth="1"/>
    <col min="12" max="12" width="15.7265625" customWidth="1"/>
    <col min="13" max="13" width="3.7265625" customWidth="1"/>
    <col min="14" max="14" width="15.7265625" customWidth="1"/>
    <col min="15" max="15" width="3.7265625" customWidth="1"/>
    <col min="16" max="16" width="15.7265625" customWidth="1"/>
    <col min="17" max="17" width="3.7265625" customWidth="1"/>
    <col min="18" max="18" width="12.7265625" customWidth="1"/>
    <col min="19" max="19" width="3.7265625" customWidth="1"/>
    <col min="20" max="20" width="12.7265625" customWidth="1"/>
    <col min="21" max="21" width="3.7265625" customWidth="1"/>
    <col min="22" max="22" width="12.7265625" customWidth="1"/>
    <col min="23" max="23" width="3.7265625" customWidth="1"/>
    <col min="24" max="24" width="12.7265625" customWidth="1"/>
    <col min="25" max="25" width="3.7265625" customWidth="1"/>
    <col min="26" max="26" width="12.7265625" customWidth="1"/>
    <col min="27" max="27" width="3.7265625" customWidth="1"/>
    <col min="28" max="28" width="12.7265625" customWidth="1"/>
    <col min="29" max="29" width="3.7265625" customWidth="1"/>
    <col min="30" max="30" width="12.7265625" customWidth="1"/>
    <col min="31" max="31" width="3.7265625" customWidth="1"/>
    <col min="32" max="32" width="12.7265625" customWidth="1"/>
    <col min="33" max="33" width="3.7265625" customWidth="1"/>
    <col min="34" max="34" width="12.7265625" customWidth="1"/>
    <col min="35" max="35" width="3.7265625" customWidth="1"/>
    <col min="36" max="36" width="12.7265625" customWidth="1"/>
    <col min="37" max="37" width="3.7265625" customWidth="1"/>
    <col min="38" max="38" width="12.7265625" customWidth="1"/>
    <col min="39" max="39" width="3.7265625" customWidth="1"/>
    <col min="40" max="40" width="12.7265625" customWidth="1"/>
    <col min="41" max="41" width="3.7265625" customWidth="1"/>
    <col min="42" max="42" width="12.7265625" customWidth="1"/>
    <col min="43" max="43" width="3.7265625" customWidth="1"/>
    <col min="44" max="44" width="12.7265625" customWidth="1"/>
    <col min="45" max="45" width="3.7265625" customWidth="1"/>
    <col min="46" max="46" width="12.7265625" customWidth="1"/>
    <col min="47" max="47" width="3.7265625" customWidth="1"/>
  </cols>
  <sheetData>
    <row r="1" spans="2:30" x14ac:dyDescent="0.35">
      <c r="B1" t="s">
        <v>66</v>
      </c>
      <c r="D1" t="s">
        <v>22</v>
      </c>
      <c r="F1" t="s">
        <v>10</v>
      </c>
      <c r="H1" t="s">
        <v>67</v>
      </c>
      <c r="J1" t="s">
        <v>117</v>
      </c>
      <c r="L1" t="s">
        <v>3</v>
      </c>
      <c r="N1" t="s">
        <v>6</v>
      </c>
      <c r="P1" t="s">
        <v>50</v>
      </c>
      <c r="R1" t="s">
        <v>76</v>
      </c>
      <c r="T1" t="s">
        <v>31</v>
      </c>
      <c r="V1" t="s">
        <v>71</v>
      </c>
      <c r="X1" t="s">
        <v>34</v>
      </c>
      <c r="Z1" s="62" t="s">
        <v>68</v>
      </c>
      <c r="AB1" s="72" t="s">
        <v>62</v>
      </c>
      <c r="AD1" t="s">
        <v>151</v>
      </c>
    </row>
    <row r="2" spans="2:30" x14ac:dyDescent="0.35">
      <c r="B2" s="2" t="s">
        <v>62</v>
      </c>
      <c r="D2" s="2" t="s">
        <v>28</v>
      </c>
      <c r="F2" s="2" t="s">
        <v>13</v>
      </c>
      <c r="H2" s="2" t="s">
        <v>1</v>
      </c>
      <c r="J2" s="2" t="s">
        <v>51</v>
      </c>
      <c r="L2" s="2" t="s">
        <v>72</v>
      </c>
      <c r="N2" s="2" t="s">
        <v>8</v>
      </c>
      <c r="P2" s="2" t="s">
        <v>77</v>
      </c>
      <c r="R2" s="2" t="s">
        <v>0</v>
      </c>
      <c r="T2" s="2" t="s">
        <v>82</v>
      </c>
      <c r="V2" s="2" t="s">
        <v>98</v>
      </c>
      <c r="X2" s="23" t="s">
        <v>78</v>
      </c>
      <c r="Z2" s="85" t="s">
        <v>1</v>
      </c>
      <c r="AB2" t="s">
        <v>106</v>
      </c>
      <c r="AD2" t="s">
        <v>118</v>
      </c>
    </row>
    <row r="3" spans="2:30" x14ac:dyDescent="0.35">
      <c r="B3" s="2" t="s">
        <v>6</v>
      </c>
      <c r="D3" s="2" t="s">
        <v>24</v>
      </c>
      <c r="F3" s="2" t="s">
        <v>14</v>
      </c>
      <c r="H3" s="2" t="s">
        <v>4</v>
      </c>
      <c r="J3" s="2" t="s">
        <v>118</v>
      </c>
      <c r="L3" s="2" t="s">
        <v>1</v>
      </c>
      <c r="N3" s="2" t="s">
        <v>7</v>
      </c>
      <c r="P3" s="2" t="s">
        <v>51</v>
      </c>
      <c r="R3" s="2" t="s">
        <v>158</v>
      </c>
      <c r="T3" s="2" t="s">
        <v>60</v>
      </c>
      <c r="V3" s="2" t="s">
        <v>101</v>
      </c>
      <c r="X3" s="23" t="s">
        <v>64</v>
      </c>
      <c r="Z3" s="85" t="s">
        <v>4</v>
      </c>
    </row>
    <row r="4" spans="2:30" x14ac:dyDescent="0.35">
      <c r="B4" s="2" t="s">
        <v>9</v>
      </c>
      <c r="D4" s="2" t="s">
        <v>21</v>
      </c>
      <c r="F4" s="2" t="s">
        <v>15</v>
      </c>
      <c r="H4" s="2" t="s">
        <v>5</v>
      </c>
      <c r="J4" s="2" t="s">
        <v>119</v>
      </c>
      <c r="L4" s="2" t="s">
        <v>4</v>
      </c>
      <c r="N4" s="2"/>
      <c r="P4" s="2" t="s">
        <v>96</v>
      </c>
      <c r="R4" s="2" t="s">
        <v>165</v>
      </c>
      <c r="T4" s="2" t="s">
        <v>81</v>
      </c>
      <c r="V4" s="2" t="s">
        <v>100</v>
      </c>
      <c r="X4" s="23" t="s">
        <v>29</v>
      </c>
      <c r="Z4" s="85" t="s">
        <v>51</v>
      </c>
    </row>
    <row r="5" spans="2:30" x14ac:dyDescent="0.35">
      <c r="B5" s="2" t="s">
        <v>31</v>
      </c>
      <c r="D5" s="2" t="s">
        <v>23</v>
      </c>
      <c r="F5" s="2" t="s">
        <v>16</v>
      </c>
      <c r="H5" s="2"/>
      <c r="J5" s="2"/>
      <c r="L5" s="2" t="s">
        <v>5</v>
      </c>
      <c r="N5" s="2"/>
      <c r="P5" s="2"/>
      <c r="R5" s="2" t="s">
        <v>166</v>
      </c>
      <c r="T5" s="2" t="s">
        <v>1</v>
      </c>
      <c r="V5" s="2" t="s">
        <v>106</v>
      </c>
      <c r="X5" s="23" t="s">
        <v>20</v>
      </c>
      <c r="Z5" s="85" t="s">
        <v>117</v>
      </c>
    </row>
    <row r="6" spans="2:30" x14ac:dyDescent="0.35">
      <c r="B6" s="2" t="s">
        <v>76</v>
      </c>
      <c r="D6" s="2" t="s">
        <v>25</v>
      </c>
      <c r="F6" s="2" t="s">
        <v>47</v>
      </c>
      <c r="H6" s="2"/>
      <c r="J6" s="2"/>
      <c r="L6" s="2" t="s">
        <v>86</v>
      </c>
      <c r="N6" s="2"/>
      <c r="P6" s="2"/>
      <c r="R6" s="2"/>
      <c r="T6" s="2" t="s">
        <v>80</v>
      </c>
      <c r="V6" s="2"/>
      <c r="X6" s="23" t="s">
        <v>61</v>
      </c>
      <c r="Z6" s="85" t="s">
        <v>161</v>
      </c>
      <c r="AB6" s="2"/>
    </row>
    <row r="7" spans="2:30" x14ac:dyDescent="0.35">
      <c r="B7" s="2" t="s">
        <v>2</v>
      </c>
      <c r="D7" s="2" t="s">
        <v>104</v>
      </c>
      <c r="F7" s="2" t="s">
        <v>69</v>
      </c>
      <c r="H7" s="2"/>
      <c r="J7" s="2"/>
      <c r="L7" s="2" t="s">
        <v>152</v>
      </c>
      <c r="N7" s="2"/>
      <c r="P7" s="2"/>
      <c r="R7" s="2"/>
      <c r="T7" s="2" t="s">
        <v>83</v>
      </c>
      <c r="V7" s="2" t="s">
        <v>48</v>
      </c>
      <c r="X7" s="2" t="s">
        <v>79</v>
      </c>
      <c r="Z7" s="85" t="s">
        <v>164</v>
      </c>
      <c r="AB7" s="2"/>
    </row>
    <row r="8" spans="2:30" x14ac:dyDescent="0.35">
      <c r="B8" s="2" t="s">
        <v>71</v>
      </c>
      <c r="D8" s="2" t="s">
        <v>113</v>
      </c>
      <c r="F8" s="2" t="s">
        <v>102</v>
      </c>
      <c r="H8" s="2"/>
      <c r="J8" s="2"/>
      <c r="L8" s="2"/>
      <c r="N8" s="2"/>
      <c r="P8" s="2"/>
      <c r="R8" s="2"/>
      <c r="T8" s="2" t="s">
        <v>84</v>
      </c>
      <c r="X8" s="23" t="s">
        <v>30</v>
      </c>
      <c r="Z8" s="2"/>
      <c r="AB8" s="2"/>
    </row>
    <row r="9" spans="2:30" x14ac:dyDescent="0.35">
      <c r="B9" s="2" t="s">
        <v>32</v>
      </c>
      <c r="D9" s="2" t="s">
        <v>116</v>
      </c>
      <c r="F9" s="2" t="s">
        <v>103</v>
      </c>
      <c r="H9" s="2"/>
      <c r="J9" s="2"/>
      <c r="L9" s="2"/>
      <c r="N9" s="2"/>
      <c r="P9" s="2"/>
      <c r="R9" s="2"/>
      <c r="T9" s="2" t="s">
        <v>63</v>
      </c>
      <c r="X9" s="23" t="s">
        <v>50</v>
      </c>
      <c r="Z9" s="2"/>
      <c r="AB9" s="2"/>
    </row>
    <row r="10" spans="2:30" x14ac:dyDescent="0.35">
      <c r="B10" s="2" t="s">
        <v>3</v>
      </c>
      <c r="D10" s="2" t="s">
        <v>160</v>
      </c>
      <c r="F10" s="2" t="s">
        <v>159</v>
      </c>
      <c r="H10" s="2"/>
      <c r="J10" s="2"/>
      <c r="L10" s="2"/>
      <c r="N10" s="2"/>
      <c r="P10" s="2"/>
      <c r="T10" s="2" t="s">
        <v>97</v>
      </c>
      <c r="X10" s="23" t="s">
        <v>43</v>
      </c>
      <c r="Z10" s="2"/>
      <c r="AB10" s="2"/>
    </row>
    <row r="11" spans="2:30" x14ac:dyDescent="0.35">
      <c r="B11" s="2" t="s">
        <v>50</v>
      </c>
      <c r="F11" s="2"/>
      <c r="H11" s="2"/>
      <c r="J11" s="2"/>
      <c r="L11" s="2"/>
      <c r="N11" s="2"/>
      <c r="P11" s="2"/>
      <c r="X11" s="23" t="s">
        <v>49</v>
      </c>
    </row>
    <row r="12" spans="2:30" x14ac:dyDescent="0.35">
      <c r="B12" s="2" t="s">
        <v>10</v>
      </c>
      <c r="X12" s="23" t="s">
        <v>112</v>
      </c>
    </row>
    <row r="13" spans="2:30" x14ac:dyDescent="0.35">
      <c r="B13" s="2" t="s">
        <v>22</v>
      </c>
      <c r="X13" s="23" t="s">
        <v>117</v>
      </c>
    </row>
    <row r="14" spans="2:30" x14ac:dyDescent="0.35">
      <c r="B14" s="2" t="s">
        <v>67</v>
      </c>
    </row>
    <row r="15" spans="2:30" x14ac:dyDescent="0.35">
      <c r="B15" s="2" t="s">
        <v>68</v>
      </c>
    </row>
    <row r="16" spans="2:30" x14ac:dyDescent="0.35">
      <c r="B16" s="2" t="s">
        <v>117</v>
      </c>
    </row>
  </sheetData>
  <sortState xmlns:xlrd2="http://schemas.microsoft.com/office/spreadsheetml/2017/richdata2" ref="B6:B20">
    <sortCondition ref="B6:B20"/>
  </sortState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AB9DF-8F61-48A6-BA1D-1F294C84F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OCTUBRE</vt:lpstr>
      <vt:lpstr>NOVIEMBRE</vt:lpstr>
      <vt:lpstr>DICIEMBRE</vt:lpstr>
      <vt:lpstr>ENERO</vt:lpstr>
      <vt:lpstr>Hoja1</vt:lpstr>
      <vt:lpstr>VISITA JU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Vitale</dc:creator>
  <cp:lastModifiedBy>Nicolás Vitale</cp:lastModifiedBy>
  <dcterms:created xsi:type="dcterms:W3CDTF">2023-09-07T20:51:07Z</dcterms:created>
  <dcterms:modified xsi:type="dcterms:W3CDTF">2025-11-29T17:58:44Z</dcterms:modified>
</cp:coreProperties>
</file>